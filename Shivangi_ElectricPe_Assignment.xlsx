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hidePivotFieldList="1" defaultThemeVersion="166925"/>
  <mc:AlternateContent xmlns:mc="http://schemas.openxmlformats.org/markup-compatibility/2006">
    <mc:Choice Requires="x15">
      <x15ac:absPath xmlns:x15ac="http://schemas.microsoft.com/office/spreadsheetml/2010/11/ac" url="https://d.docs.live.net/51df88fefb2a8d45/Desktop/"/>
    </mc:Choice>
  </mc:AlternateContent>
  <xr:revisionPtr revIDLastSave="56" documentId="13_ncr:1_{93773E4B-C998-41DA-94B8-D7C90FE6F5C1}" xr6:coauthVersionLast="47" xr6:coauthVersionMax="47" xr10:uidLastSave="{E2036AB8-3563-465F-883B-AC8BC4B31333}"/>
  <bookViews>
    <workbookView xWindow="-108" yWindow="-108" windowWidth="23256" windowHeight="13176" activeTab="3" xr2:uid="{33B4A784-9013-4BF0-A4CA-D5CA1F657EE2}"/>
  </bookViews>
  <sheets>
    <sheet name="Raw_Data" sheetId="1" r:id="rId1"/>
    <sheet name="Cleaned_Data" sheetId="2" r:id="rId2"/>
    <sheet name="pivot table" sheetId="3" r:id="rId3"/>
    <sheet name="Dashboard" sheetId="11" r:id="rId4"/>
  </sheets>
  <definedNames>
    <definedName name="_xlcn.WorksheetConnection_Book2Sheet11" hidden="1">Sheet1[]</definedName>
    <definedName name="ExternalData_1" localSheetId="1" hidden="1">Cleaned_Data!$A$1:$T$1001</definedName>
    <definedName name="Slicer_Cancellation_Reason">#N/A</definedName>
    <definedName name="Slicer_Lead_Type">#N/A</definedName>
    <definedName name="Slicer_Store_Name">#N/A</definedName>
  </definedNames>
  <calcPr calcId="191029"/>
  <pivotCaches>
    <pivotCache cacheId="143" r:id="rId5"/>
    <pivotCache cacheId="146" r:id="rId6"/>
    <pivotCache cacheId="149" r:id="rId7"/>
    <pivotCache cacheId="152" r:id="rId8"/>
    <pivotCache cacheId="155" r:id="rId9"/>
  </pivotCaches>
  <extLst>
    <ext xmlns:x14="http://schemas.microsoft.com/office/spreadsheetml/2009/9/main" uri="{876F7934-8845-4945-9796-88D515C7AA90}">
      <x14:pivotCaches>
        <pivotCache cacheId="5"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bc6e6e2e-013e-4f71-8db0-69a1938b1dff" name="Sheet1" connection="Query - Sheet1"/>
          <x15:modelTable id="Sheet1 1" name="Sheet1 1" connection="WorksheetConnection_Book2!Sheet1"/>
        </x15:modelTables>
        <x15:extLst>
          <ext xmlns:x16="http://schemas.microsoft.com/office/spreadsheetml/2014/11/main" uri="{9835A34E-60A6-4A7C-AAB8-D5F71C897F49}">
            <x16:modelTimeGroupings>
              <x16:modelTimeGrouping tableName="Sheet1" columnName="Pre-Booking Date" columnId="Pre-Booking Date">
                <x16:calculatedTimeColumn columnName="Pre-Booking Date (Month Index)" columnId="Pre-Booking Date (Month Index)" contentType="monthsindex" isSelected="1"/>
                <x16:calculatedTimeColumn columnName="Pre-Booking Date (Month)" columnId="Pre-Booking Date (Month)" contentType="months" isSelected="1"/>
              </x16:modelTimeGrouping>
              <x16:modelTimeGrouping tableName="Sheet1" columnName="Delivery Date" columnId="Delivery Date">
                <x16:calculatedTimeColumn columnName="Delivery Date (Month Index)" columnId="Delivery Date (Month Index)" contentType="monthsindex" isSelected="1"/>
                <x16:calculatedTimeColumn columnName="Delivery Date (Month)" columnId="Delivery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I6" i="3"/>
  <c r="I7" i="3"/>
  <c r="I8" i="3"/>
  <c r="I9" i="3"/>
  <c r="I5" i="3"/>
  <c r="P2" i="2"/>
  <c r="P3" i="2"/>
  <c r="P6" i="2"/>
  <c r="P7" i="2"/>
  <c r="P8" i="2"/>
  <c r="P10" i="2"/>
  <c r="P11" i="2"/>
  <c r="P13" i="2"/>
  <c r="P14" i="2"/>
  <c r="P15" i="2"/>
  <c r="P17" i="2"/>
  <c r="P18" i="2"/>
  <c r="P19" i="2"/>
  <c r="P20" i="2"/>
  <c r="P21" i="2"/>
  <c r="P22" i="2"/>
  <c r="P23" i="2"/>
  <c r="P24" i="2"/>
  <c r="P25" i="2"/>
  <c r="P26" i="2"/>
  <c r="P27" i="2"/>
  <c r="P28" i="2"/>
  <c r="P29" i="2"/>
  <c r="P30" i="2"/>
  <c r="P32" i="2"/>
  <c r="P33" i="2"/>
  <c r="P34" i="2"/>
  <c r="P35" i="2"/>
  <c r="P37" i="2"/>
  <c r="P39" i="2"/>
  <c r="P40" i="2"/>
  <c r="P43" i="2"/>
  <c r="P44" i="2"/>
  <c r="P46" i="2"/>
  <c r="P47" i="2"/>
  <c r="P48" i="2"/>
  <c r="P50" i="2"/>
  <c r="P51" i="2"/>
  <c r="P52" i="2"/>
  <c r="P53" i="2"/>
  <c r="P54" i="2"/>
  <c r="P55" i="2"/>
  <c r="P56" i="2"/>
  <c r="P57" i="2"/>
  <c r="P58" i="2"/>
  <c r="P59" i="2"/>
  <c r="P61" i="2"/>
  <c r="P62" i="2"/>
  <c r="P63" i="2"/>
  <c r="P64" i="2"/>
  <c r="P65" i="2"/>
  <c r="P67" i="2"/>
  <c r="P68" i="2"/>
  <c r="P69" i="2"/>
  <c r="P71" i="2"/>
  <c r="P72" i="2"/>
  <c r="P73" i="2"/>
  <c r="P74" i="2"/>
  <c r="P76" i="2"/>
  <c r="P77" i="2"/>
  <c r="P78" i="2"/>
  <c r="P84" i="2"/>
  <c r="P85" i="2"/>
  <c r="P86" i="2"/>
  <c r="P88" i="2"/>
  <c r="P90" i="2"/>
  <c r="P91" i="2"/>
  <c r="P92" i="2"/>
  <c r="P93" i="2"/>
  <c r="P97" i="2"/>
  <c r="P99" i="2"/>
  <c r="P100" i="2"/>
  <c r="P101" i="2"/>
  <c r="P102" i="2"/>
  <c r="P103" i="2"/>
  <c r="P104" i="2"/>
  <c r="P107" i="2"/>
  <c r="P109" i="2"/>
  <c r="P110" i="2"/>
  <c r="P113" i="2"/>
  <c r="P115" i="2"/>
  <c r="P116" i="2"/>
  <c r="P117" i="2"/>
  <c r="P119" i="2"/>
  <c r="P120" i="2"/>
  <c r="P122" i="2"/>
  <c r="P123" i="2"/>
  <c r="P124" i="2"/>
  <c r="P125" i="2"/>
  <c r="P126" i="2"/>
  <c r="P127" i="2"/>
  <c r="P128" i="2"/>
  <c r="P130" i="2"/>
  <c r="P133" i="2"/>
  <c r="P135" i="2"/>
  <c r="P137" i="2"/>
  <c r="P138" i="2"/>
  <c r="P141" i="2"/>
  <c r="P142" i="2"/>
  <c r="P144" i="2"/>
  <c r="P145" i="2"/>
  <c r="P146" i="2"/>
  <c r="P147" i="2"/>
  <c r="P148" i="2"/>
  <c r="P150" i="2"/>
  <c r="P151" i="2"/>
  <c r="P152" i="2"/>
  <c r="P155" i="2"/>
  <c r="P157" i="2"/>
  <c r="P159" i="2"/>
  <c r="P161" i="2"/>
  <c r="P162" i="2"/>
  <c r="P163" i="2"/>
  <c r="P164" i="2"/>
  <c r="P165" i="2"/>
  <c r="P166" i="2"/>
  <c r="P167" i="2"/>
  <c r="P170" i="2"/>
  <c r="P171" i="2"/>
  <c r="P173" i="2"/>
  <c r="P174" i="2"/>
  <c r="P175" i="2"/>
  <c r="P176" i="2"/>
  <c r="P178" i="2"/>
  <c r="P179" i="2"/>
  <c r="P180" i="2"/>
  <c r="P181" i="2"/>
  <c r="P182" i="2"/>
  <c r="P183" i="2"/>
  <c r="P185" i="2"/>
  <c r="P186" i="2"/>
  <c r="P187" i="2"/>
  <c r="P188" i="2"/>
  <c r="P189" i="2"/>
  <c r="P190" i="2"/>
  <c r="P193" i="2"/>
  <c r="P195" i="2"/>
  <c r="P196" i="2"/>
  <c r="P197" i="2"/>
  <c r="P198" i="2"/>
  <c r="P200" i="2"/>
  <c r="P202" i="2"/>
  <c r="P203" i="2"/>
  <c r="P204" i="2"/>
  <c r="P205" i="2"/>
  <c r="P207" i="2"/>
  <c r="P209" i="2"/>
  <c r="P211" i="2"/>
  <c r="P214" i="2"/>
  <c r="P215" i="2"/>
  <c r="P218" i="2"/>
  <c r="P223" i="2"/>
  <c r="P224" i="2"/>
  <c r="P225" i="2"/>
  <c r="P226" i="2"/>
  <c r="P229" i="2"/>
  <c r="P231" i="2"/>
  <c r="P232" i="2"/>
  <c r="P233" i="2"/>
  <c r="P235" i="2"/>
  <c r="P236" i="2"/>
  <c r="P237" i="2"/>
  <c r="P238" i="2"/>
  <c r="P239" i="2"/>
  <c r="P240" i="2"/>
  <c r="P242" i="2"/>
  <c r="P243" i="2"/>
  <c r="P246" i="2"/>
  <c r="P248" i="2"/>
  <c r="P249" i="2"/>
  <c r="P250" i="2"/>
  <c r="P251" i="2"/>
  <c r="P252" i="2"/>
  <c r="P253" i="2"/>
  <c r="P254" i="2"/>
  <c r="P255" i="2"/>
  <c r="P256" i="2"/>
  <c r="P258" i="2"/>
  <c r="P261" i="2"/>
  <c r="P262" i="2"/>
  <c r="P263" i="2"/>
  <c r="P265" i="2"/>
  <c r="P266" i="2"/>
  <c r="P267" i="2"/>
  <c r="P270" i="2"/>
  <c r="P271" i="2"/>
  <c r="P272" i="2"/>
  <c r="P273" i="2"/>
  <c r="P274" i="2"/>
  <c r="P275" i="2"/>
  <c r="P276" i="2"/>
  <c r="P277" i="2"/>
  <c r="P278" i="2"/>
  <c r="P279" i="2"/>
  <c r="P282" i="2"/>
  <c r="P286" i="2"/>
  <c r="P287" i="2"/>
  <c r="P289" i="2"/>
  <c r="P292" i="2"/>
  <c r="P293" i="2"/>
  <c r="P295" i="2"/>
  <c r="P298" i="2"/>
  <c r="P299" i="2"/>
  <c r="P300" i="2"/>
  <c r="P303" i="2"/>
  <c r="P304" i="2"/>
  <c r="P305" i="2"/>
  <c r="P306" i="2"/>
  <c r="P307" i="2"/>
  <c r="P308" i="2"/>
  <c r="P309" i="2"/>
  <c r="P310" i="2"/>
  <c r="P311" i="2"/>
  <c r="P312" i="2"/>
  <c r="P313" i="2"/>
  <c r="P314" i="2"/>
  <c r="P315" i="2"/>
  <c r="P316" i="2"/>
  <c r="P317" i="2"/>
  <c r="P318" i="2"/>
  <c r="P320" i="2"/>
  <c r="P322" i="2"/>
  <c r="P325" i="2"/>
  <c r="P327" i="2"/>
  <c r="P328" i="2"/>
  <c r="P329" i="2"/>
  <c r="P330" i="2"/>
  <c r="P331" i="2"/>
  <c r="P332" i="2"/>
  <c r="P333" i="2"/>
  <c r="P334" i="2"/>
  <c r="P335" i="2"/>
  <c r="P336" i="2"/>
  <c r="P338" i="2"/>
  <c r="P340" i="2"/>
  <c r="P342" i="2"/>
  <c r="P343" i="2"/>
  <c r="P344" i="2"/>
  <c r="P345" i="2"/>
  <c r="P346" i="2"/>
  <c r="P347" i="2"/>
  <c r="P348" i="2"/>
  <c r="P349" i="2"/>
  <c r="P350" i="2"/>
  <c r="P351" i="2"/>
  <c r="P354" i="2"/>
  <c r="P356" i="2"/>
  <c r="P357" i="2"/>
  <c r="P358" i="2"/>
  <c r="P359" i="2"/>
  <c r="P361" i="2"/>
  <c r="P362" i="2"/>
  <c r="P363" i="2"/>
  <c r="P364" i="2"/>
  <c r="P365" i="2"/>
  <c r="P366" i="2"/>
  <c r="P367" i="2"/>
  <c r="P368" i="2"/>
  <c r="P370" i="2"/>
  <c r="P371" i="2"/>
  <c r="P372" i="2"/>
  <c r="P373" i="2"/>
  <c r="P374" i="2"/>
  <c r="P375" i="2"/>
  <c r="P376" i="2"/>
  <c r="P378" i="2"/>
  <c r="P379" i="2"/>
  <c r="P381" i="2"/>
  <c r="P382" i="2"/>
  <c r="P383" i="2"/>
  <c r="P384" i="2"/>
  <c r="P385" i="2"/>
  <c r="P388" i="2"/>
  <c r="P390" i="2"/>
  <c r="P391" i="2"/>
  <c r="P392" i="2"/>
  <c r="P393" i="2"/>
  <c r="P394" i="2"/>
  <c r="P396" i="2"/>
  <c r="P397" i="2"/>
  <c r="P398" i="2"/>
  <c r="P399" i="2"/>
  <c r="P400" i="2"/>
  <c r="P401" i="2"/>
  <c r="P402" i="2"/>
  <c r="P403" i="2"/>
  <c r="P404" i="2"/>
  <c r="P407" i="2"/>
  <c r="P408" i="2"/>
  <c r="P411" i="2"/>
  <c r="P412" i="2"/>
  <c r="P413" i="2"/>
  <c r="P414" i="2"/>
  <c r="P415" i="2"/>
  <c r="P417" i="2"/>
  <c r="P418" i="2"/>
  <c r="P419" i="2"/>
  <c r="P420" i="2"/>
  <c r="P421" i="2"/>
  <c r="P422" i="2"/>
  <c r="P423" i="2"/>
  <c r="P424" i="2"/>
  <c r="P426" i="2"/>
  <c r="P427" i="2"/>
  <c r="P428" i="2"/>
  <c r="P429" i="2"/>
  <c r="P430" i="2"/>
  <c r="P431" i="2"/>
  <c r="P432" i="2"/>
  <c r="P433" i="2"/>
  <c r="P435" i="2"/>
  <c r="P436" i="2"/>
  <c r="P437" i="2"/>
  <c r="P438" i="2"/>
  <c r="P439" i="2"/>
  <c r="P440" i="2"/>
  <c r="P442" i="2"/>
  <c r="P443" i="2"/>
  <c r="P445" i="2"/>
  <c r="P447" i="2"/>
  <c r="P450" i="2"/>
  <c r="P451" i="2"/>
  <c r="P452" i="2"/>
  <c r="P454" i="2"/>
  <c r="P457" i="2"/>
  <c r="P459" i="2"/>
  <c r="P460" i="2"/>
  <c r="P461" i="2"/>
  <c r="P465" i="2"/>
  <c r="P466" i="2"/>
  <c r="P467" i="2"/>
  <c r="P468" i="2"/>
  <c r="P469" i="2"/>
  <c r="P470" i="2"/>
  <c r="P472" i="2"/>
  <c r="P475" i="2"/>
  <c r="P478" i="2"/>
  <c r="P480" i="2"/>
  <c r="P482" i="2"/>
  <c r="P483" i="2"/>
  <c r="P484" i="2"/>
  <c r="P485" i="2"/>
  <c r="P486" i="2"/>
  <c r="P488" i="2"/>
  <c r="P489" i="2"/>
  <c r="P490" i="2"/>
  <c r="P491" i="2"/>
  <c r="P492" i="2"/>
  <c r="P494" i="2"/>
  <c r="P495" i="2"/>
  <c r="P500" i="2"/>
  <c r="P501" i="2"/>
  <c r="P502" i="2"/>
  <c r="P503" i="2"/>
  <c r="P504" i="2"/>
  <c r="P505" i="2"/>
  <c r="P506" i="2"/>
  <c r="P507" i="2"/>
  <c r="P508" i="2"/>
  <c r="P509" i="2"/>
  <c r="P511" i="2"/>
  <c r="P513" i="2"/>
  <c r="P515" i="2"/>
  <c r="P516" i="2"/>
  <c r="P518" i="2"/>
  <c r="P519" i="2"/>
  <c r="P520" i="2"/>
  <c r="P521" i="2"/>
  <c r="P522" i="2"/>
  <c r="P523" i="2"/>
  <c r="P525" i="2"/>
  <c r="P526" i="2"/>
  <c r="P527" i="2"/>
  <c r="P528" i="2"/>
  <c r="P529" i="2"/>
  <c r="P532" i="2"/>
  <c r="P533" i="2"/>
  <c r="P535" i="2"/>
  <c r="P536" i="2"/>
  <c r="P538" i="2"/>
  <c r="P539" i="2"/>
  <c r="P542" i="2"/>
  <c r="P544" i="2"/>
  <c r="P545" i="2"/>
  <c r="P546" i="2"/>
  <c r="P547" i="2"/>
  <c r="P548" i="2"/>
  <c r="P549" i="2"/>
  <c r="P550" i="2"/>
  <c r="P551" i="2"/>
  <c r="P552" i="2"/>
  <c r="P553" i="2"/>
  <c r="P554" i="2"/>
  <c r="P556" i="2"/>
  <c r="P557" i="2"/>
  <c r="P558" i="2"/>
  <c r="P559" i="2"/>
  <c r="P560" i="2"/>
  <c r="P562" i="2"/>
  <c r="P564" i="2"/>
  <c r="P565" i="2"/>
  <c r="P566" i="2"/>
  <c r="P567" i="2"/>
  <c r="P568" i="2"/>
  <c r="P570" i="2"/>
  <c r="P571" i="2"/>
  <c r="P572" i="2"/>
  <c r="P573" i="2"/>
  <c r="P574" i="2"/>
  <c r="P575" i="2"/>
  <c r="P576" i="2"/>
  <c r="P577" i="2"/>
  <c r="P578" i="2"/>
  <c r="P579" i="2"/>
  <c r="P580" i="2"/>
  <c r="P581" i="2"/>
  <c r="P582" i="2"/>
  <c r="P583" i="2"/>
  <c r="P584" i="2"/>
  <c r="P585" i="2"/>
  <c r="P587" i="2"/>
  <c r="P588" i="2"/>
  <c r="P591" i="2"/>
  <c r="P593" i="2"/>
  <c r="P595" i="2"/>
  <c r="P596" i="2"/>
  <c r="P597" i="2"/>
  <c r="P599" i="2"/>
  <c r="P600" i="2"/>
  <c r="P601" i="2"/>
  <c r="P603" i="2"/>
  <c r="P604" i="2"/>
  <c r="P605" i="2"/>
  <c r="P606" i="2"/>
  <c r="P607" i="2"/>
  <c r="P608" i="2"/>
  <c r="P609" i="2"/>
  <c r="P610" i="2"/>
  <c r="P611" i="2"/>
  <c r="P612" i="2"/>
  <c r="P613" i="2"/>
  <c r="P614" i="2"/>
  <c r="P616" i="2"/>
  <c r="P617" i="2"/>
  <c r="P618" i="2"/>
  <c r="P619" i="2"/>
  <c r="P623" i="2"/>
  <c r="P624" i="2"/>
  <c r="P625" i="2"/>
  <c r="P627" i="2"/>
  <c r="P628" i="2"/>
  <c r="P631" i="2"/>
  <c r="P632" i="2"/>
  <c r="P634" i="2"/>
  <c r="P635" i="2"/>
  <c r="P636" i="2"/>
  <c r="P638" i="2"/>
  <c r="P639" i="2"/>
  <c r="P640" i="2"/>
  <c r="P641" i="2"/>
  <c r="P643" i="2"/>
  <c r="P644" i="2"/>
  <c r="P645" i="2"/>
  <c r="P646" i="2"/>
  <c r="P647" i="2"/>
  <c r="P648" i="2"/>
  <c r="P649" i="2"/>
  <c r="P650" i="2"/>
  <c r="P655" i="2"/>
  <c r="P658" i="2"/>
  <c r="P661" i="2"/>
  <c r="P662" i="2"/>
  <c r="P663" i="2"/>
  <c r="P664" i="2"/>
  <c r="P665" i="2"/>
  <c r="P666" i="2"/>
  <c r="P667" i="2"/>
  <c r="P668" i="2"/>
  <c r="P669" i="2"/>
  <c r="P670" i="2"/>
  <c r="P673" i="2"/>
  <c r="P674" i="2"/>
  <c r="P675" i="2"/>
  <c r="P676" i="2"/>
  <c r="P678" i="2"/>
  <c r="P681" i="2"/>
  <c r="P682" i="2"/>
  <c r="P683" i="2"/>
  <c r="P684" i="2"/>
  <c r="P687" i="2"/>
  <c r="P690" i="2"/>
  <c r="P691" i="2"/>
  <c r="P692" i="2"/>
  <c r="P693" i="2"/>
  <c r="P694" i="2"/>
  <c r="P695" i="2"/>
  <c r="P696" i="2"/>
  <c r="P697" i="2"/>
  <c r="P698" i="2"/>
  <c r="P701" i="2"/>
  <c r="P703" i="2"/>
  <c r="P705" i="2"/>
  <c r="P706" i="2"/>
  <c r="P707" i="2"/>
  <c r="P708" i="2"/>
  <c r="P710" i="2"/>
  <c r="P711" i="2"/>
  <c r="P712" i="2"/>
  <c r="P713" i="2"/>
  <c r="P714" i="2"/>
  <c r="P715" i="2"/>
  <c r="P716" i="2"/>
  <c r="P717" i="2"/>
  <c r="P718" i="2"/>
  <c r="P719" i="2"/>
  <c r="P720" i="2"/>
  <c r="P721" i="2"/>
  <c r="P722" i="2"/>
  <c r="P723" i="2"/>
  <c r="P724" i="2"/>
  <c r="P725" i="2"/>
  <c r="P726" i="2"/>
  <c r="P727" i="2"/>
  <c r="P728" i="2"/>
  <c r="P730" i="2"/>
  <c r="P731" i="2"/>
  <c r="P732" i="2"/>
  <c r="P733" i="2"/>
  <c r="P734" i="2"/>
  <c r="P735" i="2"/>
  <c r="P736" i="2"/>
  <c r="P737" i="2"/>
  <c r="P738" i="2"/>
  <c r="P740" i="2"/>
  <c r="P741" i="2"/>
  <c r="P742" i="2"/>
  <c r="P743" i="2"/>
  <c r="P744" i="2"/>
  <c r="P745" i="2"/>
  <c r="P746" i="2"/>
  <c r="P747" i="2"/>
  <c r="P750" i="2"/>
  <c r="P751" i="2"/>
  <c r="P752" i="2"/>
  <c r="P753" i="2"/>
  <c r="P754" i="2"/>
  <c r="P755" i="2"/>
  <c r="P756" i="2"/>
  <c r="P757" i="2"/>
  <c r="P758" i="2"/>
  <c r="P759" i="2"/>
  <c r="P760" i="2"/>
  <c r="P762" i="2"/>
  <c r="P763" i="2"/>
  <c r="P767" i="2"/>
  <c r="P769" i="2"/>
  <c r="P770" i="2"/>
  <c r="P771" i="2"/>
  <c r="P774" i="2"/>
  <c r="P775" i="2"/>
  <c r="P777" i="2"/>
  <c r="P778" i="2"/>
  <c r="P780" i="2"/>
  <c r="P781" i="2"/>
  <c r="P782" i="2"/>
  <c r="P783" i="2"/>
  <c r="P785" i="2"/>
  <c r="P787" i="2"/>
  <c r="P789" i="2"/>
  <c r="P790" i="2"/>
  <c r="P791" i="2"/>
  <c r="P792" i="2"/>
  <c r="P793" i="2"/>
  <c r="P795" i="2"/>
  <c r="P796" i="2"/>
  <c r="P797" i="2"/>
  <c r="P798" i="2"/>
  <c r="P799" i="2"/>
  <c r="P804" i="2"/>
  <c r="P805" i="2"/>
  <c r="P806" i="2"/>
  <c r="P808" i="2"/>
  <c r="P809" i="2"/>
  <c r="P810" i="2"/>
  <c r="P811" i="2"/>
  <c r="P813" i="2"/>
  <c r="P814" i="2"/>
  <c r="P816" i="2"/>
  <c r="P817" i="2"/>
  <c r="P819" i="2"/>
  <c r="P820" i="2"/>
  <c r="P822" i="2"/>
  <c r="P824" i="2"/>
  <c r="P825" i="2"/>
  <c r="P827" i="2"/>
  <c r="P828" i="2"/>
  <c r="P830" i="2"/>
  <c r="P833" i="2"/>
  <c r="P834" i="2"/>
  <c r="P835" i="2"/>
  <c r="P836" i="2"/>
  <c r="P838" i="2"/>
  <c r="P839" i="2"/>
  <c r="P840" i="2"/>
  <c r="P841" i="2"/>
  <c r="P843" i="2"/>
  <c r="P844" i="2"/>
  <c r="P847" i="2"/>
  <c r="P848" i="2"/>
  <c r="P850" i="2"/>
  <c r="P851" i="2"/>
  <c r="P852" i="2"/>
  <c r="P853" i="2"/>
  <c r="P856" i="2"/>
  <c r="P857" i="2"/>
  <c r="P858" i="2"/>
  <c r="P859" i="2"/>
  <c r="P860" i="2"/>
  <c r="P861" i="2"/>
  <c r="P862" i="2"/>
  <c r="P863" i="2"/>
  <c r="P865" i="2"/>
  <c r="P866" i="2"/>
  <c r="P868" i="2"/>
  <c r="P869" i="2"/>
  <c r="P870" i="2"/>
  <c r="P871" i="2"/>
  <c r="P872" i="2"/>
  <c r="P873" i="2"/>
  <c r="P874" i="2"/>
  <c r="P875" i="2"/>
  <c r="P876" i="2"/>
  <c r="P877" i="2"/>
  <c r="P878" i="2"/>
  <c r="P880" i="2"/>
  <c r="P881" i="2"/>
  <c r="P882" i="2"/>
  <c r="P884" i="2"/>
  <c r="P886" i="2"/>
  <c r="P887" i="2"/>
  <c r="P889" i="2"/>
  <c r="P890" i="2"/>
  <c r="P891" i="2"/>
  <c r="P893" i="2"/>
  <c r="P894" i="2"/>
  <c r="P895" i="2"/>
  <c r="P896" i="2"/>
  <c r="P901" i="2"/>
  <c r="P902" i="2"/>
  <c r="P903" i="2"/>
  <c r="P904" i="2"/>
  <c r="P905" i="2"/>
  <c r="P907" i="2"/>
  <c r="P908" i="2"/>
  <c r="P909" i="2"/>
  <c r="P910" i="2"/>
  <c r="P911" i="2"/>
  <c r="P912" i="2"/>
  <c r="P913" i="2"/>
  <c r="P914" i="2"/>
  <c r="P915" i="2"/>
  <c r="P916" i="2"/>
  <c r="P917" i="2"/>
  <c r="P918" i="2"/>
  <c r="P919" i="2"/>
  <c r="P920" i="2"/>
  <c r="P921" i="2"/>
  <c r="P922" i="2"/>
  <c r="P924" i="2"/>
  <c r="P925" i="2"/>
  <c r="P926" i="2"/>
  <c r="P927" i="2"/>
  <c r="P928" i="2"/>
  <c r="P930" i="2"/>
  <c r="P931" i="2"/>
  <c r="P932" i="2"/>
  <c r="P933" i="2"/>
  <c r="P934" i="2"/>
  <c r="P936" i="2"/>
  <c r="P937" i="2"/>
  <c r="P938" i="2"/>
  <c r="P940" i="2"/>
  <c r="P942" i="2"/>
  <c r="P943" i="2"/>
  <c r="P944" i="2"/>
  <c r="P945" i="2"/>
  <c r="P946" i="2"/>
  <c r="P947" i="2"/>
  <c r="P948" i="2"/>
  <c r="P950" i="2"/>
  <c r="P951" i="2"/>
  <c r="P952" i="2"/>
  <c r="P953" i="2"/>
  <c r="P954" i="2"/>
  <c r="P955" i="2"/>
  <c r="P956" i="2"/>
  <c r="P957" i="2"/>
  <c r="P959" i="2"/>
  <c r="P960" i="2"/>
  <c r="P962" i="2"/>
  <c r="P963" i="2"/>
  <c r="P965" i="2"/>
  <c r="P966" i="2"/>
  <c r="P967" i="2"/>
  <c r="P968" i="2"/>
  <c r="P969" i="2"/>
  <c r="P971" i="2"/>
  <c r="P972" i="2"/>
  <c r="P974" i="2"/>
  <c r="P975" i="2"/>
  <c r="P976" i="2"/>
  <c r="P980" i="2"/>
  <c r="P981" i="2"/>
  <c r="P982" i="2"/>
  <c r="P985" i="2"/>
  <c r="P986" i="2"/>
  <c r="P987" i="2"/>
  <c r="P988" i="2"/>
  <c r="P989" i="2"/>
  <c r="P990" i="2"/>
  <c r="P992" i="2"/>
  <c r="P993" i="2"/>
  <c r="P994" i="2"/>
  <c r="P995" i="2"/>
  <c r="P996" i="2"/>
  <c r="P997" i="2"/>
  <c r="P998" i="2"/>
  <c r="P999" i="2"/>
  <c r="P1001" i="2"/>
  <c r="P4" i="2"/>
  <c r="P5" i="2"/>
  <c r="P9" i="2"/>
  <c r="P12" i="2"/>
  <c r="P16" i="2"/>
  <c r="P31" i="2"/>
  <c r="P36" i="2"/>
  <c r="P38" i="2"/>
  <c r="P41" i="2"/>
  <c r="P42" i="2"/>
  <c r="P45" i="2"/>
  <c r="P49" i="2"/>
  <c r="P60" i="2"/>
  <c r="P66" i="2"/>
  <c r="P70" i="2"/>
  <c r="P75" i="2"/>
  <c r="P79" i="2"/>
  <c r="P80" i="2"/>
  <c r="P81" i="2"/>
  <c r="P82" i="2"/>
  <c r="P83" i="2"/>
  <c r="P87" i="2"/>
  <c r="P89" i="2"/>
  <c r="P94" i="2"/>
  <c r="P95" i="2"/>
  <c r="P96" i="2"/>
  <c r="P98" i="2"/>
  <c r="P105" i="2"/>
  <c r="P106" i="2"/>
  <c r="P108" i="2"/>
  <c r="P111" i="2"/>
  <c r="P112" i="2"/>
  <c r="P114" i="2"/>
  <c r="P118" i="2"/>
  <c r="P121" i="2"/>
  <c r="P129" i="2"/>
  <c r="P131" i="2"/>
  <c r="P132" i="2"/>
  <c r="P134" i="2"/>
  <c r="P136" i="2"/>
  <c r="P139" i="2"/>
  <c r="P140" i="2"/>
  <c r="P143" i="2"/>
  <c r="P149" i="2"/>
  <c r="P153" i="2"/>
  <c r="P154" i="2"/>
  <c r="P156" i="2"/>
  <c r="P158" i="2"/>
  <c r="P160" i="2"/>
  <c r="P168" i="2"/>
  <c r="P169" i="2"/>
  <c r="P172" i="2"/>
  <c r="P177" i="2"/>
  <c r="P184" i="2"/>
  <c r="P191" i="2"/>
  <c r="P192" i="2"/>
  <c r="P194" i="2"/>
  <c r="P199" i="2"/>
  <c r="P201" i="2"/>
  <c r="P206" i="2"/>
  <c r="P208" i="2"/>
  <c r="P210" i="2"/>
  <c r="P212" i="2"/>
  <c r="P213" i="2"/>
  <c r="P216" i="2"/>
  <c r="P217" i="2"/>
  <c r="P219" i="2"/>
  <c r="P220" i="2"/>
  <c r="P221" i="2"/>
  <c r="P222" i="2"/>
  <c r="P227" i="2"/>
  <c r="P228" i="2"/>
  <c r="P230" i="2"/>
  <c r="P234" i="2"/>
  <c r="P241" i="2"/>
  <c r="P244" i="2"/>
  <c r="P245" i="2"/>
  <c r="P247" i="2"/>
  <c r="P257" i="2"/>
  <c r="P259" i="2"/>
  <c r="P260" i="2"/>
  <c r="P264" i="2"/>
  <c r="P268" i="2"/>
  <c r="P269" i="2"/>
  <c r="P280" i="2"/>
  <c r="P281" i="2"/>
  <c r="P283" i="2"/>
  <c r="P284" i="2"/>
  <c r="P285" i="2"/>
  <c r="P288" i="2"/>
  <c r="P290" i="2"/>
  <c r="P291" i="2"/>
  <c r="P294" i="2"/>
  <c r="P296" i="2"/>
  <c r="P297" i="2"/>
  <c r="P301" i="2"/>
  <c r="P302" i="2"/>
  <c r="P319" i="2"/>
  <c r="P321" i="2"/>
  <c r="P323" i="2"/>
  <c r="P324" i="2"/>
  <c r="P326" i="2"/>
  <c r="P337" i="2"/>
  <c r="P339" i="2"/>
  <c r="P341" i="2"/>
  <c r="P352" i="2"/>
  <c r="P353" i="2"/>
  <c r="P355" i="2"/>
  <c r="P360" i="2"/>
  <c r="P369" i="2"/>
  <c r="P377" i="2"/>
  <c r="P380" i="2"/>
  <c r="P386" i="2"/>
  <c r="P387" i="2"/>
  <c r="P389" i="2"/>
  <c r="P395" i="2"/>
  <c r="P405" i="2"/>
  <c r="P406" i="2"/>
  <c r="P409" i="2"/>
  <c r="P410" i="2"/>
  <c r="P416" i="2"/>
  <c r="P425" i="2"/>
  <c r="P434" i="2"/>
  <c r="P441" i="2"/>
  <c r="P444" i="2"/>
  <c r="P446" i="2"/>
  <c r="P448" i="2"/>
  <c r="P449" i="2"/>
  <c r="P453" i="2"/>
  <c r="P455" i="2"/>
  <c r="P456" i="2"/>
  <c r="P458" i="2"/>
  <c r="P462" i="2"/>
  <c r="P463" i="2"/>
  <c r="P464" i="2"/>
  <c r="P471" i="2"/>
  <c r="P473" i="2"/>
  <c r="P474" i="2"/>
  <c r="P476" i="2"/>
  <c r="P477" i="2"/>
  <c r="P479" i="2"/>
  <c r="P481" i="2"/>
  <c r="P487" i="2"/>
  <c r="P493" i="2"/>
  <c r="P496" i="2"/>
  <c r="P497" i="2"/>
  <c r="P498" i="2"/>
  <c r="P499" i="2"/>
  <c r="P510" i="2"/>
  <c r="P512" i="2"/>
  <c r="P514" i="2"/>
  <c r="P517" i="2"/>
  <c r="P524" i="2"/>
  <c r="P530" i="2"/>
  <c r="P531" i="2"/>
  <c r="P534" i="2"/>
  <c r="P537" i="2"/>
  <c r="P540" i="2"/>
  <c r="P541" i="2"/>
  <c r="P543" i="2"/>
  <c r="P555" i="2"/>
  <c r="P561" i="2"/>
  <c r="P563" i="2"/>
  <c r="P569" i="2"/>
  <c r="P586" i="2"/>
  <c r="P589" i="2"/>
  <c r="P590" i="2"/>
  <c r="P592" i="2"/>
  <c r="P594" i="2"/>
  <c r="P598" i="2"/>
  <c r="P602" i="2"/>
  <c r="P615" i="2"/>
  <c r="P620" i="2"/>
  <c r="P621" i="2"/>
  <c r="P622" i="2"/>
  <c r="P626" i="2"/>
  <c r="P629" i="2"/>
  <c r="P630" i="2"/>
  <c r="P633" i="2"/>
  <c r="P637" i="2"/>
  <c r="P642" i="2"/>
  <c r="P651" i="2"/>
  <c r="P652" i="2"/>
  <c r="P653" i="2"/>
  <c r="P654" i="2"/>
  <c r="P656" i="2"/>
  <c r="P657" i="2"/>
  <c r="P659" i="2"/>
  <c r="P660" i="2"/>
  <c r="P671" i="2"/>
  <c r="P672" i="2"/>
  <c r="P677" i="2"/>
  <c r="P679" i="2"/>
  <c r="P680" i="2"/>
  <c r="P685" i="2"/>
  <c r="P686" i="2"/>
  <c r="P688" i="2"/>
  <c r="P689" i="2"/>
  <c r="P699" i="2"/>
  <c r="P700" i="2"/>
  <c r="P702" i="2"/>
  <c r="P704" i="2"/>
  <c r="P709" i="2"/>
  <c r="P729" i="2"/>
  <c r="P739" i="2"/>
  <c r="P748" i="2"/>
  <c r="P749" i="2"/>
  <c r="P761" i="2"/>
  <c r="P764" i="2"/>
  <c r="P765" i="2"/>
  <c r="P766" i="2"/>
  <c r="P768" i="2"/>
  <c r="P772" i="2"/>
  <c r="P773" i="2"/>
  <c r="P776" i="2"/>
  <c r="P779" i="2"/>
  <c r="P784" i="2"/>
  <c r="P786" i="2"/>
  <c r="P788" i="2"/>
  <c r="P794" i="2"/>
  <c r="P800" i="2"/>
  <c r="P801" i="2"/>
  <c r="P802" i="2"/>
  <c r="P803" i="2"/>
  <c r="P807" i="2"/>
  <c r="P812" i="2"/>
  <c r="P815" i="2"/>
  <c r="P818" i="2"/>
  <c r="P821" i="2"/>
  <c r="P823" i="2"/>
  <c r="P826" i="2"/>
  <c r="P829" i="2"/>
  <c r="P831" i="2"/>
  <c r="P832" i="2"/>
  <c r="P837" i="2"/>
  <c r="P842" i="2"/>
  <c r="P845" i="2"/>
  <c r="P846" i="2"/>
  <c r="P849" i="2"/>
  <c r="P854" i="2"/>
  <c r="P855" i="2"/>
  <c r="P864" i="2"/>
  <c r="P867" i="2"/>
  <c r="P879" i="2"/>
  <c r="P883" i="2"/>
  <c r="P885" i="2"/>
  <c r="P888" i="2"/>
  <c r="P892" i="2"/>
  <c r="P897" i="2"/>
  <c r="P898" i="2"/>
  <c r="P899" i="2"/>
  <c r="P900" i="2"/>
  <c r="P906" i="2"/>
  <c r="P923" i="2"/>
  <c r="P929" i="2"/>
  <c r="P935" i="2"/>
  <c r="P939" i="2"/>
  <c r="P941" i="2"/>
  <c r="P949" i="2"/>
  <c r="P958" i="2"/>
  <c r="P961" i="2"/>
  <c r="P964" i="2"/>
  <c r="P970" i="2"/>
  <c r="P973" i="2"/>
  <c r="P977" i="2"/>
  <c r="P978" i="2"/>
  <c r="P979" i="2"/>
  <c r="P983" i="2"/>
  <c r="P984" i="2"/>
  <c r="P991" i="2"/>
  <c r="P1000" i="2"/>
  <c r="N30" i="3"/>
  <c r="N31" i="3"/>
  <c r="N32" i="3"/>
  <c r="N33" i="3"/>
  <c r="N29" i="3"/>
  <c r="M33" i="3"/>
  <c r="M32" i="3"/>
  <c r="M31" i="3"/>
  <c r="M30" i="3"/>
  <c r="M29" i="3"/>
  <c r="H5" i="3"/>
  <c r="H6" i="3"/>
  <c r="H7" i="3"/>
  <c r="H8" i="3"/>
  <c r="H9" i="3"/>
  <c r="G5" i="3"/>
  <c r="G6" i="3"/>
  <c r="G7" i="3"/>
  <c r="G8" i="3"/>
  <c r="G9" i="3"/>
  <c r="F9" i="3"/>
  <c r="F5" i="3"/>
  <c r="F6" i="3"/>
  <c r="F7" i="3"/>
  <c r="F8" i="3"/>
  <c r="O33" i="3" l="1"/>
  <c r="O32" i="3"/>
  <c r="O29" i="3"/>
  <c r="O30" i="3"/>
  <c r="O3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2C3548-6E36-472A-A722-0C9F36C0519B}" keepAlive="1" name="ModelConnection_ExternalData_1" description="Data Model" type="5" refreshedVersion="8" minRefreshableVersion="5" saveData="1">
    <dbPr connection="Data Model Connection" command="Sheet1" commandType="3"/>
    <extLst>
      <ext xmlns:x15="http://schemas.microsoft.com/office/spreadsheetml/2010/11/main" uri="{DE250136-89BD-433C-8126-D09CA5730AF9}">
        <x15:connection id="" model="1"/>
      </ext>
    </extLst>
  </connection>
  <connection id="2" xr16:uid="{6DE80662-915A-4D43-B831-C13BB51DCFD5}" name="Query - Sheet1" description="Connection to the 'Sheet1' query in the workbook." type="100" refreshedVersion="8" minRefreshableVersion="5">
    <extLst>
      <ext xmlns:x15="http://schemas.microsoft.com/office/spreadsheetml/2010/11/main" uri="{DE250136-89BD-433C-8126-D09CA5730AF9}">
        <x15:connection id="68c6081c-48da-4648-a0ac-45a31be289dd"/>
      </ext>
    </extLst>
  </connection>
  <connection id="3" xr16:uid="{781E04C0-8695-4487-BBE3-02FA250C466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5CC133A-5FF4-484A-BB43-511245F3EE57}" name="WorksheetConnection_Book2!Sheet1" type="102" refreshedVersion="8" minRefreshableVersion="5">
    <extLst>
      <ext xmlns:x15="http://schemas.microsoft.com/office/spreadsheetml/2010/11/main" uri="{DE250136-89BD-433C-8126-D09CA5730AF9}">
        <x15:connection id="Sheet1 1">
          <x15:rangePr sourceName="_xlcn.WorksheetConnection_Book2Sheet11"/>
        </x15:connection>
      </ext>
    </extLst>
  </connection>
</connections>
</file>

<file path=xl/sharedStrings.xml><?xml version="1.0" encoding="utf-8"?>
<sst xmlns="http://schemas.openxmlformats.org/spreadsheetml/2006/main" count="12386" uniqueCount="1076">
  <si>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</si>
  <si>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</si>
  <si>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</si>
  <si>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</si>
  <si>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</si>
  <si>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</si>
  <si>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</si>
  <si>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</si>
  <si>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</si>
  <si>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</si>
  <si>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</si>
  <si>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</si>
  <si>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</si>
  <si>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</si>
  <si>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L1001</t>
  </si>
  <si>
    <t>Delhi MBC</t>
  </si>
  <si>
    <t>Warm</t>
  </si>
  <si>
    <t>No</t>
  </si>
  <si>
    <t>Not Cancelled</t>
  </si>
  <si>
    <t>L1011</t>
  </si>
  <si>
    <t>L1012</t>
  </si>
  <si>
    <t>L1013</t>
  </si>
  <si>
    <t>Chennai MBC</t>
  </si>
  <si>
    <t>L1022</t>
  </si>
  <si>
    <t>L1030</t>
  </si>
  <si>
    <t>L1033</t>
  </si>
  <si>
    <t>L1037</t>
  </si>
  <si>
    <t>Bangalore MBC</t>
  </si>
  <si>
    <t>L1041</t>
  </si>
  <si>
    <t>Mumbai MBC</t>
  </si>
  <si>
    <t>L1054</t>
  </si>
  <si>
    <t>L1056</t>
  </si>
  <si>
    <t>L1071</t>
  </si>
  <si>
    <t>L1074</t>
  </si>
  <si>
    <t>L1099</t>
  </si>
  <si>
    <t>L1101</t>
  </si>
  <si>
    <t>L1102</t>
  </si>
  <si>
    <t>L1105</t>
  </si>
  <si>
    <t>L1118</t>
  </si>
  <si>
    <t>L1126</t>
  </si>
  <si>
    <t>L1135</t>
  </si>
  <si>
    <t>L1139</t>
  </si>
  <si>
    <t>L1161</t>
  </si>
  <si>
    <t>L1186</t>
  </si>
  <si>
    <t>L1194</t>
  </si>
  <si>
    <t>L1224</t>
  </si>
  <si>
    <t>L1237</t>
  </si>
  <si>
    <t>L1259</t>
  </si>
  <si>
    <t>L1260</t>
  </si>
  <si>
    <t>L1269</t>
  </si>
  <si>
    <t>L1276</t>
  </si>
  <si>
    <t>L1284</t>
  </si>
  <si>
    <t>L1285</t>
  </si>
  <si>
    <t>L1305</t>
  </si>
  <si>
    <t>L1313</t>
  </si>
  <si>
    <t>L1326</t>
  </si>
  <si>
    <t>L1327</t>
  </si>
  <si>
    <t>L1328</t>
  </si>
  <si>
    <t>L1331</t>
  </si>
  <si>
    <t>L1338</t>
  </si>
  <si>
    <t>L1343</t>
  </si>
  <si>
    <t>L1344</t>
  </si>
  <si>
    <t>L1352</t>
  </si>
  <si>
    <t>L1362</t>
  </si>
  <si>
    <t>L1368</t>
  </si>
  <si>
    <t>L1370</t>
  </si>
  <si>
    <t>L1371</t>
  </si>
  <si>
    <t>L1382</t>
  </si>
  <si>
    <t>L1389</t>
  </si>
  <si>
    <t>L1417</t>
  </si>
  <si>
    <t>L1441</t>
  </si>
  <si>
    <t>L1473</t>
  </si>
  <si>
    <t>L1483</t>
  </si>
  <si>
    <t>L1492</t>
  </si>
  <si>
    <t>L1504</t>
  </si>
  <si>
    <t>L1506</t>
  </si>
  <si>
    <t>L1527</t>
  </si>
  <si>
    <t>L1543</t>
  </si>
  <si>
    <t>L1557</t>
  </si>
  <si>
    <t>L1560</t>
  </si>
  <si>
    <t>L1568</t>
  </si>
  <si>
    <t>L1571</t>
  </si>
  <si>
    <t>L1582</t>
  </si>
  <si>
    <t>L1589</t>
  </si>
  <si>
    <t>L1595</t>
  </si>
  <si>
    <t>L1598</t>
  </si>
  <si>
    <t>L1599</t>
  </si>
  <si>
    <t>L1603</t>
  </si>
  <si>
    <t>L1605</t>
  </si>
  <si>
    <t>L1615</t>
  </si>
  <si>
    <t>L1629</t>
  </si>
  <si>
    <t>L1633</t>
  </si>
  <si>
    <t>L1634</t>
  </si>
  <si>
    <t>L1642</t>
  </si>
  <si>
    <t>L1648</t>
  </si>
  <si>
    <t>L1666</t>
  </si>
  <si>
    <t>L1667</t>
  </si>
  <si>
    <t>L1676</t>
  </si>
  <si>
    <t>L1688</t>
  </si>
  <si>
    <t>L1690</t>
  </si>
  <si>
    <t>L1691</t>
  </si>
  <si>
    <t>L1704</t>
  </si>
  <si>
    <t>L1705</t>
  </si>
  <si>
    <t>L1709</t>
  </si>
  <si>
    <t>L1719</t>
  </si>
  <si>
    <t>L1720</t>
  </si>
  <si>
    <t>L1729</t>
  </si>
  <si>
    <t>L1742</t>
  </si>
  <si>
    <t>L1787</t>
  </si>
  <si>
    <t>L1790</t>
  </si>
  <si>
    <t>L1795</t>
  </si>
  <si>
    <t>L1797</t>
  </si>
  <si>
    <t>L1803</t>
  </si>
  <si>
    <t>L1822</t>
  </si>
  <si>
    <t>L1845</t>
  </si>
  <si>
    <t>L1857</t>
  </si>
  <si>
    <t>L1860</t>
  </si>
  <si>
    <t>L1861</t>
  </si>
  <si>
    <t>L1866</t>
  </si>
  <si>
    <t>L1870</t>
  </si>
  <si>
    <t>L1882</t>
  </si>
  <si>
    <t>L1891</t>
  </si>
  <si>
    <t>L1893</t>
  </si>
  <si>
    <t>L1903</t>
  </si>
  <si>
    <t>L1922</t>
  </si>
  <si>
    <t>L1928</t>
  </si>
  <si>
    <t>L1929</t>
  </si>
  <si>
    <t>L1940</t>
  </si>
  <si>
    <t>L1949</t>
  </si>
  <si>
    <t>L1957</t>
  </si>
  <si>
    <t>L1958</t>
  </si>
  <si>
    <t>L1961</t>
  </si>
  <si>
    <t>L1988</t>
  </si>
  <si>
    <t>L1024</t>
  </si>
  <si>
    <t>L1026</t>
  </si>
  <si>
    <t>L1027</t>
  </si>
  <si>
    <t>L1028</t>
  </si>
  <si>
    <t>L1038</t>
  </si>
  <si>
    <t>L1053</t>
  </si>
  <si>
    <t>L1060</t>
  </si>
  <si>
    <t>L1062</t>
  </si>
  <si>
    <t>L1066</t>
  </si>
  <si>
    <t>L1107</t>
  </si>
  <si>
    <t>L1114</t>
  </si>
  <si>
    <t>L1140</t>
  </si>
  <si>
    <t>L1149</t>
  </si>
  <si>
    <t>L1174</t>
  </si>
  <si>
    <t>L1176</t>
  </si>
  <si>
    <t>L1191</t>
  </si>
  <si>
    <t>L1221</t>
  </si>
  <si>
    <t>L1231</t>
  </si>
  <si>
    <t>L1247</t>
  </si>
  <si>
    <t>L1253</t>
  </si>
  <si>
    <t>L1254</t>
  </si>
  <si>
    <t>L1256</t>
  </si>
  <si>
    <t>L1274</t>
  </si>
  <si>
    <t>L1291</t>
  </si>
  <si>
    <t>L1297</t>
  </si>
  <si>
    <t>L1303</t>
  </si>
  <si>
    <t>L1306</t>
  </si>
  <si>
    <t>L1308</t>
  </si>
  <si>
    <t>L1315</t>
  </si>
  <si>
    <t>L1341</t>
  </si>
  <si>
    <t>L1345</t>
  </si>
  <si>
    <t>L1349</t>
  </si>
  <si>
    <t>L1356</t>
  </si>
  <si>
    <t>L1360</t>
  </si>
  <si>
    <t>L1364</t>
  </si>
  <si>
    <t>L1386</t>
  </si>
  <si>
    <t>L1392</t>
  </si>
  <si>
    <t>L1398</t>
  </si>
  <si>
    <t>L1418</t>
  </si>
  <si>
    <t>L1424</t>
  </si>
  <si>
    <t>L1436</t>
  </si>
  <si>
    <t>L1488</t>
  </si>
  <si>
    <t>L1500</t>
  </si>
  <si>
    <t>L1514</t>
  </si>
  <si>
    <t>L1519</t>
  </si>
  <si>
    <t>L1520</t>
  </si>
  <si>
    <t>L1523</t>
  </si>
  <si>
    <t>L1524</t>
  </si>
  <si>
    <t>L1533</t>
  </si>
  <si>
    <t>L1536</t>
  </si>
  <si>
    <t>L1542</t>
  </si>
  <si>
    <t>L1546</t>
  </si>
  <si>
    <t>L1547</t>
  </si>
  <si>
    <t>L1548</t>
  </si>
  <si>
    <t>L1549</t>
  </si>
  <si>
    <t>L1591</t>
  </si>
  <si>
    <t>L1593</t>
  </si>
  <si>
    <t>L1616</t>
  </si>
  <si>
    <t>L1623</t>
  </si>
  <si>
    <t>L1626</t>
  </si>
  <si>
    <t>L1660</t>
  </si>
  <si>
    <t>L1681</t>
  </si>
  <si>
    <t>L1685</t>
  </si>
  <si>
    <t>L1730</t>
  </si>
  <si>
    <t>L1740</t>
  </si>
  <si>
    <t>L1741</t>
  </si>
  <si>
    <t>L1779</t>
  </si>
  <si>
    <t>L1783</t>
  </si>
  <si>
    <t>L1802</t>
  </si>
  <si>
    <t>L1807</t>
  </si>
  <si>
    <t>L1811</t>
  </si>
  <si>
    <t>L1814</t>
  </si>
  <si>
    <t>L1820</t>
  </si>
  <si>
    <t>L1837</t>
  </si>
  <si>
    <t>L1858</t>
  </si>
  <si>
    <t>L1868</t>
  </si>
  <si>
    <t>L1892</t>
  </si>
  <si>
    <t>L1900</t>
  </si>
  <si>
    <t>L1909</t>
  </si>
  <si>
    <t>L1913</t>
  </si>
  <si>
    <t>L1919</t>
  </si>
  <si>
    <t>L1923</t>
  </si>
  <si>
    <t>L1935</t>
  </si>
  <si>
    <t>L1936</t>
  </si>
  <si>
    <t>L1941</t>
  </si>
  <si>
    <t>L1945</t>
  </si>
  <si>
    <t>L1948</t>
  </si>
  <si>
    <t>L1965</t>
  </si>
  <si>
    <t>L1966</t>
  </si>
  <si>
    <t>L1969</t>
  </si>
  <si>
    <t>L1978</t>
  </si>
  <si>
    <t>L1983</t>
  </si>
  <si>
    <t>L1997</t>
  </si>
  <si>
    <t>L1999</t>
  </si>
  <si>
    <t>L1000</t>
  </si>
  <si>
    <t>L1004</t>
  </si>
  <si>
    <t>L1005</t>
  </si>
  <si>
    <t>L1009</t>
  </si>
  <si>
    <t>L1015</t>
  </si>
  <si>
    <t>L1020</t>
  </si>
  <si>
    <t>L1032</t>
  </si>
  <si>
    <t>L1035</t>
  </si>
  <si>
    <t>L1059</t>
  </si>
  <si>
    <t>L1084</t>
  </si>
  <si>
    <t>L1097</t>
  </si>
  <si>
    <t>L1098</t>
  </si>
  <si>
    <t>L1120</t>
  </si>
  <si>
    <t>L1124</t>
  </si>
  <si>
    <t>L1136</t>
  </si>
  <si>
    <t>L1179</t>
  </si>
  <si>
    <t>L1181</t>
  </si>
  <si>
    <t>L1184</t>
  </si>
  <si>
    <t>L1193</t>
  </si>
  <si>
    <t>L1203</t>
  </si>
  <si>
    <t>L1223</t>
  </si>
  <si>
    <t>L1263</t>
  </si>
  <si>
    <t>L1265</t>
  </si>
  <si>
    <t>L1268</t>
  </si>
  <si>
    <t>L1277</t>
  </si>
  <si>
    <t>L1296</t>
  </si>
  <si>
    <t>L1302</t>
  </si>
  <si>
    <t>L1307</t>
  </si>
  <si>
    <t>L1320</t>
  </si>
  <si>
    <t>L1329</t>
  </si>
  <si>
    <t>L1342</t>
  </si>
  <si>
    <t>L1361</t>
  </si>
  <si>
    <t>L1366</t>
  </si>
  <si>
    <t>L1400</t>
  </si>
  <si>
    <t>L1402</t>
  </si>
  <si>
    <t>L1419</t>
  </si>
  <si>
    <t>L1420</t>
  </si>
  <si>
    <t>L1422</t>
  </si>
  <si>
    <t>L1426</t>
  </si>
  <si>
    <t>L1448</t>
  </si>
  <si>
    <t>L1452</t>
  </si>
  <si>
    <t>L1457</t>
  </si>
  <si>
    <t>L1468</t>
  </si>
  <si>
    <t>L1484</t>
  </si>
  <si>
    <t>L1486</t>
  </si>
  <si>
    <t>L1502</t>
  </si>
  <si>
    <t>L1513</t>
  </si>
  <si>
    <t>L1530</t>
  </si>
  <si>
    <t>L1552</t>
  </si>
  <si>
    <t>L1555</t>
  </si>
  <si>
    <t>L1576</t>
  </si>
  <si>
    <t>L1580</t>
  </si>
  <si>
    <t>L1594</t>
  </si>
  <si>
    <t>L1606</t>
  </si>
  <si>
    <t>L1608</t>
  </si>
  <si>
    <t>L1612</t>
  </si>
  <si>
    <t>L1614</t>
  </si>
  <si>
    <t>L1622</t>
  </si>
  <si>
    <t>L1636</t>
  </si>
  <si>
    <t>L1641</t>
  </si>
  <si>
    <t>L1647</t>
  </si>
  <si>
    <t>L1661</t>
  </si>
  <si>
    <t>L1679</t>
  </si>
  <si>
    <t>L1696</t>
  </si>
  <si>
    <t>L1706</t>
  </si>
  <si>
    <t>L1710</t>
  </si>
  <si>
    <t>L1736</t>
  </si>
  <si>
    <t>L1743</t>
  </si>
  <si>
    <t>L1752</t>
  </si>
  <si>
    <t>L1754</t>
  </si>
  <si>
    <t>L1755</t>
  </si>
  <si>
    <t>L1765</t>
  </si>
  <si>
    <t>L1778</t>
  </si>
  <si>
    <t>L1833</t>
  </si>
  <si>
    <t>L1836</t>
  </si>
  <si>
    <t>L1841</t>
  </si>
  <si>
    <t>L1846</t>
  </si>
  <si>
    <t>L1854</t>
  </si>
  <si>
    <t>L1863</t>
  </si>
  <si>
    <t>L1872</t>
  </si>
  <si>
    <t>L1887</t>
  </si>
  <si>
    <t>L1901</t>
  </si>
  <si>
    <t>L1902</t>
  </si>
  <si>
    <t>L1905</t>
  </si>
  <si>
    <t>L1908</t>
  </si>
  <si>
    <t>L1910</t>
  </si>
  <si>
    <t>L1920</t>
  </si>
  <si>
    <t>L1926</t>
  </si>
  <si>
    <t>L1930</t>
  </si>
  <si>
    <t>L1955</t>
  </si>
  <si>
    <t>L1967</t>
  </si>
  <si>
    <t>L1979</t>
  </si>
  <si>
    <t>L1018</t>
  </si>
  <si>
    <t>L1019</t>
  </si>
  <si>
    <t>L1025</t>
  </si>
  <si>
    <t>L1031</t>
  </si>
  <si>
    <t>L1042</t>
  </si>
  <si>
    <t>L1065</t>
  </si>
  <si>
    <t>L1076</t>
  </si>
  <si>
    <t>L1090</t>
  </si>
  <si>
    <t>L1111</t>
  </si>
  <si>
    <t>L1133</t>
  </si>
  <si>
    <t>L1145</t>
  </si>
  <si>
    <t>L1153</t>
  </si>
  <si>
    <t>L1165</t>
  </si>
  <si>
    <t>L1178</t>
  </si>
  <si>
    <t>L1185</t>
  </si>
  <si>
    <t>L1195</t>
  </si>
  <si>
    <t>L1198</t>
  </si>
  <si>
    <t>L1207</t>
  </si>
  <si>
    <t>L1222</t>
  </si>
  <si>
    <t>L1230</t>
  </si>
  <si>
    <t>L1240</t>
  </si>
  <si>
    <t>L1264</t>
  </si>
  <si>
    <t>L1272</t>
  </si>
  <si>
    <t>L1280</t>
  </si>
  <si>
    <t>L1301</t>
  </si>
  <si>
    <t>L1312</t>
  </si>
  <si>
    <t>L1314</t>
  </si>
  <si>
    <t>L1333</t>
  </si>
  <si>
    <t>L1340</t>
  </si>
  <si>
    <t>L1348</t>
  </si>
  <si>
    <t>L1357</t>
  </si>
  <si>
    <t>L1365</t>
  </si>
  <si>
    <t>L1381</t>
  </si>
  <si>
    <t>L1388</t>
  </si>
  <si>
    <t>L1401</t>
  </si>
  <si>
    <t>L1433</t>
  </si>
  <si>
    <t>L1443</t>
  </si>
  <si>
    <t>L1455</t>
  </si>
  <si>
    <t>L1459</t>
  </si>
  <si>
    <t>L1463</t>
  </si>
  <si>
    <t>L1470</t>
  </si>
  <si>
    <t>L1478</t>
  </si>
  <si>
    <t>L1482</t>
  </si>
  <si>
    <t>L1490</t>
  </si>
  <si>
    <t>L1503</t>
  </si>
  <si>
    <t>L1507</t>
  </si>
  <si>
    <t>L1509</t>
  </si>
  <si>
    <t>L1516</t>
  </si>
  <si>
    <t>L1521</t>
  </si>
  <si>
    <t>L1550</t>
  </si>
  <si>
    <t>L1554</t>
  </si>
  <si>
    <t>L1558</t>
  </si>
  <si>
    <t>L1562</t>
  </si>
  <si>
    <t>L1581</t>
  </si>
  <si>
    <t>L1586</t>
  </si>
  <si>
    <t>L1601</t>
  </si>
  <si>
    <t>L1662</t>
  </si>
  <si>
    <t>L1664</t>
  </si>
  <si>
    <t>L1671</t>
  </si>
  <si>
    <t>L1680</t>
  </si>
  <si>
    <t>L1694</t>
  </si>
  <si>
    <t>L1703</t>
  </si>
  <si>
    <t>L1721</t>
  </si>
  <si>
    <t>L1732</t>
  </si>
  <si>
    <t>L1748</t>
  </si>
  <si>
    <t>L1761</t>
  </si>
  <si>
    <t>L1780</t>
  </si>
  <si>
    <t>L1796</t>
  </si>
  <si>
    <t>L1809</t>
  </si>
  <si>
    <t>L1826</t>
  </si>
  <si>
    <t>L1828</t>
  </si>
  <si>
    <t>L1849</t>
  </si>
  <si>
    <t>L1869</t>
  </si>
  <si>
    <t>L1880</t>
  </si>
  <si>
    <t>L1906</t>
  </si>
  <si>
    <t>L1932</t>
  </si>
  <si>
    <t>L1943</t>
  </si>
  <si>
    <t>L1952</t>
  </si>
  <si>
    <t>L1973</t>
  </si>
  <si>
    <t>L1023</t>
  </si>
  <si>
    <t>L1046</t>
  </si>
  <si>
    <t>L1082</t>
  </si>
  <si>
    <t>L1095</t>
  </si>
  <si>
    <t>L1160</t>
  </si>
  <si>
    <t>L1168</t>
  </si>
  <si>
    <t>L1229</t>
  </si>
  <si>
    <t>L1238</t>
  </si>
  <si>
    <t>L1248</t>
  </si>
  <si>
    <t>L1250</t>
  </si>
  <si>
    <t>L1261</t>
  </si>
  <si>
    <t>L1304</t>
  </si>
  <si>
    <t>L1309</t>
  </si>
  <si>
    <t>L1316</t>
  </si>
  <si>
    <t>L1318</t>
  </si>
  <si>
    <t>L1346</t>
  </si>
  <si>
    <t>L1355</t>
  </si>
  <si>
    <t>L1363</t>
  </si>
  <si>
    <t>L1372</t>
  </si>
  <si>
    <t>L1373</t>
  </si>
  <si>
    <t>L1376</t>
  </si>
  <si>
    <t>L1377</t>
  </si>
  <si>
    <t>L1380</t>
  </si>
  <si>
    <t>L1391</t>
  </si>
  <si>
    <t>L1395</t>
  </si>
  <si>
    <t>L1396</t>
  </si>
  <si>
    <t>L1397</t>
  </si>
  <si>
    <t>L1399</t>
  </si>
  <si>
    <t>L1405</t>
  </si>
  <si>
    <t>L1411</t>
  </si>
  <si>
    <t>L1416</t>
  </si>
  <si>
    <t>L1427</t>
  </si>
  <si>
    <t>L1428</t>
  </si>
  <si>
    <t>L1450</t>
  </si>
  <si>
    <t>L1467</t>
  </si>
  <si>
    <t>L1480</t>
  </si>
  <si>
    <t>L1481</t>
  </si>
  <si>
    <t>L1493</t>
  </si>
  <si>
    <t>L1505</t>
  </si>
  <si>
    <t>L1526</t>
  </si>
  <si>
    <t>L1564</t>
  </si>
  <si>
    <t>L1569</t>
  </si>
  <si>
    <t>L1574</t>
  </si>
  <si>
    <t>L1583</t>
  </si>
  <si>
    <t>L1597</t>
  </si>
  <si>
    <t>L1611</t>
  </si>
  <si>
    <t>L1639</t>
  </si>
  <si>
    <t>L1659</t>
  </si>
  <si>
    <t>L1663</t>
  </si>
  <si>
    <t>L1665</t>
  </si>
  <si>
    <t>L1711</t>
  </si>
  <si>
    <t>L1713</t>
  </si>
  <si>
    <t>L1716</t>
  </si>
  <si>
    <t>L1726</t>
  </si>
  <si>
    <t>L1728</t>
  </si>
  <si>
    <t>L1731</t>
  </si>
  <si>
    <t>L1733</t>
  </si>
  <si>
    <t>L1734</t>
  </si>
  <si>
    <t>L1745</t>
  </si>
  <si>
    <t>L1769</t>
  </si>
  <si>
    <t>L1776</t>
  </si>
  <si>
    <t>L1791</t>
  </si>
  <si>
    <t>L1804</t>
  </si>
  <si>
    <t>L1842</t>
  </si>
  <si>
    <t>L1850</t>
  </si>
  <si>
    <t>L1871</t>
  </si>
  <si>
    <t>L1876</t>
  </si>
  <si>
    <t>L1878</t>
  </si>
  <si>
    <t>L1888</t>
  </si>
  <si>
    <t>L1889</t>
  </si>
  <si>
    <t>L1894</t>
  </si>
  <si>
    <t>L1953</t>
  </si>
  <si>
    <t>L1964</t>
  </si>
  <si>
    <t>L1974</t>
  </si>
  <si>
    <t>L1990</t>
  </si>
  <si>
    <t>L1006</t>
  </si>
  <si>
    <t>Hot</t>
  </si>
  <si>
    <t>L1008</t>
  </si>
  <si>
    <t>L1016</t>
  </si>
  <si>
    <t>L1017</t>
  </si>
  <si>
    <t>L1021</t>
  </si>
  <si>
    <t>L1048</t>
  </si>
  <si>
    <t>L1049</t>
  </si>
  <si>
    <t>L1050</t>
  </si>
  <si>
    <t>L1051</t>
  </si>
  <si>
    <t>L1052</t>
  </si>
  <si>
    <t>L1055</t>
  </si>
  <si>
    <t>L1067</t>
  </si>
  <si>
    <t>L1069</t>
  </si>
  <si>
    <t>L1070</t>
  </si>
  <si>
    <t>L1072</t>
  </si>
  <si>
    <t>L1075</t>
  </si>
  <si>
    <t>L1086</t>
  </si>
  <si>
    <t>L1088</t>
  </si>
  <si>
    <t>L1089</t>
  </si>
  <si>
    <t>L1100</t>
  </si>
  <si>
    <t>L1108</t>
  </si>
  <si>
    <t>L1113</t>
  </si>
  <si>
    <t>L1115</t>
  </si>
  <si>
    <t>L1117</t>
  </si>
  <si>
    <t>L1121</t>
  </si>
  <si>
    <t>L1122</t>
  </si>
  <si>
    <t>L1125</t>
  </si>
  <si>
    <t>L1128</t>
  </si>
  <si>
    <t>L1142</t>
  </si>
  <si>
    <t>L1144</t>
  </si>
  <si>
    <t>L1146</t>
  </si>
  <si>
    <t>L1148</t>
  </si>
  <si>
    <t>L1150</t>
  </si>
  <si>
    <t>L1155</t>
  </si>
  <si>
    <t>L1157</t>
  </si>
  <si>
    <t>L1159</t>
  </si>
  <si>
    <t>L1162</t>
  </si>
  <si>
    <t>L1163</t>
  </si>
  <si>
    <t>L1164</t>
  </si>
  <si>
    <t>L1169</t>
  </si>
  <si>
    <t>L1171</t>
  </si>
  <si>
    <t>L1173</t>
  </si>
  <si>
    <t>L1177</t>
  </si>
  <si>
    <t>L1180</t>
  </si>
  <si>
    <t>L1183</t>
  </si>
  <si>
    <t>L1188</t>
  </si>
  <si>
    <t>L1196</t>
  </si>
  <si>
    <t>L1200</t>
  </si>
  <si>
    <t>L1201</t>
  </si>
  <si>
    <t>L1205</t>
  </si>
  <si>
    <t>L1209</t>
  </si>
  <si>
    <t>L1212</t>
  </si>
  <si>
    <t>L1213</t>
  </si>
  <si>
    <t>L1227</t>
  </si>
  <si>
    <t>L1235</t>
  </si>
  <si>
    <t>L1236</t>
  </si>
  <si>
    <t>L1241</t>
  </si>
  <si>
    <t>L1244</t>
  </si>
  <si>
    <t>L1246</t>
  </si>
  <si>
    <t>L1249</t>
  </si>
  <si>
    <t>L1251</t>
  </si>
  <si>
    <t>L1252</t>
  </si>
  <si>
    <t>L1270</t>
  </si>
  <si>
    <t>L1273</t>
  </si>
  <si>
    <t>L1275</t>
  </si>
  <si>
    <t>L1287</t>
  </si>
  <si>
    <t>L1310</t>
  </si>
  <si>
    <t>L1311</t>
  </si>
  <si>
    <t>L1325</t>
  </si>
  <si>
    <t>L1330</t>
  </si>
  <si>
    <t>L1334</t>
  </si>
  <si>
    <t>L1336</t>
  </si>
  <si>
    <t>L1347</t>
  </si>
  <si>
    <t>L1354</t>
  </si>
  <si>
    <t>L1359</t>
  </si>
  <si>
    <t>L1369</t>
  </si>
  <si>
    <t>L1374</t>
  </si>
  <si>
    <t>L1379</t>
  </si>
  <si>
    <t>L1383</t>
  </si>
  <si>
    <t>L1394</t>
  </si>
  <si>
    <t>L1406</t>
  </si>
  <si>
    <t>L1409</t>
  </si>
  <si>
    <t>L1410</t>
  </si>
  <si>
    <t>L1413</t>
  </si>
  <si>
    <t>L1415</t>
  </si>
  <si>
    <t>L1421</t>
  </si>
  <si>
    <t>L1430</t>
  </si>
  <si>
    <t>L1431</t>
  </si>
  <si>
    <t>L1434</t>
  </si>
  <si>
    <t>L1435</t>
  </si>
  <si>
    <t>L1437</t>
  </si>
  <si>
    <t>L1440</t>
  </si>
  <si>
    <t>L1445</t>
  </si>
  <si>
    <t>L1458</t>
  </si>
  <si>
    <t>L1464</t>
  </si>
  <si>
    <t>L1466</t>
  </si>
  <si>
    <t>L1476</t>
  </si>
  <si>
    <t>L1487</t>
  </si>
  <si>
    <t>L1489</t>
  </si>
  <si>
    <t>L1498</t>
  </si>
  <si>
    <t>L1511</t>
  </si>
  <si>
    <t>L1517</t>
  </si>
  <si>
    <t>L1518</t>
  </si>
  <si>
    <t>L1525</t>
  </si>
  <si>
    <t>L1531</t>
  </si>
  <si>
    <t>L1534</t>
  </si>
  <si>
    <t>L1537</t>
  </si>
  <si>
    <t>L1540</t>
  </si>
  <si>
    <t>L1544</t>
  </si>
  <si>
    <t>L1551</t>
  </si>
  <si>
    <t>L1556</t>
  </si>
  <si>
    <t>L1563</t>
  </si>
  <si>
    <t>L1565</t>
  </si>
  <si>
    <t>L1570</t>
  </si>
  <si>
    <t>L1573</t>
  </si>
  <si>
    <t>L1575</t>
  </si>
  <si>
    <t>L1577</t>
  </si>
  <si>
    <t>L1578</t>
  </si>
  <si>
    <t>L1579</t>
  </si>
  <si>
    <t>L1585</t>
  </si>
  <si>
    <t>L1602</t>
  </si>
  <si>
    <t>L1604</t>
  </si>
  <si>
    <t>L1607</t>
  </si>
  <si>
    <t>L1609</t>
  </si>
  <si>
    <t>L1610</t>
  </si>
  <si>
    <t>L1617</t>
  </si>
  <si>
    <t>L1621</t>
  </si>
  <si>
    <t>L1625</t>
  </si>
  <si>
    <t>L1630</t>
  </si>
  <si>
    <t>L1632</t>
  </si>
  <si>
    <t>L1638</t>
  </si>
  <si>
    <t>L1643</t>
  </si>
  <si>
    <t>L1644</t>
  </si>
  <si>
    <t>L1645</t>
  </si>
  <si>
    <t>L1653</t>
  </si>
  <si>
    <t>L1668</t>
  </si>
  <si>
    <t>L1673</t>
  </si>
  <si>
    <t>L1674</t>
  </si>
  <si>
    <t>L1682</t>
  </si>
  <si>
    <t>L1689</t>
  </si>
  <si>
    <t>L1692</t>
  </si>
  <si>
    <t>L1693</t>
  </si>
  <si>
    <t>L1695</t>
  </si>
  <si>
    <t>L1701</t>
  </si>
  <si>
    <t>L1712</t>
  </si>
  <si>
    <t>L1714</t>
  </si>
  <si>
    <t>L1715</t>
  </si>
  <si>
    <t>L1717</t>
  </si>
  <si>
    <t>L1718</t>
  </si>
  <si>
    <t>L1724</t>
  </si>
  <si>
    <t>L1725</t>
  </si>
  <si>
    <t>L1735</t>
  </si>
  <si>
    <t>L1738</t>
  </si>
  <si>
    <t>L1739</t>
  </si>
  <si>
    <t>L1749</t>
  </si>
  <si>
    <t>L1750</t>
  </si>
  <si>
    <t>L1751</t>
  </si>
  <si>
    <t>L1757</t>
  </si>
  <si>
    <t>L1758</t>
  </si>
  <si>
    <t>L1760</t>
  </si>
  <si>
    <t>L1768</t>
  </si>
  <si>
    <t>L1775</t>
  </si>
  <si>
    <t>L1781</t>
  </si>
  <si>
    <t>L1785</t>
  </si>
  <si>
    <t>L1788</t>
  </si>
  <si>
    <t>L1789</t>
  </si>
  <si>
    <t>L1793</t>
  </si>
  <si>
    <t>L1806</t>
  </si>
  <si>
    <t>L1812</t>
  </si>
  <si>
    <t>L1817</t>
  </si>
  <si>
    <t>L1825</t>
  </si>
  <si>
    <t>L1831</t>
  </si>
  <si>
    <t>L1838</t>
  </si>
  <si>
    <t>L1839</t>
  </si>
  <si>
    <t>L1848</t>
  </si>
  <si>
    <t>L1851</t>
  </si>
  <si>
    <t>L1855</t>
  </si>
  <si>
    <t>L1856</t>
  </si>
  <si>
    <t>L1859</t>
  </si>
  <si>
    <t>L1864</t>
  </si>
  <si>
    <t>L1873</t>
  </si>
  <si>
    <t>L1874</t>
  </si>
  <si>
    <t>L1875</t>
  </si>
  <si>
    <t>L1879</t>
  </si>
  <si>
    <t>L1884</t>
  </si>
  <si>
    <t>L1899</t>
  </si>
  <si>
    <t>L1907</t>
  </si>
  <si>
    <t>L1911</t>
  </si>
  <si>
    <t>L1912</t>
  </si>
  <si>
    <t>L1914</t>
  </si>
  <si>
    <t>L1915</t>
  </si>
  <si>
    <t>L1916</t>
  </si>
  <si>
    <t>L1917</t>
  </si>
  <si>
    <t>L1918</t>
  </si>
  <si>
    <t>L1924</t>
  </si>
  <si>
    <t>L1925</t>
  </si>
  <si>
    <t>L1931</t>
  </si>
  <si>
    <t>L1934</t>
  </si>
  <si>
    <t>L1938</t>
  </si>
  <si>
    <t>L1942</t>
  </si>
  <si>
    <t>L1944</t>
  </si>
  <si>
    <t>L1946</t>
  </si>
  <si>
    <t>L1954</t>
  </si>
  <si>
    <t>L1963</t>
  </si>
  <si>
    <t>L1970</t>
  </si>
  <si>
    <t>L1972</t>
  </si>
  <si>
    <t>L1980</t>
  </si>
  <si>
    <t>L1985</t>
  </si>
  <si>
    <t>L1986</t>
  </si>
  <si>
    <t>L1991</t>
  </si>
  <si>
    <t>L1993</t>
  </si>
  <si>
    <t>L1995</t>
  </si>
  <si>
    <t>L1044</t>
  </si>
  <si>
    <t>L1045</t>
  </si>
  <si>
    <t>L1057</t>
  </si>
  <si>
    <t>L1061</t>
  </si>
  <si>
    <t>L1063</t>
  </si>
  <si>
    <t>L1083</t>
  </si>
  <si>
    <t>L1091</t>
  </si>
  <si>
    <t>L1123</t>
  </si>
  <si>
    <t>L1131</t>
  </si>
  <si>
    <t>L1143</t>
  </si>
  <si>
    <t>L1172</t>
  </si>
  <si>
    <t>L1187</t>
  </si>
  <si>
    <t>L1202</t>
  </si>
  <si>
    <t>L1216</t>
  </si>
  <si>
    <t>L1233</t>
  </si>
  <si>
    <t>L1234</t>
  </si>
  <si>
    <t>L1271</t>
  </si>
  <si>
    <t>L1290</t>
  </si>
  <si>
    <t>L1293</t>
  </si>
  <si>
    <t>L1298</t>
  </si>
  <si>
    <t>L1323</t>
  </si>
  <si>
    <t>L1332</t>
  </si>
  <si>
    <t>L1390</t>
  </si>
  <si>
    <t>L1412</t>
  </si>
  <si>
    <t>L1425</t>
  </si>
  <si>
    <t>L1429</t>
  </si>
  <si>
    <t>L1438</t>
  </si>
  <si>
    <t>L1449</t>
  </si>
  <si>
    <t>L1465</t>
  </si>
  <si>
    <t>L1499</t>
  </si>
  <si>
    <t>L1501</t>
  </si>
  <si>
    <t>L1545</t>
  </si>
  <si>
    <t>L1566</t>
  </si>
  <si>
    <t>L1572</t>
  </si>
  <si>
    <t>L1637</t>
  </si>
  <si>
    <t>L1646</t>
  </si>
  <si>
    <t>L1656</t>
  </si>
  <si>
    <t>L1672</t>
  </si>
  <si>
    <t>L1699</t>
  </si>
  <si>
    <t>L1708</t>
  </si>
  <si>
    <t>L1722</t>
  </si>
  <si>
    <t>L1723</t>
  </si>
  <si>
    <t>L1744</t>
  </si>
  <si>
    <t>L1753</t>
  </si>
  <si>
    <t>L1756</t>
  </si>
  <si>
    <t>L1767</t>
  </si>
  <si>
    <t>L1772</t>
  </si>
  <si>
    <t>L1773</t>
  </si>
  <si>
    <t>L1794</t>
  </si>
  <si>
    <t>L1808</t>
  </si>
  <si>
    <t>L1815</t>
  </si>
  <si>
    <t>L1818</t>
  </si>
  <si>
    <t>L1823</t>
  </si>
  <si>
    <t>L1832</t>
  </si>
  <si>
    <t>L1834</t>
  </si>
  <si>
    <t>L1867</t>
  </si>
  <si>
    <t>L1885</t>
  </si>
  <si>
    <t>L1950</t>
  </si>
  <si>
    <t>L1951</t>
  </si>
  <si>
    <t>L1960</t>
  </si>
  <si>
    <t>L1984</t>
  </si>
  <si>
    <t>L1987</t>
  </si>
  <si>
    <t>L1992</t>
  </si>
  <si>
    <t>L1994</t>
  </si>
  <si>
    <t>L1996</t>
  </si>
  <si>
    <t>L1007</t>
  </si>
  <si>
    <t>Yes</t>
  </si>
  <si>
    <t>Changed Mind</t>
  </si>
  <si>
    <t>L1014</t>
  </si>
  <si>
    <t>L1036</t>
  </si>
  <si>
    <t>Financing Issue</t>
  </si>
  <si>
    <t>L1039</t>
  </si>
  <si>
    <t>Other</t>
  </si>
  <si>
    <t>L1058</t>
  </si>
  <si>
    <t>L1079</t>
  </si>
  <si>
    <t>L1096</t>
  </si>
  <si>
    <t>L1106</t>
  </si>
  <si>
    <t>L1112</t>
  </si>
  <si>
    <t>L1137</t>
  </si>
  <si>
    <t>Price</t>
  </si>
  <si>
    <t>L1166</t>
  </si>
  <si>
    <t>L1167</t>
  </si>
  <si>
    <t>L1192</t>
  </si>
  <si>
    <t>L1211</t>
  </si>
  <si>
    <t>L1217</t>
  </si>
  <si>
    <t>L1225</t>
  </si>
  <si>
    <t>L1226</t>
  </si>
  <si>
    <t>L1232</t>
  </si>
  <si>
    <t>L1239</t>
  </si>
  <si>
    <t>L1245</t>
  </si>
  <si>
    <t>L1255</t>
  </si>
  <si>
    <t>Model Unavailable</t>
  </si>
  <si>
    <t>L1258</t>
  </si>
  <si>
    <t>L1279</t>
  </si>
  <si>
    <t>L1282</t>
  </si>
  <si>
    <t>L1288</t>
  </si>
  <si>
    <t>L1295</t>
  </si>
  <si>
    <t>L1317</t>
  </si>
  <si>
    <t>L1319</t>
  </si>
  <si>
    <t>L1322</t>
  </si>
  <si>
    <t>L1324</t>
  </si>
  <si>
    <t>L1350</t>
  </si>
  <si>
    <t>L1351</t>
  </si>
  <si>
    <t>L1367</t>
  </si>
  <si>
    <t>L1375</t>
  </si>
  <si>
    <t>L1384</t>
  </si>
  <si>
    <t>L1387</t>
  </si>
  <si>
    <t>L1404</t>
  </si>
  <si>
    <t>L1408</t>
  </si>
  <si>
    <t>L1414</t>
  </si>
  <si>
    <t>L1444</t>
  </si>
  <si>
    <t>L1456</t>
  </si>
  <si>
    <t>L1460</t>
  </si>
  <si>
    <t>L1475</t>
  </si>
  <si>
    <t>L1477</t>
  </si>
  <si>
    <t>L1479</t>
  </si>
  <si>
    <t>L1485</t>
  </si>
  <si>
    <t>L1491</t>
  </si>
  <si>
    <t>L1515</t>
  </si>
  <si>
    <t>L1535</t>
  </si>
  <si>
    <t>L1539</t>
  </si>
  <si>
    <t>L1584</t>
  </si>
  <si>
    <t>L1588</t>
  </si>
  <si>
    <t>L1592</t>
  </si>
  <si>
    <t>L1596</t>
  </si>
  <si>
    <t>L1619</t>
  </si>
  <si>
    <t>L1620</t>
  </si>
  <si>
    <t>L1628</t>
  </si>
  <si>
    <t>L1635</t>
  </si>
  <si>
    <t>L1649</t>
  </si>
  <si>
    <t>L1650</t>
  </si>
  <si>
    <t>L1651</t>
  </si>
  <si>
    <t>L1657</t>
  </si>
  <si>
    <t>L1658</t>
  </si>
  <si>
    <t>L1669</t>
  </si>
  <si>
    <t>L1678</t>
  </si>
  <si>
    <t>L1702</t>
  </si>
  <si>
    <t>L1707</t>
  </si>
  <si>
    <t>L1746</t>
  </si>
  <si>
    <t>L1763</t>
  </si>
  <si>
    <t>L1801</t>
  </si>
  <si>
    <t>L1816</t>
  </si>
  <si>
    <t>L1824</t>
  </si>
  <si>
    <t>L1829</t>
  </si>
  <si>
    <t>L1830</t>
  </si>
  <si>
    <t>L1835</t>
  </si>
  <si>
    <t>L1843</t>
  </si>
  <si>
    <t>L1853</t>
  </si>
  <si>
    <t>L1862</t>
  </si>
  <si>
    <t>L1895</t>
  </si>
  <si>
    <t>L1927</t>
  </si>
  <si>
    <t>L1933</t>
  </si>
  <si>
    <t>L1975</t>
  </si>
  <si>
    <t>L1976</t>
  </si>
  <si>
    <t>L1002</t>
  </si>
  <si>
    <t>Cold</t>
  </si>
  <si>
    <t>L1003</t>
  </si>
  <si>
    <t>L1010</t>
  </si>
  <si>
    <t>L1029</t>
  </si>
  <si>
    <t>L1034</t>
  </si>
  <si>
    <t>L1040</t>
  </si>
  <si>
    <t>L1043</t>
  </si>
  <si>
    <t>L1047</t>
  </si>
  <si>
    <t>L1064</t>
  </si>
  <si>
    <t>L1068</t>
  </si>
  <si>
    <t>L1073</t>
  </si>
  <si>
    <t>L1077</t>
  </si>
  <si>
    <t>L1078</t>
  </si>
  <si>
    <t>L1080</t>
  </si>
  <si>
    <t>L1081</t>
  </si>
  <si>
    <t>L1085</t>
  </si>
  <si>
    <t>L1087</t>
  </si>
  <si>
    <t>L1092</t>
  </si>
  <si>
    <t>L1093</t>
  </si>
  <si>
    <t>L1094</t>
  </si>
  <si>
    <t>L1103</t>
  </si>
  <si>
    <t>L1104</t>
  </si>
  <si>
    <t>L1109</t>
  </si>
  <si>
    <t>L1110</t>
  </si>
  <si>
    <t>L1116</t>
  </si>
  <si>
    <t>L1119</t>
  </si>
  <si>
    <t>L1127</t>
  </si>
  <si>
    <t>L1129</t>
  </si>
  <si>
    <t>L1130</t>
  </si>
  <si>
    <t>L1132</t>
  </si>
  <si>
    <t>L1134</t>
  </si>
  <si>
    <t>L1138</t>
  </si>
  <si>
    <t>L1141</t>
  </si>
  <si>
    <t>L1147</t>
  </si>
  <si>
    <t>L1151</t>
  </si>
  <si>
    <t>L1152</t>
  </si>
  <si>
    <t>L1154</t>
  </si>
  <si>
    <t>L1156</t>
  </si>
  <si>
    <t>L1158</t>
  </si>
  <si>
    <t>L1170</t>
  </si>
  <si>
    <t>L1175</t>
  </si>
  <si>
    <t>L1182</t>
  </si>
  <si>
    <t>L1189</t>
  </si>
  <si>
    <t>L1190</t>
  </si>
  <si>
    <t>L1197</t>
  </si>
  <si>
    <t>L1199</t>
  </si>
  <si>
    <t>L1204</t>
  </si>
  <si>
    <t>L1206</t>
  </si>
  <si>
    <t>L1208</t>
  </si>
  <si>
    <t>L1210</t>
  </si>
  <si>
    <t>L1214</t>
  </si>
  <si>
    <t>L1215</t>
  </si>
  <si>
    <t>L1218</t>
  </si>
  <si>
    <t>L1219</t>
  </si>
  <si>
    <t>L1220</t>
  </si>
  <si>
    <t>L1228</t>
  </si>
  <si>
    <t>L1242</t>
  </si>
  <si>
    <t>L1243</t>
  </si>
  <si>
    <t>L1257</t>
  </si>
  <si>
    <t>L1262</t>
  </si>
  <si>
    <t>L1266</t>
  </si>
  <si>
    <t>L1267</t>
  </si>
  <si>
    <t>L1278</t>
  </si>
  <si>
    <t>L1281</t>
  </si>
  <si>
    <t>L1283</t>
  </si>
  <si>
    <t>L1286</t>
  </si>
  <si>
    <t>L1289</t>
  </si>
  <si>
    <t>L1292</t>
  </si>
  <si>
    <t>L1294</t>
  </si>
  <si>
    <t>L1299</t>
  </si>
  <si>
    <t>L1300</t>
  </si>
  <si>
    <t>L1321</t>
  </si>
  <si>
    <t>L1335</t>
  </si>
  <si>
    <t>L1337</t>
  </si>
  <si>
    <t>L1339</t>
  </si>
  <si>
    <t>L1353</t>
  </si>
  <si>
    <t>L1358</t>
  </si>
  <si>
    <t>L1378</t>
  </si>
  <si>
    <t>L1385</t>
  </si>
  <si>
    <t>L1393</t>
  </si>
  <si>
    <t>L1403</t>
  </si>
  <si>
    <t>L1407</t>
  </si>
  <si>
    <t>L1423</t>
  </si>
  <si>
    <t>L1432</t>
  </si>
  <si>
    <t>L1439</t>
  </si>
  <si>
    <t>L1442</t>
  </si>
  <si>
    <t>L1446</t>
  </si>
  <si>
    <t>L1447</t>
  </si>
  <si>
    <t>L1451</t>
  </si>
  <si>
    <t>L1453</t>
  </si>
  <si>
    <t>L1454</t>
  </si>
  <si>
    <t>L1461</t>
  </si>
  <si>
    <t>L1462</t>
  </si>
  <si>
    <t>L1469</t>
  </si>
  <si>
    <t>L1471</t>
  </si>
  <si>
    <t>L1472</t>
  </si>
  <si>
    <t>L1474</t>
  </si>
  <si>
    <t>L1494</t>
  </si>
  <si>
    <t>L1495</t>
  </si>
  <si>
    <t>L1496</t>
  </si>
  <si>
    <t>L1497</t>
  </si>
  <si>
    <t>L1508</t>
  </si>
  <si>
    <t>L1510</t>
  </si>
  <si>
    <t>L1512</t>
  </si>
  <si>
    <t>L1522</t>
  </si>
  <si>
    <t>L1528</t>
  </si>
  <si>
    <t>L1529</t>
  </si>
  <si>
    <t>L1532</t>
  </si>
  <si>
    <t>L1538</t>
  </si>
  <si>
    <t>L1541</t>
  </si>
  <si>
    <t>L1553</t>
  </si>
  <si>
    <t>L1559</t>
  </si>
  <si>
    <t>L1561</t>
  </si>
  <si>
    <t>L1567</t>
  </si>
  <si>
    <t>L1587</t>
  </si>
  <si>
    <t>L1590</t>
  </si>
  <si>
    <t>L1600</t>
  </si>
  <si>
    <t>L1613</t>
  </si>
  <si>
    <t>L1618</t>
  </si>
  <si>
    <t>L1624</t>
  </si>
  <si>
    <t>L1627</t>
  </si>
  <si>
    <t>L1631</t>
  </si>
  <si>
    <t>L1640</t>
  </si>
  <si>
    <t>L1652</t>
  </si>
  <si>
    <t>L1654</t>
  </si>
  <si>
    <t>L1655</t>
  </si>
  <si>
    <t>L1670</t>
  </si>
  <si>
    <t>L1675</t>
  </si>
  <si>
    <t>L1677</t>
  </si>
  <si>
    <t>L1683</t>
  </si>
  <si>
    <t>L1684</t>
  </si>
  <si>
    <t>L1686</t>
  </si>
  <si>
    <t>L1687</t>
  </si>
  <si>
    <t>L1697</t>
  </si>
  <si>
    <t>L1698</t>
  </si>
  <si>
    <t>L1700</t>
  </si>
  <si>
    <t>L1727</t>
  </si>
  <si>
    <t>L1737</t>
  </si>
  <si>
    <t>L1747</t>
  </si>
  <si>
    <t>L1759</t>
  </si>
  <si>
    <t>L1762</t>
  </si>
  <si>
    <t>L1764</t>
  </si>
  <si>
    <t>L1766</t>
  </si>
  <si>
    <t>L1770</t>
  </si>
  <si>
    <t>L1771</t>
  </si>
  <si>
    <t>L1774</t>
  </si>
  <si>
    <t>L1777</t>
  </si>
  <si>
    <t>L1782</t>
  </si>
  <si>
    <t>L1784</t>
  </si>
  <si>
    <t>L1786</t>
  </si>
  <si>
    <t>L1792</t>
  </si>
  <si>
    <t>L1798</t>
  </si>
  <si>
    <t>L1799</t>
  </si>
  <si>
    <t>L1800</t>
  </si>
  <si>
    <t>L1805</t>
  </si>
  <si>
    <t>L1810</t>
  </si>
  <si>
    <t>L1813</t>
  </si>
  <si>
    <t>L1819</t>
  </si>
  <si>
    <t>L1821</t>
  </si>
  <si>
    <t>L1827</t>
  </si>
  <si>
    <t>L1840</t>
  </si>
  <si>
    <t>L1844</t>
  </si>
  <si>
    <t>L1847</t>
  </si>
  <si>
    <t>L1852</t>
  </si>
  <si>
    <t>L1865</t>
  </si>
  <si>
    <t>L1877</t>
  </si>
  <si>
    <t>L1881</t>
  </si>
  <si>
    <t>L1883</t>
  </si>
  <si>
    <t>L1886</t>
  </si>
  <si>
    <t>L1890</t>
  </si>
  <si>
    <t>L1896</t>
  </si>
  <si>
    <t>L1897</t>
  </si>
  <si>
    <t>L1898</t>
  </si>
  <si>
    <t>L1904</t>
  </si>
  <si>
    <t>L1921</t>
  </si>
  <si>
    <t>L1937</t>
  </si>
  <si>
    <t>L1939</t>
  </si>
  <si>
    <t>L1947</t>
  </si>
  <si>
    <t>L1956</t>
  </si>
  <si>
    <t>L1959</t>
  </si>
  <si>
    <t>L1962</t>
  </si>
  <si>
    <t>L1968</t>
  </si>
  <si>
    <t>L1971</t>
  </si>
  <si>
    <t>L1977</t>
  </si>
  <si>
    <t>L1981</t>
  </si>
  <si>
    <t>L1982</t>
  </si>
  <si>
    <t>L1989</t>
  </si>
  <si>
    <t>L1998</t>
  </si>
  <si>
    <t>Row Labels</t>
  </si>
  <si>
    <t>Grand Total</t>
  </si>
  <si>
    <t>Column Labels</t>
  </si>
  <si>
    <t>Pre-Booking Date (Month Index)</t>
  </si>
  <si>
    <t>Pre-Booking Date (Month)</t>
  </si>
  <si>
    <t>Oct</t>
  </si>
  <si>
    <t>Nov</t>
  </si>
  <si>
    <t/>
  </si>
  <si>
    <t>Column1</t>
  </si>
  <si>
    <t>Count of Pre-Booking Date</t>
  </si>
  <si>
    <t>Count of Booking Date</t>
  </si>
  <si>
    <t>Count of Delivery Date</t>
  </si>
  <si>
    <t>Count of Lead ID</t>
  </si>
  <si>
    <t>Lead to Pre-Booking Conversion (%)</t>
  </si>
  <si>
    <t>Pre-Booking to Booking Conversion (%)</t>
  </si>
  <si>
    <t>Booking to Delivery Conversion (%)</t>
  </si>
  <si>
    <t>Lead Date_dt</t>
  </si>
  <si>
    <t>Pre-Booking Date_dt</t>
  </si>
  <si>
    <t>Delivery Date_dt</t>
  </si>
  <si>
    <t>Stage</t>
  </si>
  <si>
    <t>Delivery</t>
  </si>
  <si>
    <t>Cancelled</t>
  </si>
  <si>
    <t>Average of TAT Pre-Booking (Days)</t>
  </si>
  <si>
    <t>Average of TAT Booking (Days)</t>
  </si>
  <si>
    <t>Average of TAT Delivery (Days)</t>
  </si>
  <si>
    <t>Count of Cancellation Status</t>
  </si>
  <si>
    <t>Delivery Date (Month Index)</t>
  </si>
  <si>
    <t>Delivery Date (Month)</t>
  </si>
  <si>
    <t>NPS Category</t>
  </si>
  <si>
    <t>Detractor</t>
  </si>
  <si>
    <t>Passive</t>
  </si>
  <si>
    <t>Promoter</t>
  </si>
  <si>
    <t xml:space="preserve">Conversion rates (Lead → Pre-Booking → Booking → Delivery) </t>
  </si>
  <si>
    <t>Calculate P%</t>
  </si>
  <si>
    <t>Calculate D%</t>
  </si>
  <si>
    <t>NPS Score</t>
  </si>
  <si>
    <t>Average TAT for each stage per store</t>
  </si>
  <si>
    <t>Cancellation patterns by store and reason</t>
  </si>
  <si>
    <t>Breakdown of Hot/Warm/Cold leads</t>
  </si>
  <si>
    <t>NPS of each store</t>
  </si>
  <si>
    <t>ElectricPe Lead-to-Delivery Funnel Performance</t>
  </si>
  <si>
    <t xml:space="preserve">              Breakdown of Hot/Warm/Cold leads</t>
  </si>
  <si>
    <t xml:space="preserve">     NPS of each store</t>
  </si>
  <si>
    <t>Overall Conversion %</t>
  </si>
  <si>
    <t xml:space="preserve">         Average TAT for each stage per store</t>
  </si>
  <si>
    <t xml:space="preserve">         Cancellation patterns by store and reason</t>
  </si>
  <si>
    <t>High-Potential.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</si>
</sst>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6"/>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1" applyNumberFormat="1" applyFont="1"/>
    <xf numFmtId="0" fontId="2" fillId="0" borderId="1" xfId="0" applyFont="1" applyBorder="1" applyAlignment="1">
      <alignment horizontal="center" vertical="top"/>
    </xf>
    <xf numFmtId="164" fontId="0" fillId="0" borderId="0" xfId="0" applyNumberFormat="1"/>
    <xf numFmtId="0" fontId="2" fillId="0" borderId="0" xfId="0" applyFont="1"/>
    <xf numFmtId="1" fontId="0" fillId="0" borderId="0" xfId="0" applyNumberFormat="1"/>
    <xf numFmtId="10" fontId="0" fillId="0" borderId="0" xfId="0" applyNumberFormat="1"/>
    <xf numFmtId="0" fontId="0" fillId="2" borderId="0" xfId="0" applyFill="1"/>
    <xf numFmtId="0" fontId="0" fillId="3" borderId="0" xfId="0" applyFill="1"/>
    <xf numFmtId="0" fontId="4" fillId="3" borderId="0" xfId="0" applyFont="1" applyFill="1"/>
    <xf numFmtId="0" fontId="0" fillId="0" borderId="0" xfId="0" applyNumberFormat="1"/>
  </cellXfs>
  <cellStyles count="2">
    <cellStyle name="Normal" xfId="0" builtinId="0"/>
    <cellStyle name="Percent" xfId="1" builtinId="5"/>
  </cellStyles>
  <dxfs count="13">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2.3071852884485326E-2"/>
          <c:y val="0"/>
          <c:w val="0.97692814711551468"/>
          <c:h val="0.83406465651197148"/>
        </c:manualLayout>
      </c:layout>
      <c:barChart>
        <c:barDir val="col"/>
        <c:grouping val="clustered"/>
        <c:varyColors val="0"/>
        <c:ser>
          <c:idx val="0"/>
          <c:order val="0"/>
          <c:tx>
            <c:strRef>
              <c:f>'pivot table'!$F$4</c:f>
              <c:strCache>
                <c:ptCount val="1"/>
                <c:pt idx="0">
                  <c:v>Lead to Pre-Booking Conversion (%)</c:v>
                </c:pt>
              </c:strCache>
            </c:strRef>
          </c:tx>
          <c:spPr>
            <a:solidFill>
              <a:schemeClr val="accent6">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'pivot table'!$F$5:$F$10</c:f>
              <c:numCache>
                <c:formatCode>0.00%</c:formatCode>
                <c:ptCount val="6"/>
                <c:pt idx="0">
                  <c:v>0.80608365019011408</c:v>
                </c:pt>
                <c:pt idx="1">
                  <c:v>0.81603773584905659</c:v>
                </c:pt>
                <c:pt idx="2">
                  <c:v>0.80608365019011408</c:v>
                </c:pt>
                <c:pt idx="3">
                  <c:v>0.82061068702290074</c:v>
                </c:pt>
                <c:pt idx="4">
                  <c:v>0.81200000000000006</c:v>
                </c:pt>
              </c:numCache>
            </c:numRef>
          </c:val>
          <c:extLst>
            <c:ext xmlns:c16="http://schemas.microsoft.com/office/drawing/2014/chart" uri="{C3380CC4-5D6E-409C-BE32-E72D297353CC}">
              <c16:uniqueId val="{00000000-73B8-4FA9-A9A2-671D86488D76}"/>
            </c:ext>
          </c:extLst>
        </c:ser>
        <c:ser>
          <c:idx val="1"/>
          <c:order val="1"/>
          <c:tx>
            <c:strRef>
              <c:f>'pivot table'!$G$4</c:f>
              <c:strCache>
                <c:ptCount val="1"/>
                <c:pt idx="0">
                  <c:v>Pre-Booking to Booking Conversion (%)</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'pivot table'!$G$5:$G$10</c:f>
              <c:numCache>
                <c:formatCode>0.00%</c:formatCode>
                <c:ptCount val="6"/>
                <c:pt idx="0">
                  <c:v>1</c:v>
                </c:pt>
                <c:pt idx="1">
                  <c:v>1</c:v>
                </c:pt>
                <c:pt idx="2">
                  <c:v>1</c:v>
                </c:pt>
                <c:pt idx="3">
                  <c:v>1</c:v>
                </c:pt>
                <c:pt idx="4">
                  <c:v>1</c:v>
                </c:pt>
              </c:numCache>
            </c:numRef>
          </c:val>
          <c:extLst>
            <c:ext xmlns:c16="http://schemas.microsoft.com/office/drawing/2014/chart" uri="{C3380CC4-5D6E-409C-BE32-E72D297353CC}">
              <c16:uniqueId val="{00000001-73B8-4FA9-A9A2-671D86488D76}"/>
            </c:ext>
          </c:extLst>
        </c:ser>
        <c:ser>
          <c:idx val="2"/>
          <c:order val="2"/>
          <c:tx>
            <c:strRef>
              <c:f>'pivot table'!$H$4</c:f>
              <c:strCache>
                <c:ptCount val="1"/>
                <c:pt idx="0">
                  <c:v>Booking to Delivery Conversion (%)</c:v>
                </c:pt>
              </c:strCache>
            </c:strRef>
          </c:tx>
          <c:spPr>
            <a:solidFill>
              <a:schemeClr val="accent6">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'pivot table'!$H$5:$H$10</c:f>
              <c:numCache>
                <c:formatCode>0.00%</c:formatCode>
                <c:ptCount val="6"/>
                <c:pt idx="0">
                  <c:v>1</c:v>
                </c:pt>
                <c:pt idx="1">
                  <c:v>1</c:v>
                </c:pt>
                <c:pt idx="2">
                  <c:v>1</c:v>
                </c:pt>
                <c:pt idx="3">
                  <c:v>1</c:v>
                </c:pt>
                <c:pt idx="4">
                  <c:v>1</c:v>
                </c:pt>
              </c:numCache>
            </c:numRef>
          </c:val>
          <c:extLst>
            <c:ext xmlns:c16="http://schemas.microsoft.com/office/drawing/2014/chart" uri="{C3380CC4-5D6E-409C-BE32-E72D297353CC}">
              <c16:uniqueId val="{00000002-73B8-4FA9-A9A2-671D86488D76}"/>
            </c:ext>
          </c:extLst>
        </c:ser>
        <c:dLbls>
          <c:dLblPos val="inEnd"/>
          <c:showLegendKey val="0"/>
          <c:showVal val="1"/>
          <c:showCatName val="0"/>
          <c:showSerName val="0"/>
          <c:showPercent val="0"/>
          <c:showBubbleSize val="0"/>
        </c:dLbls>
        <c:gapWidth val="65"/>
        <c:axId val="887959632"/>
        <c:axId val="887962032"/>
      </c:barChart>
      <c:catAx>
        <c:axId val="88795963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7962032"/>
        <c:crosses val="autoZero"/>
        <c:auto val="1"/>
        <c:lblAlgn val="ctr"/>
        <c:lblOffset val="100"/>
        <c:noMultiLvlLbl val="0"/>
      </c:catAx>
      <c:valAx>
        <c:axId val="8879620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8879596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[Shivangi_ElectricPe_Assignment.xlsx]pivot table!PivotTable2</c:name>
    <c:fmtId val="5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31750" cap="rnd" cmpd="sng" algn="ctr">
            <a:solidFill>
              <a:schemeClr val="accent6"/>
            </a:solidFill>
            <a:round/>
          </a:ln>
          <a:effectLst/>
        </c:spPr>
        <c:marker>
          <c:symbol val="circle"/>
          <c:size val="17"/>
          <c:spPr>
            <a:solidFill>
              <a:schemeClr val="accent6">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31750" cap="rnd" cmpd="sng" algn="ctr">
            <a:solidFill>
              <a:schemeClr val="accent6"/>
            </a:solidFill>
            <a:round/>
          </a:ln>
          <a:effectLst/>
        </c:spPr>
        <c:marker>
          <c:symbol val="circle"/>
          <c:size val="17"/>
          <c:spPr>
            <a:solidFill>
              <a:schemeClr val="accent6">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31750" cap="rnd" cmpd="sng" algn="ctr">
            <a:solidFill>
              <a:schemeClr val="accent6"/>
            </a:solidFill>
            <a:round/>
          </a:ln>
          <a:effectLst/>
        </c:spPr>
        <c:marker>
          <c:symbol val="circle"/>
          <c:size val="17"/>
          <c:spPr>
            <a:solidFill>
              <a:schemeClr val="accent6">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31750" cap="rnd" cmpd="sng" algn="ctr">
            <a:solidFill>
              <a:schemeClr val="accent6"/>
            </a:solidFill>
            <a:round/>
          </a:ln>
          <a:effectLst/>
        </c:spPr>
        <c:marker>
          <c:symbol val="circle"/>
          <c:size val="17"/>
          <c:spPr>
            <a:solidFill>
              <a:schemeClr val="accent6">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6"/>
            </a:solidFill>
            <a:round/>
          </a:ln>
          <a:effectLst/>
        </c:spPr>
        <c:marker>
          <c:symbol val="circle"/>
          <c:size val="17"/>
          <c:spPr>
            <a:solidFill>
              <a:schemeClr val="accent6">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6"/>
            </a:solidFill>
            <a:round/>
          </a:ln>
          <a:effectLst/>
        </c:spPr>
        <c:marker>
          <c:symbol val="circle"/>
          <c:size val="17"/>
          <c:spPr>
            <a:solidFill>
              <a:schemeClr val="accent6">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c:f>
              <c:strCache>
                <c:ptCount val="1"/>
                <c:pt idx="0">
                  <c:v>Average of TAT Pre-Booking (Days)</c:v>
                </c:pt>
              </c:strCache>
            </c:strRef>
          </c:tx>
          <c:spPr>
            <a:ln w="31750" cap="rnd">
              <a:solidFill>
                <a:schemeClr val="accent6">
                  <a:tint val="65000"/>
                </a:schemeClr>
              </a:solidFill>
              <a:round/>
            </a:ln>
            <a:effectLst/>
          </c:spPr>
          <c:marker>
            <c:symbol val="circle"/>
            <c:size val="17"/>
            <c:spPr>
              <a:solidFill>
                <a:schemeClr val="accent6">
                  <a:tint val="6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table'!$A$16:$A$20</c:f>
              <c:strCache>
                <c:ptCount val="4"/>
                <c:pt idx="0">
                  <c:v>Bangalore MBC</c:v>
                </c:pt>
                <c:pt idx="1">
                  <c:v>Chennai MBC</c:v>
                </c:pt>
                <c:pt idx="2">
                  <c:v>Delhi MBC</c:v>
                </c:pt>
                <c:pt idx="3">
                  <c:v>Mumbai MBC</c:v>
                </c:pt>
              </c:strCache>
            </c:strRef>
          </c:cat>
          <c:val>
            <c:numRef>
              <c:f>'pivot table'!$B$16:$B$20</c:f>
              <c:numCache>
                <c:formatCode>0</c:formatCode>
                <c:ptCount val="4"/>
                <c:pt idx="0">
                  <c:v>3.1179245283018866</c:v>
                </c:pt>
                <c:pt idx="1">
                  <c:v>3.1213872832369942</c:v>
                </c:pt>
                <c:pt idx="2">
                  <c:v>3.0283018867924527</c:v>
                </c:pt>
                <c:pt idx="3">
                  <c:v>2.9767441860465116</c:v>
                </c:pt>
              </c:numCache>
            </c:numRef>
          </c:val>
          <c:smooth val="0"/>
          <c:extLst>
            <c:ext xmlns:c16="http://schemas.microsoft.com/office/drawing/2014/chart" uri="{C3380CC4-5D6E-409C-BE32-E72D297353CC}">
              <c16:uniqueId val="{00000003-4A42-4DA0-B084-72911651EBBA}"/>
            </c:ext>
          </c:extLst>
        </c:ser>
        <c:ser>
          <c:idx val="1"/>
          <c:order val="1"/>
          <c:tx>
            <c:strRef>
              <c:f>'pivot table'!$C$15</c:f>
              <c:strCache>
                <c:ptCount val="1"/>
                <c:pt idx="0">
                  <c:v>Average of TAT Booking (Days)</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table'!$A$16:$A$20</c:f>
              <c:strCache>
                <c:ptCount val="4"/>
                <c:pt idx="0">
                  <c:v>Bangalore MBC</c:v>
                </c:pt>
                <c:pt idx="1">
                  <c:v>Chennai MBC</c:v>
                </c:pt>
                <c:pt idx="2">
                  <c:v>Delhi MBC</c:v>
                </c:pt>
                <c:pt idx="3">
                  <c:v>Mumbai MBC</c:v>
                </c:pt>
              </c:strCache>
            </c:strRef>
          </c:cat>
          <c:val>
            <c:numRef>
              <c:f>'pivot table'!$C$16:$C$20</c:f>
              <c:numCache>
                <c:formatCode>0</c:formatCode>
                <c:ptCount val="4"/>
                <c:pt idx="0">
                  <c:v>3.0330188679245285</c:v>
                </c:pt>
                <c:pt idx="1">
                  <c:v>3.2023121387283235</c:v>
                </c:pt>
                <c:pt idx="2">
                  <c:v>3.0188679245283021</c:v>
                </c:pt>
                <c:pt idx="3">
                  <c:v>3.0465116279069768</c:v>
                </c:pt>
              </c:numCache>
            </c:numRef>
          </c:val>
          <c:smooth val="0"/>
          <c:extLst>
            <c:ext xmlns:c16="http://schemas.microsoft.com/office/drawing/2014/chart" uri="{C3380CC4-5D6E-409C-BE32-E72D297353CC}">
              <c16:uniqueId val="{00000004-4A42-4DA0-B084-72911651EBBA}"/>
            </c:ext>
          </c:extLst>
        </c:ser>
        <c:ser>
          <c:idx val="2"/>
          <c:order val="2"/>
          <c:tx>
            <c:strRef>
              <c:f>'pivot table'!$D$15</c:f>
              <c:strCache>
                <c:ptCount val="1"/>
                <c:pt idx="0">
                  <c:v>Average of TAT Delivery (Days)</c:v>
                </c:pt>
              </c:strCache>
            </c:strRef>
          </c:tx>
          <c:spPr>
            <a:ln w="31750" cap="rnd">
              <a:solidFill>
                <a:schemeClr val="accent6">
                  <a:shade val="65000"/>
                </a:schemeClr>
              </a:solidFill>
              <a:round/>
            </a:ln>
            <a:effectLst/>
          </c:spPr>
          <c:marker>
            <c:symbol val="circle"/>
            <c:size val="17"/>
            <c:spPr>
              <a:solidFill>
                <a:schemeClr val="accent6">
                  <a:shade val="6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table'!$A$16:$A$20</c:f>
              <c:strCache>
                <c:ptCount val="4"/>
                <c:pt idx="0">
                  <c:v>Bangalore MBC</c:v>
                </c:pt>
                <c:pt idx="1">
                  <c:v>Chennai MBC</c:v>
                </c:pt>
                <c:pt idx="2">
                  <c:v>Delhi MBC</c:v>
                </c:pt>
                <c:pt idx="3">
                  <c:v>Mumbai MBC</c:v>
                </c:pt>
              </c:strCache>
            </c:strRef>
          </c:cat>
          <c:val>
            <c:numRef>
              <c:f>'pivot table'!$D$16:$D$20</c:f>
              <c:numCache>
                <c:formatCode>0</c:formatCode>
                <c:ptCount val="4"/>
                <c:pt idx="0">
                  <c:v>4.5141509433962268</c:v>
                </c:pt>
                <c:pt idx="1">
                  <c:v>4.3872832369942198</c:v>
                </c:pt>
                <c:pt idx="2">
                  <c:v>4.283018867924528</c:v>
                </c:pt>
                <c:pt idx="3">
                  <c:v>4.6279069767441863</c:v>
                </c:pt>
              </c:numCache>
            </c:numRef>
          </c:val>
          <c:smooth val="0"/>
          <c:extLst>
            <c:ext xmlns:c16="http://schemas.microsoft.com/office/drawing/2014/chart" uri="{C3380CC4-5D6E-409C-BE32-E72D297353CC}">
              <c16:uniqueId val="{00000005-4A42-4DA0-B084-72911651EBBA}"/>
            </c:ext>
          </c:extLst>
        </c:ser>
        <c:dLbls>
          <c:dLblPos val="ctr"/>
          <c:showLegendKey val="0"/>
          <c:showVal val="1"/>
          <c:showCatName val="0"/>
          <c:showSerName val="0"/>
          <c:showPercent val="0"/>
          <c:showBubbleSize val="0"/>
        </c:dLbls>
        <c:marker val="1"/>
        <c:smooth val="0"/>
        <c:axId val="305726256"/>
        <c:axId val="305729136"/>
      </c:lineChart>
      <c:catAx>
        <c:axId val="3057262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5729136"/>
        <c:crosses val="autoZero"/>
        <c:auto val="1"/>
        <c:lblAlgn val="ctr"/>
        <c:lblOffset val="100"/>
        <c:noMultiLvlLbl val="0"/>
      </c:catAx>
      <c:valAx>
        <c:axId val="3057291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3057262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[Shivangi_ElectricPe_Assignment.xlsx]pivot table!PivotTable3</c:name>
    <c:fmtId val="36"/>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c:spPr>
        <c:dLbl>
          <c:idx val="0"/>
          <c:layout>
            <c:manualLayout>
              <c:x val="4.7155730533683264E-2"/>
              <c:y val="0.1205912802566345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dLbl>
          <c:idx val="0"/>
          <c:layout>
            <c:manualLayout>
              <c:x val="-4.1833770778652773E-2"/>
              <c:y val="9.95158938466024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c:spPr>
        <c:dLbl>
          <c:idx val="0"/>
          <c:layout>
            <c:manualLayout>
              <c:x val="-4.7557742782152336E-2"/>
              <c:y val="-9.21919655876349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254000" sx="102000" sy="102000" algn="ctr" rotWithShape="0">
              <a:prstClr val="black">
                <a:alpha val="20000"/>
              </a:prstClr>
            </a:outerShdw>
          </a:effectLst>
        </c:spPr>
        <c:dLbl>
          <c:idx val="0"/>
          <c:layout>
            <c:manualLayout>
              <c:x val="7.1015091863517038E-2"/>
              <c:y val="-4.534558180227479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254000" sx="102000" sy="102000" algn="ctr" rotWithShape="0">
              <a:prstClr val="black">
                <a:alpha val="20000"/>
              </a:prstClr>
            </a:outerShdw>
          </a:effectLst>
        </c:spPr>
        <c:dLbl>
          <c:idx val="0"/>
          <c:layout>
            <c:manualLayout>
              <c:x val="-4.1833770778652773E-2"/>
              <c:y val="9.95158938466024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a:outerShdw blurRad="254000" sx="102000" sy="102000" algn="ctr" rotWithShape="0">
              <a:prstClr val="black">
                <a:alpha val="20000"/>
              </a:prstClr>
            </a:outerShdw>
          </a:effectLst>
        </c:spPr>
        <c:dLbl>
          <c:idx val="0"/>
          <c:layout>
            <c:manualLayout>
              <c:x val="-4.7557742782152336E-2"/>
              <c:y val="-9.21919655876349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outerShdw blurRad="254000" sx="102000" sy="102000" algn="ctr" rotWithShape="0">
              <a:prstClr val="black">
                <a:alpha val="20000"/>
              </a:prstClr>
            </a:outerShdw>
          </a:effectLst>
        </c:spPr>
        <c:dLbl>
          <c:idx val="0"/>
          <c:layout>
            <c:manualLayout>
              <c:x val="7.1015091863517038E-2"/>
              <c:y val="-4.534558180227479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a:outerShdw blurRad="254000" sx="102000" sy="102000" algn="ctr" rotWithShape="0">
              <a:prstClr val="black">
                <a:alpha val="20000"/>
              </a:prstClr>
            </a:outerShdw>
          </a:effectLst>
        </c:spPr>
        <c:dLbl>
          <c:idx val="0"/>
          <c:layout>
            <c:manualLayout>
              <c:x val="4.7155730533683264E-2"/>
              <c:y val="0.1205912802566345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outerShdw blurRad="254000" sx="102000" sy="102000" algn="ctr" rotWithShape="0">
              <a:prstClr val="black">
                <a:alpha val="20000"/>
              </a:prstClr>
            </a:outerShdw>
          </a:effectLst>
        </c:spPr>
      </c:pivotFmt>
      <c:pivotFmt>
        <c:idx val="17"/>
        <c:spPr>
          <a:solidFill>
            <a:schemeClr val="accent6"/>
          </a:solidFill>
          <a:ln>
            <a:noFill/>
          </a:ln>
          <a:effectLst>
            <a:outerShdw blurRad="254000" sx="102000" sy="102000" algn="ctr" rotWithShape="0">
              <a:prstClr val="black">
                <a:alpha val="20000"/>
              </a:prstClr>
            </a:outerShdw>
          </a:effectLst>
        </c:spPr>
      </c:pivotFmt>
      <c:pivotFmt>
        <c:idx val="18"/>
        <c:spPr>
          <a:solidFill>
            <a:schemeClr val="accent6"/>
          </a:solidFill>
          <a:ln>
            <a:noFill/>
          </a:ln>
          <a:effectLst>
            <a:outerShdw blurRad="254000" sx="102000" sy="102000" algn="ctr" rotWithShape="0">
              <a:prstClr val="black">
                <a:alpha val="20000"/>
              </a:prstClr>
            </a:outerShdw>
          </a:effectLst>
        </c:spPr>
      </c:pivotFmt>
      <c:pivotFmt>
        <c:idx val="19"/>
        <c:spPr>
          <a:solidFill>
            <a:schemeClr val="accent6"/>
          </a:solidFill>
          <a:ln>
            <a:noFill/>
          </a:ln>
          <a:effectLst>
            <a:outerShdw blurRad="254000" sx="102000" sy="102000" algn="ctr" rotWithShape="0">
              <a:prstClr val="black">
                <a:alpha val="20000"/>
              </a:prstClr>
            </a:outerShdw>
          </a:effectLst>
        </c:spPr>
      </c:pivotFmt>
      <c:pivotFmt>
        <c:idx val="2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6"/>
          </a:solidFill>
          <a:ln>
            <a:noFill/>
          </a:ln>
          <a:effectLst>
            <a:outerShdw blurRad="254000" sx="102000" sy="102000" algn="ctr" rotWithShape="0">
              <a:prstClr val="black">
                <a:alpha val="20000"/>
              </a:prstClr>
            </a:outerShdw>
          </a:effectLst>
        </c:spPr>
      </c:pivotFmt>
      <c:pivotFmt>
        <c:idx val="22"/>
        <c:spPr>
          <a:solidFill>
            <a:schemeClr val="accent6"/>
          </a:solidFill>
          <a:ln>
            <a:noFill/>
          </a:ln>
          <a:effectLst>
            <a:outerShdw blurRad="254000" sx="102000" sy="102000" algn="ctr" rotWithShape="0">
              <a:prstClr val="black">
                <a:alpha val="20000"/>
              </a:prstClr>
            </a:outerShdw>
          </a:effectLst>
        </c:spPr>
      </c:pivotFmt>
      <c:pivotFmt>
        <c:idx val="23"/>
        <c:spPr>
          <a:solidFill>
            <a:schemeClr val="accent6"/>
          </a:solidFill>
          <a:ln>
            <a:noFill/>
          </a:ln>
          <a:effectLst>
            <a:outerShdw blurRad="254000" sx="102000" sy="102000" algn="ctr" rotWithShape="0">
              <a:prstClr val="black">
                <a:alpha val="20000"/>
              </a:prstClr>
            </a:outerShdw>
          </a:effectLst>
        </c:spPr>
      </c:pivotFmt>
      <c:pivotFmt>
        <c:idx val="24"/>
        <c:spPr>
          <a:solidFill>
            <a:schemeClr val="accent6"/>
          </a:solidFill>
          <a:ln>
            <a:noFill/>
          </a:ln>
          <a:effectLst>
            <a:outerShdw blurRad="254000" sx="102000" sy="102000" algn="ctr" rotWithShape="0">
              <a:prstClr val="black">
                <a:alpha val="20000"/>
              </a:prstClr>
            </a:outerShdw>
          </a:effectLst>
        </c:spPr>
      </c:pivotFmt>
      <c:pivotFmt>
        <c:idx val="2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6"/>
          </a:solidFill>
          <a:ln>
            <a:noFill/>
          </a:ln>
          <a:effectLst>
            <a:outerShdw blurRad="254000" sx="102000" sy="102000" algn="ctr" rotWithShape="0">
              <a:prstClr val="black">
                <a:alpha val="20000"/>
              </a:prstClr>
            </a:outerShdw>
          </a:effectLst>
        </c:spPr>
      </c:pivotFmt>
      <c:pivotFmt>
        <c:idx val="27"/>
        <c:spPr>
          <a:solidFill>
            <a:schemeClr val="accent6"/>
          </a:solidFill>
          <a:ln>
            <a:noFill/>
          </a:ln>
          <a:effectLst>
            <a:outerShdw blurRad="254000" sx="102000" sy="102000" algn="ctr" rotWithShape="0">
              <a:prstClr val="black">
                <a:alpha val="20000"/>
              </a:prstClr>
            </a:outerShdw>
          </a:effectLst>
        </c:spPr>
      </c:pivotFmt>
      <c:pivotFmt>
        <c:idx val="28"/>
        <c:spPr>
          <a:solidFill>
            <a:schemeClr val="accent6"/>
          </a:solidFill>
          <a:ln>
            <a:noFill/>
          </a:ln>
          <a:effectLst>
            <a:outerShdw blurRad="254000" sx="102000" sy="102000" algn="ctr" rotWithShape="0">
              <a:prstClr val="black">
                <a:alpha val="20000"/>
              </a:prstClr>
            </a:outerShdw>
          </a:effectLst>
        </c:spPr>
      </c:pivotFmt>
      <c:pivotFmt>
        <c:idx val="29"/>
        <c:spPr>
          <a:solidFill>
            <a:schemeClr val="accent6"/>
          </a:solidFill>
          <a:ln>
            <a:noFill/>
          </a:ln>
          <a:effectLst>
            <a:outerShdw blurRad="254000" sx="102000" sy="102000" algn="ctr" rotWithShape="0">
              <a:prstClr val="black">
                <a:alpha val="20000"/>
              </a:prstClr>
            </a:outerShdw>
          </a:effectLst>
        </c:spPr>
      </c:pivotFmt>
      <c:pivotFmt>
        <c:idx val="3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6"/>
          </a:solidFill>
          <a:ln>
            <a:noFill/>
          </a:ln>
          <a:effectLst>
            <a:outerShdw blurRad="254000" sx="102000" sy="102000" algn="ctr" rotWithShape="0">
              <a:prstClr val="black">
                <a:alpha val="20000"/>
              </a:prstClr>
            </a:outerShdw>
          </a:effectLst>
        </c:spPr>
      </c:pivotFmt>
      <c:pivotFmt>
        <c:idx val="32"/>
        <c:spPr>
          <a:solidFill>
            <a:schemeClr val="accent6"/>
          </a:solidFill>
          <a:ln>
            <a:noFill/>
          </a:ln>
          <a:effectLst>
            <a:outerShdw blurRad="254000" sx="102000" sy="102000" algn="ctr" rotWithShape="0">
              <a:prstClr val="black">
                <a:alpha val="20000"/>
              </a:prstClr>
            </a:outerShdw>
          </a:effectLst>
        </c:spPr>
      </c:pivotFmt>
      <c:pivotFmt>
        <c:idx val="33"/>
        <c:spPr>
          <a:solidFill>
            <a:schemeClr val="accent6"/>
          </a:solidFill>
          <a:ln>
            <a:noFill/>
          </a:ln>
          <a:effectLst>
            <a:outerShdw blurRad="254000" sx="102000" sy="102000" algn="ctr" rotWithShape="0">
              <a:prstClr val="black">
                <a:alpha val="20000"/>
              </a:prstClr>
            </a:outerShdw>
          </a:effectLst>
        </c:spPr>
      </c:pivotFmt>
      <c:pivotFmt>
        <c:idx val="34"/>
        <c:spPr>
          <a:solidFill>
            <a:schemeClr val="accent6"/>
          </a:solidFill>
          <a:ln>
            <a:noFill/>
          </a:ln>
          <a:effectLst>
            <a:outerShdw blurRad="254000" sx="102000" sy="102000" algn="ctr" rotWithShape="0">
              <a:prstClr val="black">
                <a:alpha val="20000"/>
              </a:prstClr>
            </a:outerShdw>
          </a:effectLst>
        </c:spPr>
      </c:pivotFmt>
      <c:pivotFmt>
        <c:idx val="3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6"/>
          </a:solidFill>
          <a:ln>
            <a:noFill/>
          </a:ln>
          <a:effectLst>
            <a:outerShdw blurRad="254000" sx="102000" sy="102000" algn="ctr" rotWithShape="0">
              <a:prstClr val="black">
                <a:alpha val="20000"/>
              </a:prstClr>
            </a:outerShdw>
          </a:effectLst>
        </c:spPr>
      </c:pivotFmt>
      <c:pivotFmt>
        <c:idx val="37"/>
        <c:spPr>
          <a:solidFill>
            <a:schemeClr val="accent6"/>
          </a:solidFill>
          <a:ln>
            <a:noFill/>
          </a:ln>
          <a:effectLst>
            <a:outerShdw blurRad="254000" sx="102000" sy="102000" algn="ctr" rotWithShape="0">
              <a:prstClr val="black">
                <a:alpha val="20000"/>
              </a:prstClr>
            </a:outerShdw>
          </a:effectLst>
        </c:spPr>
      </c:pivotFmt>
      <c:pivotFmt>
        <c:idx val="38"/>
        <c:spPr>
          <a:solidFill>
            <a:schemeClr val="accent6"/>
          </a:solidFill>
          <a:ln>
            <a:noFill/>
          </a:ln>
          <a:effectLst>
            <a:outerShdw blurRad="254000" sx="102000" sy="102000" algn="ctr" rotWithShape="0">
              <a:prstClr val="black">
                <a:alpha val="20000"/>
              </a:prstClr>
            </a:outerShdw>
          </a:effectLst>
        </c:spPr>
      </c:pivotFmt>
      <c:pivotFmt>
        <c:idx val="39"/>
        <c:spPr>
          <a:solidFill>
            <a:schemeClr val="accent6"/>
          </a:solidFill>
          <a:ln>
            <a:noFill/>
          </a:ln>
          <a:effectLst>
            <a:outerShdw blurRad="254000" sx="102000" sy="102000" algn="ctr" rotWithShape="0">
              <a:prstClr val="black">
                <a:alpha val="20000"/>
              </a:prstClr>
            </a:outerShdw>
          </a:effectLst>
        </c:spPr>
      </c:pivotFmt>
      <c:pivotFmt>
        <c:idx val="4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6"/>
          </a:solidFill>
          <a:ln>
            <a:noFill/>
          </a:ln>
          <a:effectLst>
            <a:outerShdw blurRad="254000" sx="102000" sy="102000" algn="ctr" rotWithShape="0">
              <a:prstClr val="black">
                <a:alpha val="20000"/>
              </a:prstClr>
            </a:outerShdw>
          </a:effectLst>
        </c:spPr>
        <c:dLbl>
          <c:idx val="0"/>
          <c:layout>
            <c:manualLayout>
              <c:x val="-4.1833770778652773E-2"/>
              <c:y val="9.95158938466024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6"/>
          </a:solidFill>
          <a:ln>
            <a:noFill/>
          </a:ln>
          <a:effectLst>
            <a:outerShdw blurRad="254000" sx="102000" sy="102000" algn="ctr" rotWithShape="0">
              <a:prstClr val="black">
                <a:alpha val="20000"/>
              </a:prstClr>
            </a:outerShdw>
          </a:effectLst>
        </c:spPr>
        <c:dLbl>
          <c:idx val="0"/>
          <c:layout>
            <c:manualLayout>
              <c:x val="-4.7557742782152336E-2"/>
              <c:y val="-9.21919655876349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6"/>
          </a:solidFill>
          <a:ln>
            <a:noFill/>
          </a:ln>
          <a:effectLst>
            <a:outerShdw blurRad="254000" sx="102000" sy="102000" algn="ctr" rotWithShape="0">
              <a:prstClr val="black">
                <a:alpha val="20000"/>
              </a:prstClr>
            </a:outerShdw>
          </a:effectLst>
        </c:spPr>
        <c:dLbl>
          <c:idx val="0"/>
          <c:layout>
            <c:manualLayout>
              <c:x val="7.1015091863517038E-2"/>
              <c:y val="-4.534558180227479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6"/>
          </a:solidFill>
          <a:ln>
            <a:noFill/>
          </a:ln>
          <a:effectLst>
            <a:outerShdw blurRad="254000" sx="102000" sy="102000" algn="ctr" rotWithShape="0">
              <a:prstClr val="black">
                <a:alpha val="20000"/>
              </a:prstClr>
            </a:outerShdw>
          </a:effectLst>
        </c:spPr>
        <c:dLbl>
          <c:idx val="0"/>
          <c:layout>
            <c:manualLayout>
              <c:x val="4.7155730533683264E-2"/>
              <c:y val="0.1205912802566345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6"/>
          </a:solidFill>
          <a:ln>
            <a:noFill/>
          </a:ln>
          <a:effectLst>
            <a:outerShdw blurRad="254000" sx="102000" sy="102000" algn="ctr" rotWithShape="0">
              <a:prstClr val="black">
                <a:alpha val="20000"/>
              </a:prstClr>
            </a:outerShdw>
          </a:effectLst>
        </c:spPr>
      </c:pivotFmt>
      <c:pivotFmt>
        <c:idx val="47"/>
        <c:spPr>
          <a:solidFill>
            <a:schemeClr val="accent6"/>
          </a:solidFill>
          <a:ln>
            <a:noFill/>
          </a:ln>
          <a:effectLst>
            <a:outerShdw blurRad="254000" sx="102000" sy="102000" algn="ctr" rotWithShape="0">
              <a:prstClr val="black">
                <a:alpha val="20000"/>
              </a:prstClr>
            </a:outerShdw>
          </a:effectLst>
        </c:spPr>
      </c:pivotFmt>
      <c:pivotFmt>
        <c:idx val="48"/>
        <c:spPr>
          <a:solidFill>
            <a:schemeClr val="accent6"/>
          </a:solidFill>
          <a:ln>
            <a:noFill/>
          </a:ln>
          <a:effectLst>
            <a:outerShdw blurRad="254000" sx="102000" sy="102000" algn="ctr" rotWithShape="0">
              <a:prstClr val="black">
                <a:alpha val="20000"/>
              </a:prstClr>
            </a:outerShdw>
          </a:effectLst>
        </c:spPr>
      </c:pivotFmt>
      <c:pivotFmt>
        <c:idx val="49"/>
        <c:spPr>
          <a:solidFill>
            <a:schemeClr val="accent6"/>
          </a:solidFill>
          <a:ln>
            <a:noFill/>
          </a:ln>
          <a:effectLst>
            <a:outerShdw blurRad="254000" sx="102000" sy="102000" algn="ctr" rotWithShape="0">
              <a:prstClr val="black">
                <a:alpha val="20000"/>
              </a:prstClr>
            </a:outerShdw>
          </a:effectLst>
        </c:spPr>
      </c:pivotFmt>
      <c:pivotFmt>
        <c:idx val="5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6"/>
          </a:solidFill>
          <a:ln>
            <a:noFill/>
          </a:ln>
          <a:effectLst>
            <a:outerShdw blurRad="254000" sx="102000" sy="102000" algn="ctr" rotWithShape="0">
              <a:prstClr val="black">
                <a:alpha val="20000"/>
              </a:prstClr>
            </a:outerShdw>
          </a:effectLst>
        </c:spPr>
      </c:pivotFmt>
      <c:pivotFmt>
        <c:idx val="52"/>
        <c:spPr>
          <a:solidFill>
            <a:schemeClr val="accent6"/>
          </a:solidFill>
          <a:ln>
            <a:noFill/>
          </a:ln>
          <a:effectLst>
            <a:outerShdw blurRad="254000" sx="102000" sy="102000" algn="ctr" rotWithShape="0">
              <a:prstClr val="black">
                <a:alpha val="20000"/>
              </a:prstClr>
            </a:outerShdw>
          </a:effectLst>
        </c:spPr>
      </c:pivotFmt>
      <c:pivotFmt>
        <c:idx val="53"/>
        <c:spPr>
          <a:solidFill>
            <a:schemeClr val="accent6"/>
          </a:solidFill>
          <a:ln>
            <a:noFill/>
          </a:ln>
          <a:effectLst>
            <a:outerShdw blurRad="254000" sx="102000" sy="102000" algn="ctr" rotWithShape="0">
              <a:prstClr val="black">
                <a:alpha val="20000"/>
              </a:prstClr>
            </a:outerShdw>
          </a:effectLst>
        </c:spPr>
      </c:pivotFmt>
      <c:pivotFmt>
        <c:idx val="54"/>
        <c:spPr>
          <a:solidFill>
            <a:schemeClr val="accent6"/>
          </a:solidFill>
          <a:ln>
            <a:noFill/>
          </a:ln>
          <a:effectLst>
            <a:outerShdw blurRad="254000" sx="102000" sy="102000" algn="ctr" rotWithShape="0">
              <a:prstClr val="black">
                <a:alpha val="20000"/>
              </a:prstClr>
            </a:outerShdw>
          </a:effectLst>
        </c:spPr>
      </c:pivotFmt>
      <c:pivotFmt>
        <c:idx val="5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accent6"/>
          </a:solidFill>
          <a:ln>
            <a:noFill/>
          </a:ln>
          <a:effectLst>
            <a:outerShdw blurRad="254000" sx="102000" sy="102000" algn="ctr" rotWithShape="0">
              <a:prstClr val="black">
                <a:alpha val="20000"/>
              </a:prstClr>
            </a:outerShdw>
          </a:effectLst>
        </c:spPr>
      </c:pivotFmt>
      <c:pivotFmt>
        <c:idx val="57"/>
        <c:spPr>
          <a:solidFill>
            <a:schemeClr val="accent6"/>
          </a:solidFill>
          <a:ln>
            <a:noFill/>
          </a:ln>
          <a:effectLst>
            <a:outerShdw blurRad="254000" sx="102000" sy="102000" algn="ctr" rotWithShape="0">
              <a:prstClr val="black">
                <a:alpha val="20000"/>
              </a:prstClr>
            </a:outerShdw>
          </a:effectLst>
        </c:spPr>
      </c:pivotFmt>
      <c:pivotFmt>
        <c:idx val="58"/>
        <c:spPr>
          <a:solidFill>
            <a:schemeClr val="accent6"/>
          </a:solidFill>
          <a:ln>
            <a:noFill/>
          </a:ln>
          <a:effectLst>
            <a:outerShdw blurRad="254000" sx="102000" sy="102000" algn="ctr" rotWithShape="0">
              <a:prstClr val="black">
                <a:alpha val="20000"/>
              </a:prstClr>
            </a:outerShdw>
          </a:effectLst>
        </c:spPr>
      </c:pivotFmt>
      <c:pivotFmt>
        <c:idx val="59"/>
        <c:spPr>
          <a:solidFill>
            <a:schemeClr val="accent6"/>
          </a:solidFill>
          <a:ln>
            <a:noFill/>
          </a:ln>
          <a:effectLst>
            <a:outerShdw blurRad="254000" sx="102000" sy="102000" algn="ctr" rotWithShape="0">
              <a:prstClr val="black">
                <a:alpha val="20000"/>
              </a:prstClr>
            </a:outerShdw>
          </a:effectLst>
        </c:spPr>
      </c:pivotFmt>
      <c:pivotFmt>
        <c:idx val="6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6"/>
          </a:solidFill>
          <a:ln>
            <a:noFill/>
          </a:ln>
          <a:effectLst>
            <a:outerShdw blurRad="254000" sx="102000" sy="102000" algn="ctr" rotWithShape="0">
              <a:prstClr val="black">
                <a:alpha val="20000"/>
              </a:prstClr>
            </a:outerShdw>
          </a:effectLst>
        </c:spPr>
      </c:pivotFmt>
      <c:pivotFmt>
        <c:idx val="62"/>
        <c:spPr>
          <a:solidFill>
            <a:schemeClr val="accent6"/>
          </a:solidFill>
          <a:ln>
            <a:noFill/>
          </a:ln>
          <a:effectLst>
            <a:outerShdw blurRad="254000" sx="102000" sy="102000" algn="ctr" rotWithShape="0">
              <a:prstClr val="black">
                <a:alpha val="20000"/>
              </a:prstClr>
            </a:outerShdw>
          </a:effectLst>
        </c:spPr>
      </c:pivotFmt>
      <c:pivotFmt>
        <c:idx val="63"/>
        <c:spPr>
          <a:solidFill>
            <a:schemeClr val="accent6"/>
          </a:solidFill>
          <a:ln>
            <a:noFill/>
          </a:ln>
          <a:effectLst>
            <a:outerShdw blurRad="254000" sx="102000" sy="102000" algn="ctr" rotWithShape="0">
              <a:prstClr val="black">
                <a:alpha val="20000"/>
              </a:prstClr>
            </a:outerShdw>
          </a:effectLst>
        </c:spPr>
      </c:pivotFmt>
      <c:pivotFmt>
        <c:idx val="64"/>
        <c:spPr>
          <a:solidFill>
            <a:schemeClr val="accent6"/>
          </a:solidFill>
          <a:ln>
            <a:noFill/>
          </a:ln>
          <a:effectLst>
            <a:outerShdw blurRad="254000" sx="102000" sy="102000" algn="ctr" rotWithShape="0">
              <a:prstClr val="black">
                <a:alpha val="20000"/>
              </a:prstClr>
            </a:outerShdw>
          </a:effectLst>
        </c:spPr>
      </c:pivotFmt>
      <c:pivotFmt>
        <c:idx val="6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6"/>
        <c:spPr>
          <a:solidFill>
            <a:schemeClr val="accent6"/>
          </a:solidFill>
          <a:ln>
            <a:noFill/>
          </a:ln>
          <a:effectLst>
            <a:outerShdw blurRad="254000" sx="102000" sy="102000" algn="ctr" rotWithShape="0">
              <a:prstClr val="black">
                <a:alpha val="20000"/>
              </a:prstClr>
            </a:outerShdw>
          </a:effectLst>
        </c:spPr>
      </c:pivotFmt>
      <c:pivotFmt>
        <c:idx val="67"/>
        <c:spPr>
          <a:solidFill>
            <a:schemeClr val="accent6"/>
          </a:solidFill>
          <a:ln>
            <a:noFill/>
          </a:ln>
          <a:effectLst>
            <a:outerShdw blurRad="254000" sx="102000" sy="102000" algn="ctr" rotWithShape="0">
              <a:prstClr val="black">
                <a:alpha val="20000"/>
              </a:prstClr>
            </a:outerShdw>
          </a:effectLst>
        </c:spPr>
      </c:pivotFmt>
      <c:pivotFmt>
        <c:idx val="68"/>
        <c:spPr>
          <a:solidFill>
            <a:schemeClr val="accent6"/>
          </a:solidFill>
          <a:ln>
            <a:noFill/>
          </a:ln>
          <a:effectLst>
            <a:outerShdw blurRad="254000" sx="102000" sy="102000" algn="ctr" rotWithShape="0">
              <a:prstClr val="black">
                <a:alpha val="20000"/>
              </a:prstClr>
            </a:outerShdw>
          </a:effectLst>
        </c:spPr>
      </c:pivotFmt>
      <c:pivotFmt>
        <c:idx val="69"/>
        <c:spPr>
          <a:solidFill>
            <a:schemeClr val="accent6"/>
          </a:solidFill>
          <a:ln>
            <a:noFill/>
          </a:ln>
          <a:effectLst>
            <a:outerShdw blurRad="254000" sx="102000" sy="102000" algn="ctr" rotWithShape="0">
              <a:prstClr val="black">
                <a:alpha val="20000"/>
              </a:prstClr>
            </a:outerShdw>
          </a:effectLst>
        </c:spPr>
      </c:pivotFmt>
      <c:pivotFmt>
        <c:idx val="7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1"/>
        <c:spPr>
          <a:solidFill>
            <a:schemeClr val="accent6"/>
          </a:solidFill>
          <a:ln>
            <a:noFill/>
          </a:ln>
          <a:effectLst>
            <a:outerShdw blurRad="254000" sx="102000" sy="102000" algn="ctr" rotWithShape="0">
              <a:prstClr val="black">
                <a:alpha val="20000"/>
              </a:prstClr>
            </a:outerShdw>
          </a:effectLst>
        </c:spPr>
        <c:dLbl>
          <c:idx val="0"/>
          <c:layout>
            <c:manualLayout>
              <c:x val="-4.1833770778652773E-2"/>
              <c:y val="9.95158938466024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2"/>
        <c:spPr>
          <a:solidFill>
            <a:schemeClr val="accent6"/>
          </a:solidFill>
          <a:ln>
            <a:noFill/>
          </a:ln>
          <a:effectLst>
            <a:outerShdw blurRad="254000" sx="102000" sy="102000" algn="ctr" rotWithShape="0">
              <a:prstClr val="black">
                <a:alpha val="20000"/>
              </a:prstClr>
            </a:outerShdw>
          </a:effectLst>
        </c:spPr>
        <c:dLbl>
          <c:idx val="0"/>
          <c:layout>
            <c:manualLayout>
              <c:x val="-4.7557742782152336E-2"/>
              <c:y val="-9.21919655876349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3"/>
        <c:spPr>
          <a:solidFill>
            <a:schemeClr val="accent6"/>
          </a:solidFill>
          <a:ln>
            <a:noFill/>
          </a:ln>
          <a:effectLst>
            <a:outerShdw blurRad="254000" sx="102000" sy="102000" algn="ctr" rotWithShape="0">
              <a:prstClr val="black">
                <a:alpha val="20000"/>
              </a:prstClr>
            </a:outerShdw>
          </a:effectLst>
        </c:spPr>
        <c:dLbl>
          <c:idx val="0"/>
          <c:layout>
            <c:manualLayout>
              <c:x val="7.1015091863517038E-2"/>
              <c:y val="-4.534558180227479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4"/>
        <c:spPr>
          <a:solidFill>
            <a:schemeClr val="accent6"/>
          </a:solidFill>
          <a:ln>
            <a:noFill/>
          </a:ln>
          <a:effectLst>
            <a:outerShdw blurRad="254000" sx="102000" sy="102000" algn="ctr" rotWithShape="0">
              <a:prstClr val="black">
                <a:alpha val="20000"/>
              </a:prstClr>
            </a:outerShdw>
          </a:effectLst>
        </c:spPr>
        <c:dLbl>
          <c:idx val="0"/>
          <c:layout>
            <c:manualLayout>
              <c:x val="4.7155730533683264E-2"/>
              <c:y val="0.1205912802566345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6"/>
        <c:spPr>
          <a:solidFill>
            <a:schemeClr val="accent6"/>
          </a:solidFill>
          <a:ln>
            <a:noFill/>
          </a:ln>
          <a:effectLst>
            <a:outerShdw blurRad="254000" sx="102000" sy="102000" algn="ctr" rotWithShape="0">
              <a:prstClr val="black">
                <a:alpha val="20000"/>
              </a:prstClr>
            </a:outerShdw>
          </a:effectLst>
        </c:spPr>
      </c:pivotFmt>
      <c:pivotFmt>
        <c:idx val="77"/>
        <c:spPr>
          <a:solidFill>
            <a:schemeClr val="accent6"/>
          </a:solidFill>
          <a:ln>
            <a:noFill/>
          </a:ln>
          <a:effectLst>
            <a:outerShdw blurRad="254000" sx="102000" sy="102000" algn="ctr" rotWithShape="0">
              <a:prstClr val="black">
                <a:alpha val="20000"/>
              </a:prstClr>
            </a:outerShdw>
          </a:effectLst>
        </c:spPr>
      </c:pivotFmt>
      <c:pivotFmt>
        <c:idx val="78"/>
        <c:spPr>
          <a:solidFill>
            <a:schemeClr val="accent6"/>
          </a:solidFill>
          <a:ln>
            <a:noFill/>
          </a:ln>
          <a:effectLst>
            <a:outerShdw blurRad="254000" sx="102000" sy="102000" algn="ctr" rotWithShape="0">
              <a:prstClr val="black">
                <a:alpha val="20000"/>
              </a:prstClr>
            </a:outerShdw>
          </a:effectLst>
        </c:spPr>
      </c:pivotFmt>
      <c:pivotFmt>
        <c:idx val="79"/>
        <c:spPr>
          <a:solidFill>
            <a:schemeClr val="accent6"/>
          </a:solidFill>
          <a:ln>
            <a:noFill/>
          </a:ln>
          <a:effectLst>
            <a:outerShdw blurRad="254000" sx="102000" sy="102000" algn="ctr" rotWithShape="0">
              <a:prstClr val="black">
                <a:alpha val="20000"/>
              </a:prstClr>
            </a:outerShdw>
          </a:effectLst>
        </c:spPr>
      </c:pivotFmt>
      <c:pivotFmt>
        <c:idx val="8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1"/>
        <c:spPr>
          <a:solidFill>
            <a:schemeClr val="accent6"/>
          </a:solidFill>
          <a:ln>
            <a:noFill/>
          </a:ln>
          <a:effectLst>
            <a:outerShdw blurRad="254000" sx="102000" sy="102000" algn="ctr" rotWithShape="0">
              <a:prstClr val="black">
                <a:alpha val="20000"/>
              </a:prstClr>
            </a:outerShdw>
          </a:effectLst>
        </c:spPr>
      </c:pivotFmt>
      <c:pivotFmt>
        <c:idx val="82"/>
        <c:spPr>
          <a:solidFill>
            <a:schemeClr val="accent6"/>
          </a:solidFill>
          <a:ln>
            <a:noFill/>
          </a:ln>
          <a:effectLst>
            <a:outerShdw blurRad="254000" sx="102000" sy="102000" algn="ctr" rotWithShape="0">
              <a:prstClr val="black">
                <a:alpha val="20000"/>
              </a:prstClr>
            </a:outerShdw>
          </a:effectLst>
        </c:spPr>
      </c:pivotFmt>
      <c:pivotFmt>
        <c:idx val="83"/>
        <c:spPr>
          <a:solidFill>
            <a:schemeClr val="accent6"/>
          </a:solidFill>
          <a:ln>
            <a:noFill/>
          </a:ln>
          <a:effectLst>
            <a:outerShdw blurRad="254000" sx="102000" sy="102000" algn="ctr" rotWithShape="0">
              <a:prstClr val="black">
                <a:alpha val="20000"/>
              </a:prstClr>
            </a:outerShdw>
          </a:effectLst>
        </c:spPr>
      </c:pivotFmt>
      <c:pivotFmt>
        <c:idx val="84"/>
        <c:spPr>
          <a:solidFill>
            <a:schemeClr val="accent6"/>
          </a:solidFill>
          <a:ln>
            <a:noFill/>
          </a:ln>
          <a:effectLst>
            <a:outerShdw blurRad="254000" sx="102000" sy="102000" algn="ctr" rotWithShape="0">
              <a:prstClr val="black">
                <a:alpha val="20000"/>
              </a:prstClr>
            </a:outerShdw>
          </a:effectLst>
        </c:spPr>
      </c:pivotFmt>
      <c:pivotFmt>
        <c:idx val="8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6"/>
        <c:spPr>
          <a:solidFill>
            <a:schemeClr val="accent6"/>
          </a:solidFill>
          <a:ln>
            <a:noFill/>
          </a:ln>
          <a:effectLst>
            <a:outerShdw blurRad="254000" sx="102000" sy="102000" algn="ctr" rotWithShape="0">
              <a:prstClr val="black">
                <a:alpha val="20000"/>
              </a:prstClr>
            </a:outerShdw>
          </a:effectLst>
        </c:spPr>
      </c:pivotFmt>
      <c:pivotFmt>
        <c:idx val="87"/>
        <c:spPr>
          <a:solidFill>
            <a:schemeClr val="accent6"/>
          </a:solidFill>
          <a:ln>
            <a:noFill/>
          </a:ln>
          <a:effectLst>
            <a:outerShdw blurRad="254000" sx="102000" sy="102000" algn="ctr" rotWithShape="0">
              <a:prstClr val="black">
                <a:alpha val="20000"/>
              </a:prstClr>
            </a:outerShdw>
          </a:effectLst>
        </c:spPr>
      </c:pivotFmt>
      <c:pivotFmt>
        <c:idx val="88"/>
        <c:spPr>
          <a:solidFill>
            <a:schemeClr val="accent6"/>
          </a:solidFill>
          <a:ln>
            <a:noFill/>
          </a:ln>
          <a:effectLst>
            <a:outerShdw blurRad="254000" sx="102000" sy="102000" algn="ctr" rotWithShape="0">
              <a:prstClr val="black">
                <a:alpha val="20000"/>
              </a:prstClr>
            </a:outerShdw>
          </a:effectLst>
        </c:spPr>
      </c:pivotFmt>
      <c:pivotFmt>
        <c:idx val="89"/>
        <c:spPr>
          <a:solidFill>
            <a:schemeClr val="accent6"/>
          </a:solidFill>
          <a:ln>
            <a:noFill/>
          </a:ln>
          <a:effectLst>
            <a:outerShdw blurRad="254000" sx="102000" sy="102000" algn="ctr" rotWithShape="0">
              <a:prstClr val="black">
                <a:alpha val="20000"/>
              </a:prstClr>
            </a:outerShdw>
          </a:effectLst>
        </c:spPr>
      </c:pivotFmt>
      <c:pivotFmt>
        <c:idx val="9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1"/>
        <c:spPr>
          <a:solidFill>
            <a:schemeClr val="accent6"/>
          </a:solidFill>
          <a:ln>
            <a:noFill/>
          </a:ln>
          <a:effectLst>
            <a:outerShdw blurRad="254000" sx="102000" sy="102000" algn="ctr" rotWithShape="0">
              <a:prstClr val="black">
                <a:alpha val="20000"/>
              </a:prstClr>
            </a:outerShdw>
          </a:effectLst>
        </c:spPr>
      </c:pivotFmt>
      <c:pivotFmt>
        <c:idx val="92"/>
        <c:spPr>
          <a:solidFill>
            <a:schemeClr val="accent6"/>
          </a:solidFill>
          <a:ln>
            <a:noFill/>
          </a:ln>
          <a:effectLst>
            <a:outerShdw blurRad="254000" sx="102000" sy="102000" algn="ctr" rotWithShape="0">
              <a:prstClr val="black">
                <a:alpha val="20000"/>
              </a:prstClr>
            </a:outerShdw>
          </a:effectLst>
        </c:spPr>
      </c:pivotFmt>
      <c:pivotFmt>
        <c:idx val="93"/>
        <c:spPr>
          <a:solidFill>
            <a:schemeClr val="accent6"/>
          </a:solidFill>
          <a:ln>
            <a:noFill/>
          </a:ln>
          <a:effectLst>
            <a:outerShdw blurRad="254000" sx="102000" sy="102000" algn="ctr" rotWithShape="0">
              <a:prstClr val="black">
                <a:alpha val="20000"/>
              </a:prstClr>
            </a:outerShdw>
          </a:effectLst>
        </c:spPr>
      </c:pivotFmt>
      <c:pivotFmt>
        <c:idx val="94"/>
        <c:spPr>
          <a:solidFill>
            <a:schemeClr val="accent6"/>
          </a:solidFill>
          <a:ln>
            <a:noFill/>
          </a:ln>
          <a:effectLst>
            <a:outerShdw blurRad="254000" sx="102000" sy="102000" algn="ctr" rotWithShape="0">
              <a:prstClr val="black">
                <a:alpha val="20000"/>
              </a:prstClr>
            </a:outerShdw>
          </a:effectLst>
        </c:spPr>
      </c:pivotFmt>
      <c:pivotFmt>
        <c:idx val="9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6"/>
        <c:spPr>
          <a:solidFill>
            <a:schemeClr val="accent6"/>
          </a:solidFill>
          <a:ln>
            <a:noFill/>
          </a:ln>
          <a:effectLst>
            <a:outerShdw blurRad="254000" sx="102000" sy="102000" algn="ctr" rotWithShape="0">
              <a:prstClr val="black">
                <a:alpha val="20000"/>
              </a:prstClr>
            </a:outerShdw>
          </a:effectLst>
        </c:spPr>
      </c:pivotFmt>
      <c:pivotFmt>
        <c:idx val="97"/>
        <c:spPr>
          <a:solidFill>
            <a:schemeClr val="accent6"/>
          </a:solidFill>
          <a:ln>
            <a:noFill/>
          </a:ln>
          <a:effectLst>
            <a:outerShdw blurRad="254000" sx="102000" sy="102000" algn="ctr" rotWithShape="0">
              <a:prstClr val="black">
                <a:alpha val="20000"/>
              </a:prstClr>
            </a:outerShdw>
          </a:effectLst>
        </c:spPr>
      </c:pivotFmt>
      <c:pivotFmt>
        <c:idx val="98"/>
        <c:spPr>
          <a:solidFill>
            <a:schemeClr val="accent6"/>
          </a:solidFill>
          <a:ln>
            <a:noFill/>
          </a:ln>
          <a:effectLst>
            <a:outerShdw blurRad="254000" sx="102000" sy="102000" algn="ctr" rotWithShape="0">
              <a:prstClr val="black">
                <a:alpha val="20000"/>
              </a:prstClr>
            </a:outerShdw>
          </a:effectLst>
        </c:spPr>
      </c:pivotFmt>
      <c:pivotFmt>
        <c:idx val="99"/>
        <c:spPr>
          <a:solidFill>
            <a:schemeClr val="accent6"/>
          </a:solidFill>
          <a:ln>
            <a:noFill/>
          </a:ln>
          <a:effectLst>
            <a:outerShdw blurRad="254000" sx="102000" sy="102000" algn="ctr" rotWithShape="0">
              <a:prstClr val="black">
                <a:alpha val="20000"/>
              </a:prstClr>
            </a:outerShdw>
          </a:effectLst>
        </c:spPr>
      </c:pivotFmt>
      <c:pivotFmt>
        <c:idx val="10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01"/>
        <c:spPr>
          <a:solidFill>
            <a:schemeClr val="accent6"/>
          </a:solidFill>
          <a:ln>
            <a:noFill/>
          </a:ln>
          <a:effectLst>
            <a:outerShdw blurRad="254000" sx="102000" sy="102000" algn="ctr" rotWithShape="0">
              <a:prstClr val="black">
                <a:alpha val="20000"/>
              </a:prstClr>
            </a:outerShdw>
          </a:effectLst>
        </c:spPr>
        <c:dLbl>
          <c:idx val="0"/>
          <c:layout>
            <c:manualLayout>
              <c:x val="-4.1833770778652773E-2"/>
              <c:y val="9.95158938466024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2"/>
        <c:spPr>
          <a:solidFill>
            <a:schemeClr val="accent6"/>
          </a:solidFill>
          <a:ln>
            <a:noFill/>
          </a:ln>
          <a:effectLst>
            <a:outerShdw blurRad="254000" sx="102000" sy="102000" algn="ctr" rotWithShape="0">
              <a:prstClr val="black">
                <a:alpha val="20000"/>
              </a:prstClr>
            </a:outerShdw>
          </a:effectLst>
        </c:spPr>
        <c:dLbl>
          <c:idx val="0"/>
          <c:layout>
            <c:manualLayout>
              <c:x val="-4.7557742782152336E-2"/>
              <c:y val="-9.21919655876349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3"/>
        <c:spPr>
          <a:solidFill>
            <a:schemeClr val="accent6"/>
          </a:solidFill>
          <a:ln>
            <a:noFill/>
          </a:ln>
          <a:effectLst>
            <a:outerShdw blurRad="254000" sx="102000" sy="102000" algn="ctr" rotWithShape="0">
              <a:prstClr val="black">
                <a:alpha val="20000"/>
              </a:prstClr>
            </a:outerShdw>
          </a:effectLst>
        </c:spPr>
        <c:dLbl>
          <c:idx val="0"/>
          <c:layout>
            <c:manualLayout>
              <c:x val="7.1015091863517038E-2"/>
              <c:y val="-4.534558180227479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4"/>
        <c:spPr>
          <a:solidFill>
            <a:schemeClr val="accent6"/>
          </a:solidFill>
          <a:ln>
            <a:noFill/>
          </a:ln>
          <a:effectLst>
            <a:outerShdw blurRad="254000" sx="102000" sy="102000" algn="ctr" rotWithShape="0">
              <a:prstClr val="black">
                <a:alpha val="20000"/>
              </a:prstClr>
            </a:outerShdw>
          </a:effectLst>
        </c:spPr>
        <c:dLbl>
          <c:idx val="0"/>
          <c:layout>
            <c:manualLayout>
              <c:x val="4.7155730533683264E-2"/>
              <c:y val="0.1205912802566345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06"/>
        <c:spPr>
          <a:solidFill>
            <a:schemeClr val="accent6"/>
          </a:solidFill>
          <a:ln>
            <a:noFill/>
          </a:ln>
          <a:effectLst>
            <a:outerShdw blurRad="254000" sx="102000" sy="102000" algn="ctr" rotWithShape="0">
              <a:prstClr val="black">
                <a:alpha val="20000"/>
              </a:prstClr>
            </a:outerShdw>
          </a:effectLst>
        </c:spPr>
      </c:pivotFmt>
      <c:pivotFmt>
        <c:idx val="107"/>
        <c:spPr>
          <a:solidFill>
            <a:schemeClr val="accent6"/>
          </a:solidFill>
          <a:ln>
            <a:noFill/>
          </a:ln>
          <a:effectLst>
            <a:outerShdw blurRad="254000" sx="102000" sy="102000" algn="ctr" rotWithShape="0">
              <a:prstClr val="black">
                <a:alpha val="20000"/>
              </a:prstClr>
            </a:outerShdw>
          </a:effectLst>
        </c:spPr>
      </c:pivotFmt>
      <c:pivotFmt>
        <c:idx val="108"/>
        <c:spPr>
          <a:solidFill>
            <a:schemeClr val="accent6"/>
          </a:solidFill>
          <a:ln>
            <a:noFill/>
          </a:ln>
          <a:effectLst>
            <a:outerShdw blurRad="254000" sx="102000" sy="102000" algn="ctr" rotWithShape="0">
              <a:prstClr val="black">
                <a:alpha val="20000"/>
              </a:prstClr>
            </a:outerShdw>
          </a:effectLst>
        </c:spPr>
      </c:pivotFmt>
      <c:pivotFmt>
        <c:idx val="109"/>
        <c:spPr>
          <a:solidFill>
            <a:schemeClr val="accent6"/>
          </a:solidFill>
          <a:ln>
            <a:noFill/>
          </a:ln>
          <a:effectLst>
            <a:outerShdw blurRad="254000" sx="102000" sy="102000" algn="ctr" rotWithShape="0">
              <a:prstClr val="black">
                <a:alpha val="20000"/>
              </a:prstClr>
            </a:outerShdw>
          </a:effectLst>
        </c:spPr>
      </c:pivotFmt>
      <c:pivotFmt>
        <c:idx val="11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1"/>
        <c:spPr>
          <a:solidFill>
            <a:schemeClr val="accent6"/>
          </a:solidFill>
          <a:ln>
            <a:noFill/>
          </a:ln>
          <a:effectLst>
            <a:outerShdw blurRad="254000" sx="102000" sy="102000" algn="ctr" rotWithShape="0">
              <a:prstClr val="black">
                <a:alpha val="20000"/>
              </a:prstClr>
            </a:outerShdw>
          </a:effectLst>
        </c:spPr>
      </c:pivotFmt>
      <c:pivotFmt>
        <c:idx val="112"/>
        <c:spPr>
          <a:solidFill>
            <a:schemeClr val="accent6"/>
          </a:solidFill>
          <a:ln>
            <a:noFill/>
          </a:ln>
          <a:effectLst>
            <a:outerShdw blurRad="254000" sx="102000" sy="102000" algn="ctr" rotWithShape="0">
              <a:prstClr val="black">
                <a:alpha val="20000"/>
              </a:prstClr>
            </a:outerShdw>
          </a:effectLst>
        </c:spPr>
      </c:pivotFmt>
      <c:pivotFmt>
        <c:idx val="113"/>
        <c:spPr>
          <a:solidFill>
            <a:schemeClr val="accent6"/>
          </a:solidFill>
          <a:ln>
            <a:noFill/>
          </a:ln>
          <a:effectLst>
            <a:outerShdw blurRad="254000" sx="102000" sy="102000" algn="ctr" rotWithShape="0">
              <a:prstClr val="black">
                <a:alpha val="20000"/>
              </a:prstClr>
            </a:outerShdw>
          </a:effectLst>
        </c:spPr>
      </c:pivotFmt>
      <c:pivotFmt>
        <c:idx val="114"/>
        <c:spPr>
          <a:solidFill>
            <a:schemeClr val="accent6"/>
          </a:solidFill>
          <a:ln>
            <a:noFill/>
          </a:ln>
          <a:effectLst>
            <a:outerShdw blurRad="254000" sx="102000" sy="102000" algn="ctr" rotWithShape="0">
              <a:prstClr val="black">
                <a:alpha val="20000"/>
              </a:prstClr>
            </a:outerShdw>
          </a:effectLst>
        </c:spPr>
      </c:pivotFmt>
      <c:pivotFmt>
        <c:idx val="11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6"/>
        <c:spPr>
          <a:solidFill>
            <a:schemeClr val="accent6"/>
          </a:solidFill>
          <a:ln>
            <a:noFill/>
          </a:ln>
          <a:effectLst>
            <a:outerShdw blurRad="254000" sx="102000" sy="102000" algn="ctr" rotWithShape="0">
              <a:prstClr val="black">
                <a:alpha val="20000"/>
              </a:prstClr>
            </a:outerShdw>
          </a:effectLst>
        </c:spPr>
      </c:pivotFmt>
      <c:pivotFmt>
        <c:idx val="117"/>
        <c:spPr>
          <a:solidFill>
            <a:schemeClr val="accent6"/>
          </a:solidFill>
          <a:ln>
            <a:noFill/>
          </a:ln>
          <a:effectLst>
            <a:outerShdw blurRad="254000" sx="102000" sy="102000" algn="ctr" rotWithShape="0">
              <a:prstClr val="black">
                <a:alpha val="20000"/>
              </a:prstClr>
            </a:outerShdw>
          </a:effectLst>
        </c:spPr>
      </c:pivotFmt>
      <c:pivotFmt>
        <c:idx val="118"/>
        <c:spPr>
          <a:solidFill>
            <a:schemeClr val="accent6"/>
          </a:solidFill>
          <a:ln>
            <a:noFill/>
          </a:ln>
          <a:effectLst>
            <a:outerShdw blurRad="254000" sx="102000" sy="102000" algn="ctr" rotWithShape="0">
              <a:prstClr val="black">
                <a:alpha val="20000"/>
              </a:prstClr>
            </a:outerShdw>
          </a:effectLst>
        </c:spPr>
      </c:pivotFmt>
      <c:pivotFmt>
        <c:idx val="119"/>
        <c:spPr>
          <a:solidFill>
            <a:schemeClr val="accent6"/>
          </a:solidFill>
          <a:ln>
            <a:noFill/>
          </a:ln>
          <a:effectLst>
            <a:outerShdw blurRad="254000" sx="102000" sy="102000" algn="ctr" rotWithShape="0">
              <a:prstClr val="black">
                <a:alpha val="20000"/>
              </a:prstClr>
            </a:outerShdw>
          </a:effectLst>
        </c:spPr>
      </c:pivotFmt>
      <c:pivotFmt>
        <c:idx val="12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21"/>
        <c:spPr>
          <a:solidFill>
            <a:schemeClr val="accent6"/>
          </a:solidFill>
          <a:ln>
            <a:noFill/>
          </a:ln>
          <a:effectLst>
            <a:outerShdw blurRad="254000" sx="102000" sy="102000" algn="ctr" rotWithShape="0">
              <a:prstClr val="black">
                <a:alpha val="20000"/>
              </a:prstClr>
            </a:outerShdw>
          </a:effectLst>
        </c:spPr>
      </c:pivotFmt>
      <c:pivotFmt>
        <c:idx val="122"/>
        <c:spPr>
          <a:solidFill>
            <a:schemeClr val="accent6"/>
          </a:solidFill>
          <a:ln>
            <a:noFill/>
          </a:ln>
          <a:effectLst>
            <a:outerShdw blurRad="254000" sx="102000" sy="102000" algn="ctr" rotWithShape="0">
              <a:prstClr val="black">
                <a:alpha val="20000"/>
              </a:prstClr>
            </a:outerShdw>
          </a:effectLst>
        </c:spPr>
      </c:pivotFmt>
      <c:pivotFmt>
        <c:idx val="123"/>
        <c:spPr>
          <a:solidFill>
            <a:schemeClr val="accent6"/>
          </a:solidFill>
          <a:ln>
            <a:noFill/>
          </a:ln>
          <a:effectLst>
            <a:outerShdw blurRad="254000" sx="102000" sy="102000" algn="ctr" rotWithShape="0">
              <a:prstClr val="black">
                <a:alpha val="20000"/>
              </a:prstClr>
            </a:outerShdw>
          </a:effectLst>
        </c:spPr>
      </c:pivotFmt>
      <c:pivotFmt>
        <c:idx val="124"/>
        <c:spPr>
          <a:solidFill>
            <a:schemeClr val="accent6"/>
          </a:solidFill>
          <a:ln>
            <a:noFill/>
          </a:ln>
          <a:effectLst>
            <a:outerShdw blurRad="254000" sx="102000" sy="102000" algn="ctr" rotWithShape="0">
              <a:prstClr val="black">
                <a:alpha val="20000"/>
              </a:prstClr>
            </a:outerShdw>
          </a:effectLst>
        </c:spPr>
      </c:pivotFmt>
      <c:pivotFmt>
        <c:idx val="12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26"/>
        <c:spPr>
          <a:solidFill>
            <a:schemeClr val="accent6"/>
          </a:solidFill>
          <a:ln>
            <a:noFill/>
          </a:ln>
          <a:effectLst>
            <a:outerShdw blurRad="254000" sx="102000" sy="102000" algn="ctr" rotWithShape="0">
              <a:prstClr val="black">
                <a:alpha val="20000"/>
              </a:prstClr>
            </a:outerShdw>
          </a:effectLst>
        </c:spPr>
      </c:pivotFmt>
      <c:pivotFmt>
        <c:idx val="127"/>
        <c:spPr>
          <a:solidFill>
            <a:schemeClr val="accent6"/>
          </a:solidFill>
          <a:ln>
            <a:noFill/>
          </a:ln>
          <a:effectLst>
            <a:outerShdw blurRad="254000" sx="102000" sy="102000" algn="ctr" rotWithShape="0">
              <a:prstClr val="black">
                <a:alpha val="20000"/>
              </a:prstClr>
            </a:outerShdw>
          </a:effectLst>
        </c:spPr>
      </c:pivotFmt>
      <c:pivotFmt>
        <c:idx val="128"/>
        <c:spPr>
          <a:solidFill>
            <a:schemeClr val="accent6"/>
          </a:solidFill>
          <a:ln>
            <a:noFill/>
          </a:ln>
          <a:effectLst>
            <a:outerShdw blurRad="254000" sx="102000" sy="102000" algn="ctr" rotWithShape="0">
              <a:prstClr val="black">
                <a:alpha val="20000"/>
              </a:prstClr>
            </a:outerShdw>
          </a:effectLst>
        </c:spPr>
      </c:pivotFmt>
      <c:pivotFmt>
        <c:idx val="129"/>
        <c:spPr>
          <a:solidFill>
            <a:schemeClr val="accent6"/>
          </a:solidFill>
          <a:ln>
            <a:noFill/>
          </a:ln>
          <a:effectLst>
            <a:outerShdw blurRad="254000" sx="102000" sy="102000" algn="ctr" rotWithShape="0">
              <a:prstClr val="black">
                <a:alpha val="20000"/>
              </a:prstClr>
            </a:outerShdw>
          </a:effectLst>
        </c:spPr>
      </c:pivotFmt>
      <c:pivotFmt>
        <c:idx val="13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1"/>
        <c:spPr>
          <a:solidFill>
            <a:schemeClr val="accent6">
              <a:tint val="58000"/>
            </a:schemeClr>
          </a:solidFill>
          <a:ln>
            <a:noFill/>
          </a:ln>
          <a:effectLst>
            <a:outerShdw blurRad="254000" sx="102000" sy="102000" algn="ctr" rotWithShape="0">
              <a:prstClr val="black">
                <a:alpha val="20000"/>
              </a:prstClr>
            </a:outerShdw>
          </a:effectLst>
        </c:spPr>
        <c:dLbl>
          <c:idx val="0"/>
          <c:layout>
            <c:manualLayout>
              <c:x val="-4.1833770778652773E-2"/>
              <c:y val="9.95158938466024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2"/>
        <c:spPr>
          <a:solidFill>
            <a:schemeClr val="accent6">
              <a:tint val="86000"/>
            </a:schemeClr>
          </a:solidFill>
          <a:ln>
            <a:noFill/>
          </a:ln>
          <a:effectLst>
            <a:outerShdw blurRad="254000" sx="102000" sy="102000" algn="ctr" rotWithShape="0">
              <a:prstClr val="black">
                <a:alpha val="20000"/>
              </a:prstClr>
            </a:outerShdw>
          </a:effectLst>
        </c:spPr>
        <c:dLbl>
          <c:idx val="0"/>
          <c:layout>
            <c:manualLayout>
              <c:x val="-4.7557742782152336E-2"/>
              <c:y val="-9.21919655876349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3"/>
        <c:spPr>
          <a:solidFill>
            <a:schemeClr val="accent6">
              <a:shade val="86000"/>
            </a:schemeClr>
          </a:solidFill>
          <a:ln>
            <a:noFill/>
          </a:ln>
          <a:effectLst>
            <a:outerShdw blurRad="254000" sx="102000" sy="102000" algn="ctr" rotWithShape="0">
              <a:prstClr val="black">
                <a:alpha val="20000"/>
              </a:prstClr>
            </a:outerShdw>
          </a:effectLst>
        </c:spPr>
        <c:dLbl>
          <c:idx val="0"/>
          <c:layout>
            <c:manualLayout>
              <c:x val="7.1015091863517038E-2"/>
              <c:y val="-4.534558180227479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4"/>
        <c:spPr>
          <a:solidFill>
            <a:schemeClr val="accent6">
              <a:shade val="58000"/>
            </a:schemeClr>
          </a:solidFill>
          <a:ln>
            <a:noFill/>
          </a:ln>
          <a:effectLst>
            <a:outerShdw blurRad="254000" sx="102000" sy="102000" algn="ctr" rotWithShape="0">
              <a:prstClr val="black">
                <a:alpha val="20000"/>
              </a:prstClr>
            </a:outerShdw>
          </a:effectLst>
        </c:spPr>
        <c:dLbl>
          <c:idx val="0"/>
          <c:layout>
            <c:manualLayout>
              <c:x val="4.7155730533683264E-2"/>
              <c:y val="0.1205912802566345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6"/>
        <c:spPr>
          <a:solidFill>
            <a:schemeClr val="accent6">
              <a:tint val="58000"/>
            </a:schemeClr>
          </a:solidFill>
          <a:ln>
            <a:noFill/>
          </a:ln>
          <a:effectLst>
            <a:outerShdw blurRad="254000" sx="102000" sy="102000" algn="ctr" rotWithShape="0">
              <a:prstClr val="black">
                <a:alpha val="20000"/>
              </a:prstClr>
            </a:outerShdw>
          </a:effectLst>
        </c:spPr>
      </c:pivotFmt>
      <c:pivotFmt>
        <c:idx val="137"/>
        <c:spPr>
          <a:solidFill>
            <a:schemeClr val="accent6">
              <a:tint val="86000"/>
            </a:schemeClr>
          </a:solidFill>
          <a:ln>
            <a:noFill/>
          </a:ln>
          <a:effectLst>
            <a:outerShdw blurRad="254000" sx="102000" sy="102000" algn="ctr" rotWithShape="0">
              <a:prstClr val="black">
                <a:alpha val="20000"/>
              </a:prstClr>
            </a:outerShdw>
          </a:effectLst>
        </c:spPr>
      </c:pivotFmt>
      <c:pivotFmt>
        <c:idx val="138"/>
        <c:spPr>
          <a:solidFill>
            <a:schemeClr val="accent6">
              <a:shade val="86000"/>
            </a:schemeClr>
          </a:solidFill>
          <a:ln>
            <a:noFill/>
          </a:ln>
          <a:effectLst>
            <a:outerShdw blurRad="254000" sx="102000" sy="102000" algn="ctr" rotWithShape="0">
              <a:prstClr val="black">
                <a:alpha val="20000"/>
              </a:prstClr>
            </a:outerShdw>
          </a:effectLst>
        </c:spPr>
      </c:pivotFmt>
      <c:pivotFmt>
        <c:idx val="139"/>
        <c:spPr>
          <a:solidFill>
            <a:schemeClr val="accent6">
              <a:shade val="58000"/>
            </a:schemeClr>
          </a:solidFill>
          <a:ln>
            <a:noFill/>
          </a:ln>
          <a:effectLst>
            <a:outerShdw blurRad="254000" sx="102000" sy="102000" algn="ctr" rotWithShape="0">
              <a:prstClr val="black">
                <a:alpha val="20000"/>
              </a:prstClr>
            </a:outerShdw>
          </a:effectLst>
        </c:spPr>
      </c:pivotFmt>
      <c:pivotFmt>
        <c:idx val="14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41"/>
        <c:spPr>
          <a:solidFill>
            <a:schemeClr val="accent6">
              <a:tint val="58000"/>
            </a:schemeClr>
          </a:solidFill>
          <a:ln>
            <a:noFill/>
          </a:ln>
          <a:effectLst>
            <a:outerShdw blurRad="254000" sx="102000" sy="102000" algn="ctr" rotWithShape="0">
              <a:prstClr val="black">
                <a:alpha val="20000"/>
              </a:prstClr>
            </a:outerShdw>
          </a:effectLst>
        </c:spPr>
      </c:pivotFmt>
      <c:pivotFmt>
        <c:idx val="142"/>
        <c:spPr>
          <a:solidFill>
            <a:schemeClr val="accent6">
              <a:tint val="86000"/>
            </a:schemeClr>
          </a:solidFill>
          <a:ln>
            <a:noFill/>
          </a:ln>
          <a:effectLst>
            <a:outerShdw blurRad="254000" sx="102000" sy="102000" algn="ctr" rotWithShape="0">
              <a:prstClr val="black">
                <a:alpha val="20000"/>
              </a:prstClr>
            </a:outerShdw>
          </a:effectLst>
        </c:spPr>
      </c:pivotFmt>
      <c:pivotFmt>
        <c:idx val="143"/>
        <c:spPr>
          <a:solidFill>
            <a:schemeClr val="accent6">
              <a:shade val="86000"/>
            </a:schemeClr>
          </a:solidFill>
          <a:ln>
            <a:noFill/>
          </a:ln>
          <a:effectLst>
            <a:outerShdw blurRad="254000" sx="102000" sy="102000" algn="ctr" rotWithShape="0">
              <a:prstClr val="black">
                <a:alpha val="20000"/>
              </a:prstClr>
            </a:outerShdw>
          </a:effectLst>
        </c:spPr>
      </c:pivotFmt>
      <c:pivotFmt>
        <c:idx val="144"/>
        <c:spPr>
          <a:solidFill>
            <a:schemeClr val="accent6">
              <a:shade val="58000"/>
            </a:schemeClr>
          </a:solidFill>
          <a:ln>
            <a:noFill/>
          </a:ln>
          <a:effectLst>
            <a:outerShdw blurRad="254000" sx="102000" sy="102000" algn="ctr" rotWithShape="0">
              <a:prstClr val="black">
                <a:alpha val="20000"/>
              </a:prstClr>
            </a:outerShdw>
          </a:effectLst>
        </c:spPr>
      </c:pivotFmt>
      <c:pivotFmt>
        <c:idx val="14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46"/>
        <c:spPr>
          <a:solidFill>
            <a:schemeClr val="accent6">
              <a:tint val="58000"/>
            </a:schemeClr>
          </a:solidFill>
          <a:ln>
            <a:noFill/>
          </a:ln>
          <a:effectLst>
            <a:outerShdw blurRad="254000" sx="102000" sy="102000" algn="ctr" rotWithShape="0">
              <a:prstClr val="black">
                <a:alpha val="20000"/>
              </a:prstClr>
            </a:outerShdw>
          </a:effectLst>
        </c:spPr>
      </c:pivotFmt>
      <c:pivotFmt>
        <c:idx val="147"/>
        <c:spPr>
          <a:solidFill>
            <a:schemeClr val="accent6">
              <a:tint val="86000"/>
            </a:schemeClr>
          </a:solidFill>
          <a:ln>
            <a:noFill/>
          </a:ln>
          <a:effectLst>
            <a:outerShdw blurRad="254000" sx="102000" sy="102000" algn="ctr" rotWithShape="0">
              <a:prstClr val="black">
                <a:alpha val="20000"/>
              </a:prstClr>
            </a:outerShdw>
          </a:effectLst>
        </c:spPr>
      </c:pivotFmt>
      <c:pivotFmt>
        <c:idx val="148"/>
        <c:spPr>
          <a:solidFill>
            <a:schemeClr val="accent6">
              <a:shade val="86000"/>
            </a:schemeClr>
          </a:solidFill>
          <a:ln>
            <a:noFill/>
          </a:ln>
          <a:effectLst>
            <a:outerShdw blurRad="254000" sx="102000" sy="102000" algn="ctr" rotWithShape="0">
              <a:prstClr val="black">
                <a:alpha val="20000"/>
              </a:prstClr>
            </a:outerShdw>
          </a:effectLst>
        </c:spPr>
      </c:pivotFmt>
      <c:pivotFmt>
        <c:idx val="149"/>
        <c:spPr>
          <a:solidFill>
            <a:schemeClr val="accent6">
              <a:shade val="58000"/>
            </a:schemeClr>
          </a:solidFill>
          <a:ln>
            <a:noFill/>
          </a:ln>
          <a:effectLst>
            <a:outerShdw blurRad="254000" sx="102000" sy="102000" algn="ctr" rotWithShape="0">
              <a:prstClr val="black">
                <a:alpha val="20000"/>
              </a:prstClr>
            </a:outerShdw>
          </a:effectLst>
        </c:spPr>
      </c:pivotFmt>
      <c:pivotFmt>
        <c:idx val="15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51"/>
        <c:spPr>
          <a:solidFill>
            <a:schemeClr val="accent6">
              <a:tint val="58000"/>
            </a:schemeClr>
          </a:solidFill>
          <a:ln>
            <a:noFill/>
          </a:ln>
          <a:effectLst>
            <a:outerShdw blurRad="254000" sx="102000" sy="102000" algn="ctr" rotWithShape="0">
              <a:prstClr val="black">
                <a:alpha val="20000"/>
              </a:prstClr>
            </a:outerShdw>
          </a:effectLst>
        </c:spPr>
      </c:pivotFmt>
      <c:pivotFmt>
        <c:idx val="152"/>
        <c:spPr>
          <a:solidFill>
            <a:schemeClr val="accent6">
              <a:tint val="86000"/>
            </a:schemeClr>
          </a:solidFill>
          <a:ln>
            <a:noFill/>
          </a:ln>
          <a:effectLst>
            <a:outerShdw blurRad="254000" sx="102000" sy="102000" algn="ctr" rotWithShape="0">
              <a:prstClr val="black">
                <a:alpha val="20000"/>
              </a:prstClr>
            </a:outerShdw>
          </a:effectLst>
        </c:spPr>
      </c:pivotFmt>
      <c:pivotFmt>
        <c:idx val="153"/>
        <c:spPr>
          <a:solidFill>
            <a:schemeClr val="accent6">
              <a:shade val="86000"/>
            </a:schemeClr>
          </a:solidFill>
          <a:ln>
            <a:noFill/>
          </a:ln>
          <a:effectLst>
            <a:outerShdw blurRad="254000" sx="102000" sy="102000" algn="ctr" rotWithShape="0">
              <a:prstClr val="black">
                <a:alpha val="20000"/>
              </a:prstClr>
            </a:outerShdw>
          </a:effectLst>
        </c:spPr>
      </c:pivotFmt>
      <c:pivotFmt>
        <c:idx val="154"/>
        <c:spPr>
          <a:solidFill>
            <a:schemeClr val="accent6">
              <a:shade val="58000"/>
            </a:schemeClr>
          </a:solidFill>
          <a:ln>
            <a:noFill/>
          </a:ln>
          <a:effectLst>
            <a:outerShdw blurRad="254000" sx="102000" sy="102000" algn="ctr" rotWithShape="0">
              <a:prstClr val="black">
                <a:alpha val="20000"/>
              </a:prstClr>
            </a:outerShdw>
          </a:effectLst>
        </c:spPr>
      </c:pivotFmt>
      <c:pivotFmt>
        <c:idx val="15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56"/>
        <c:spPr>
          <a:solidFill>
            <a:schemeClr val="accent6">
              <a:tint val="58000"/>
            </a:schemeClr>
          </a:solidFill>
          <a:ln>
            <a:noFill/>
          </a:ln>
          <a:effectLst>
            <a:outerShdw blurRad="254000" sx="102000" sy="102000" algn="ctr" rotWithShape="0">
              <a:prstClr val="black">
                <a:alpha val="20000"/>
              </a:prstClr>
            </a:outerShdw>
          </a:effectLst>
        </c:spPr>
      </c:pivotFmt>
      <c:pivotFmt>
        <c:idx val="157"/>
        <c:spPr>
          <a:solidFill>
            <a:schemeClr val="accent6">
              <a:tint val="86000"/>
            </a:schemeClr>
          </a:solidFill>
          <a:ln>
            <a:noFill/>
          </a:ln>
          <a:effectLst>
            <a:outerShdw blurRad="254000" sx="102000" sy="102000" algn="ctr" rotWithShape="0">
              <a:prstClr val="black">
                <a:alpha val="20000"/>
              </a:prstClr>
            </a:outerShdw>
          </a:effectLst>
        </c:spPr>
      </c:pivotFmt>
      <c:pivotFmt>
        <c:idx val="158"/>
        <c:spPr>
          <a:solidFill>
            <a:schemeClr val="accent6">
              <a:shade val="86000"/>
            </a:schemeClr>
          </a:solidFill>
          <a:ln>
            <a:noFill/>
          </a:ln>
          <a:effectLst>
            <a:outerShdw blurRad="254000" sx="102000" sy="102000" algn="ctr" rotWithShape="0">
              <a:prstClr val="black">
                <a:alpha val="20000"/>
              </a:prstClr>
            </a:outerShdw>
          </a:effectLst>
        </c:spPr>
      </c:pivotFmt>
      <c:pivotFmt>
        <c:idx val="159"/>
        <c:spPr>
          <a:solidFill>
            <a:schemeClr val="accent6">
              <a:shade val="58000"/>
            </a:schemeClr>
          </a:solidFill>
          <a:ln>
            <a:noFill/>
          </a:ln>
          <a:effectLst>
            <a:outerShdw blurRad="254000" sx="102000" sy="102000" algn="ctr" rotWithShape="0">
              <a:prstClr val="black">
                <a:alpha val="20000"/>
              </a:prstClr>
            </a:outerShdw>
          </a:effectLst>
        </c:spPr>
      </c:pivotFmt>
      <c:pivotFmt>
        <c:idx val="16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61"/>
        <c:spPr>
          <a:solidFill>
            <a:schemeClr val="accent6">
              <a:tint val="58000"/>
            </a:schemeClr>
          </a:solidFill>
          <a:ln>
            <a:noFill/>
          </a:ln>
          <a:effectLst>
            <a:outerShdw blurRad="254000" sx="102000" sy="102000" algn="ctr" rotWithShape="0">
              <a:prstClr val="black">
                <a:alpha val="20000"/>
              </a:prstClr>
            </a:outerShdw>
          </a:effectLst>
        </c:spPr>
        <c:dLbl>
          <c:idx val="0"/>
          <c:layout>
            <c:manualLayout>
              <c:x val="-4.1833770778652773E-2"/>
              <c:y val="9.95158938466024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2"/>
        <c:spPr>
          <a:solidFill>
            <a:schemeClr val="accent6">
              <a:tint val="86000"/>
            </a:schemeClr>
          </a:solidFill>
          <a:ln>
            <a:noFill/>
          </a:ln>
          <a:effectLst>
            <a:outerShdw blurRad="254000" sx="102000" sy="102000" algn="ctr" rotWithShape="0">
              <a:prstClr val="black">
                <a:alpha val="20000"/>
              </a:prstClr>
            </a:outerShdw>
          </a:effectLst>
        </c:spPr>
        <c:dLbl>
          <c:idx val="0"/>
          <c:layout>
            <c:manualLayout>
              <c:x val="-4.7557742782152336E-2"/>
              <c:y val="-9.21919655876349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3"/>
        <c:spPr>
          <a:solidFill>
            <a:schemeClr val="accent6">
              <a:shade val="86000"/>
            </a:schemeClr>
          </a:solidFill>
          <a:ln>
            <a:noFill/>
          </a:ln>
          <a:effectLst>
            <a:outerShdw blurRad="254000" sx="102000" sy="102000" algn="ctr" rotWithShape="0">
              <a:prstClr val="black">
                <a:alpha val="20000"/>
              </a:prstClr>
            </a:outerShdw>
          </a:effectLst>
        </c:spPr>
        <c:dLbl>
          <c:idx val="0"/>
          <c:layout>
            <c:manualLayout>
              <c:x val="7.1015091863517038E-2"/>
              <c:y val="-4.534558180227479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4"/>
        <c:spPr>
          <a:solidFill>
            <a:schemeClr val="accent6">
              <a:shade val="58000"/>
            </a:schemeClr>
          </a:solidFill>
          <a:ln>
            <a:noFill/>
          </a:ln>
          <a:effectLst>
            <a:outerShdw blurRad="254000" sx="102000" sy="102000" algn="ctr" rotWithShape="0">
              <a:prstClr val="black">
                <a:alpha val="20000"/>
              </a:prstClr>
            </a:outerShdw>
          </a:effectLst>
        </c:spPr>
        <c:dLbl>
          <c:idx val="0"/>
          <c:layout>
            <c:manualLayout>
              <c:x val="4.7155730533683264E-2"/>
              <c:y val="0.1205912802566345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66"/>
        <c:spPr>
          <a:solidFill>
            <a:schemeClr val="accent6">
              <a:tint val="58000"/>
            </a:schemeClr>
          </a:solidFill>
          <a:ln>
            <a:noFill/>
          </a:ln>
          <a:effectLst>
            <a:outerShdw blurRad="254000" sx="102000" sy="102000" algn="ctr" rotWithShape="0">
              <a:prstClr val="black">
                <a:alpha val="20000"/>
              </a:prstClr>
            </a:outerShdw>
          </a:effectLst>
        </c:spPr>
      </c:pivotFmt>
      <c:pivotFmt>
        <c:idx val="167"/>
        <c:spPr>
          <a:solidFill>
            <a:schemeClr val="accent6">
              <a:tint val="86000"/>
            </a:schemeClr>
          </a:solidFill>
          <a:ln>
            <a:noFill/>
          </a:ln>
          <a:effectLst>
            <a:outerShdw blurRad="254000" sx="102000" sy="102000" algn="ctr" rotWithShape="0">
              <a:prstClr val="black">
                <a:alpha val="20000"/>
              </a:prstClr>
            </a:outerShdw>
          </a:effectLst>
        </c:spPr>
      </c:pivotFmt>
      <c:pivotFmt>
        <c:idx val="168"/>
        <c:spPr>
          <a:solidFill>
            <a:schemeClr val="accent6">
              <a:shade val="86000"/>
            </a:schemeClr>
          </a:solidFill>
          <a:ln>
            <a:noFill/>
          </a:ln>
          <a:effectLst>
            <a:outerShdw blurRad="254000" sx="102000" sy="102000" algn="ctr" rotWithShape="0">
              <a:prstClr val="black">
                <a:alpha val="20000"/>
              </a:prstClr>
            </a:outerShdw>
          </a:effectLst>
        </c:spPr>
      </c:pivotFmt>
      <c:pivotFmt>
        <c:idx val="169"/>
        <c:spPr>
          <a:solidFill>
            <a:schemeClr val="accent6">
              <a:shade val="58000"/>
            </a:schemeClr>
          </a:solidFill>
          <a:ln>
            <a:noFill/>
          </a:ln>
          <a:effectLst>
            <a:outerShdw blurRad="254000" sx="102000" sy="102000" algn="ctr" rotWithShape="0">
              <a:prstClr val="black">
                <a:alpha val="20000"/>
              </a:prstClr>
            </a:outerShdw>
          </a:effectLst>
        </c:spPr>
      </c:pivotFmt>
      <c:pivotFmt>
        <c:idx val="17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71"/>
        <c:spPr>
          <a:solidFill>
            <a:schemeClr val="accent6">
              <a:tint val="58000"/>
            </a:schemeClr>
          </a:solidFill>
          <a:ln>
            <a:noFill/>
          </a:ln>
          <a:effectLst>
            <a:outerShdw blurRad="254000" sx="102000" sy="102000" algn="ctr" rotWithShape="0">
              <a:prstClr val="black">
                <a:alpha val="20000"/>
              </a:prstClr>
            </a:outerShdw>
          </a:effectLst>
        </c:spPr>
      </c:pivotFmt>
      <c:pivotFmt>
        <c:idx val="172"/>
        <c:spPr>
          <a:solidFill>
            <a:schemeClr val="accent6">
              <a:tint val="86000"/>
            </a:schemeClr>
          </a:solidFill>
          <a:ln>
            <a:noFill/>
          </a:ln>
          <a:effectLst>
            <a:outerShdw blurRad="254000" sx="102000" sy="102000" algn="ctr" rotWithShape="0">
              <a:prstClr val="black">
                <a:alpha val="20000"/>
              </a:prstClr>
            </a:outerShdw>
          </a:effectLst>
        </c:spPr>
      </c:pivotFmt>
      <c:pivotFmt>
        <c:idx val="173"/>
        <c:spPr>
          <a:solidFill>
            <a:schemeClr val="accent6">
              <a:shade val="86000"/>
            </a:schemeClr>
          </a:solidFill>
          <a:ln>
            <a:noFill/>
          </a:ln>
          <a:effectLst>
            <a:outerShdw blurRad="254000" sx="102000" sy="102000" algn="ctr" rotWithShape="0">
              <a:prstClr val="black">
                <a:alpha val="20000"/>
              </a:prstClr>
            </a:outerShdw>
          </a:effectLst>
        </c:spPr>
      </c:pivotFmt>
      <c:pivotFmt>
        <c:idx val="174"/>
        <c:spPr>
          <a:solidFill>
            <a:schemeClr val="accent6">
              <a:shade val="58000"/>
            </a:schemeClr>
          </a:solidFill>
          <a:ln>
            <a:noFill/>
          </a:ln>
          <a:effectLst>
            <a:outerShdw blurRad="254000" sx="102000" sy="102000" algn="ctr" rotWithShape="0">
              <a:prstClr val="black">
                <a:alpha val="20000"/>
              </a:prstClr>
            </a:outerShdw>
          </a:effectLst>
        </c:spPr>
      </c:pivotFmt>
      <c:pivotFmt>
        <c:idx val="17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76"/>
        <c:spPr>
          <a:solidFill>
            <a:schemeClr val="accent6">
              <a:tint val="58000"/>
            </a:schemeClr>
          </a:solidFill>
          <a:ln>
            <a:noFill/>
          </a:ln>
          <a:effectLst>
            <a:outerShdw blurRad="254000" sx="102000" sy="102000" algn="ctr" rotWithShape="0">
              <a:prstClr val="black">
                <a:alpha val="20000"/>
              </a:prstClr>
            </a:outerShdw>
          </a:effectLst>
        </c:spPr>
      </c:pivotFmt>
      <c:pivotFmt>
        <c:idx val="177"/>
        <c:spPr>
          <a:solidFill>
            <a:schemeClr val="accent6">
              <a:tint val="86000"/>
            </a:schemeClr>
          </a:solidFill>
          <a:ln>
            <a:noFill/>
          </a:ln>
          <a:effectLst>
            <a:outerShdw blurRad="254000" sx="102000" sy="102000" algn="ctr" rotWithShape="0">
              <a:prstClr val="black">
                <a:alpha val="20000"/>
              </a:prstClr>
            </a:outerShdw>
          </a:effectLst>
        </c:spPr>
      </c:pivotFmt>
      <c:pivotFmt>
        <c:idx val="178"/>
        <c:spPr>
          <a:solidFill>
            <a:schemeClr val="accent6">
              <a:shade val="86000"/>
            </a:schemeClr>
          </a:solidFill>
          <a:ln>
            <a:noFill/>
          </a:ln>
          <a:effectLst>
            <a:outerShdw blurRad="254000" sx="102000" sy="102000" algn="ctr" rotWithShape="0">
              <a:prstClr val="black">
                <a:alpha val="20000"/>
              </a:prstClr>
            </a:outerShdw>
          </a:effectLst>
        </c:spPr>
      </c:pivotFmt>
      <c:pivotFmt>
        <c:idx val="179"/>
        <c:spPr>
          <a:solidFill>
            <a:schemeClr val="accent6">
              <a:shade val="58000"/>
            </a:schemeClr>
          </a:solidFill>
          <a:ln>
            <a:noFill/>
          </a:ln>
          <a:effectLst>
            <a:outerShdw blurRad="254000" sx="102000" sy="102000" algn="ctr" rotWithShape="0">
              <a:prstClr val="black">
                <a:alpha val="20000"/>
              </a:prstClr>
            </a:outerShdw>
          </a:effectLst>
        </c:spPr>
      </c:pivotFmt>
      <c:pivotFmt>
        <c:idx val="18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81"/>
        <c:spPr>
          <a:solidFill>
            <a:schemeClr val="accent6">
              <a:tint val="58000"/>
            </a:schemeClr>
          </a:solidFill>
          <a:ln>
            <a:noFill/>
          </a:ln>
          <a:effectLst>
            <a:outerShdw blurRad="254000" sx="102000" sy="102000" algn="ctr" rotWithShape="0">
              <a:prstClr val="black">
                <a:alpha val="20000"/>
              </a:prstClr>
            </a:outerShdw>
          </a:effectLst>
        </c:spPr>
      </c:pivotFmt>
      <c:pivotFmt>
        <c:idx val="182"/>
        <c:spPr>
          <a:solidFill>
            <a:schemeClr val="accent6">
              <a:tint val="86000"/>
            </a:schemeClr>
          </a:solidFill>
          <a:ln>
            <a:noFill/>
          </a:ln>
          <a:effectLst>
            <a:outerShdw blurRad="254000" sx="102000" sy="102000" algn="ctr" rotWithShape="0">
              <a:prstClr val="black">
                <a:alpha val="20000"/>
              </a:prstClr>
            </a:outerShdw>
          </a:effectLst>
        </c:spPr>
      </c:pivotFmt>
      <c:pivotFmt>
        <c:idx val="183"/>
        <c:spPr>
          <a:solidFill>
            <a:schemeClr val="accent6">
              <a:shade val="86000"/>
            </a:schemeClr>
          </a:solidFill>
          <a:ln>
            <a:noFill/>
          </a:ln>
          <a:effectLst>
            <a:outerShdw blurRad="254000" sx="102000" sy="102000" algn="ctr" rotWithShape="0">
              <a:prstClr val="black">
                <a:alpha val="20000"/>
              </a:prstClr>
            </a:outerShdw>
          </a:effectLst>
        </c:spPr>
      </c:pivotFmt>
      <c:pivotFmt>
        <c:idx val="184"/>
        <c:spPr>
          <a:solidFill>
            <a:schemeClr val="accent6">
              <a:shade val="58000"/>
            </a:schemeClr>
          </a:solidFill>
          <a:ln>
            <a:noFill/>
          </a:ln>
          <a:effectLst>
            <a:outerShdw blurRad="254000" sx="102000" sy="102000" algn="ctr" rotWithShape="0">
              <a:prstClr val="black">
                <a:alpha val="20000"/>
              </a:prstClr>
            </a:outerShdw>
          </a:effectLst>
        </c:spPr>
      </c:pivotFmt>
      <c:pivotFmt>
        <c:idx val="18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86"/>
        <c:spPr>
          <a:solidFill>
            <a:schemeClr val="accent6">
              <a:tint val="58000"/>
            </a:schemeClr>
          </a:solidFill>
          <a:ln>
            <a:noFill/>
          </a:ln>
          <a:effectLst>
            <a:outerShdw blurRad="254000" sx="102000" sy="102000" algn="ctr" rotWithShape="0">
              <a:prstClr val="black">
                <a:alpha val="20000"/>
              </a:prstClr>
            </a:outerShdw>
          </a:effectLst>
        </c:spPr>
      </c:pivotFmt>
      <c:pivotFmt>
        <c:idx val="187"/>
        <c:spPr>
          <a:solidFill>
            <a:schemeClr val="accent6">
              <a:tint val="86000"/>
            </a:schemeClr>
          </a:solidFill>
          <a:ln>
            <a:noFill/>
          </a:ln>
          <a:effectLst>
            <a:outerShdw blurRad="254000" sx="102000" sy="102000" algn="ctr" rotWithShape="0">
              <a:prstClr val="black">
                <a:alpha val="20000"/>
              </a:prstClr>
            </a:outerShdw>
          </a:effectLst>
        </c:spPr>
      </c:pivotFmt>
      <c:pivotFmt>
        <c:idx val="188"/>
        <c:spPr>
          <a:solidFill>
            <a:schemeClr val="accent6">
              <a:shade val="86000"/>
            </a:schemeClr>
          </a:solidFill>
          <a:ln>
            <a:noFill/>
          </a:ln>
          <a:effectLst>
            <a:outerShdw blurRad="254000" sx="102000" sy="102000" algn="ctr" rotWithShape="0">
              <a:prstClr val="black">
                <a:alpha val="20000"/>
              </a:prstClr>
            </a:outerShdw>
          </a:effectLst>
        </c:spPr>
      </c:pivotFmt>
      <c:pivotFmt>
        <c:idx val="189"/>
        <c:spPr>
          <a:solidFill>
            <a:schemeClr val="accent6">
              <a:shade val="58000"/>
            </a:schemeClr>
          </a:solidFill>
          <a:ln>
            <a:noFill/>
          </a:ln>
          <a:effectLst>
            <a:outerShdw blurRad="254000" sx="102000" sy="102000" algn="ctr" rotWithShape="0">
              <a:prstClr val="black">
                <a:alpha val="20000"/>
              </a:prstClr>
            </a:outerShdw>
          </a:effectLst>
        </c:spPr>
      </c:pivotFmt>
      <c:pivotFmt>
        <c:idx val="19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91"/>
        <c:spPr>
          <a:solidFill>
            <a:schemeClr val="accent6">
              <a:tint val="58000"/>
            </a:schemeClr>
          </a:solidFill>
          <a:ln>
            <a:noFill/>
          </a:ln>
          <a:effectLst>
            <a:outerShdw blurRad="254000" sx="102000" sy="102000" algn="ctr" rotWithShape="0">
              <a:prstClr val="black">
                <a:alpha val="20000"/>
              </a:prstClr>
            </a:outerShdw>
          </a:effectLst>
        </c:spPr>
        <c:dLbl>
          <c:idx val="0"/>
          <c:layout>
            <c:manualLayout>
              <c:x val="-4.1833770778652773E-2"/>
              <c:y val="9.95158938466024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2"/>
        <c:spPr>
          <a:solidFill>
            <a:schemeClr val="accent6">
              <a:tint val="86000"/>
            </a:schemeClr>
          </a:solidFill>
          <a:ln>
            <a:noFill/>
          </a:ln>
          <a:effectLst>
            <a:outerShdw blurRad="254000" sx="102000" sy="102000" algn="ctr" rotWithShape="0">
              <a:prstClr val="black">
                <a:alpha val="20000"/>
              </a:prstClr>
            </a:outerShdw>
          </a:effectLst>
        </c:spPr>
        <c:dLbl>
          <c:idx val="0"/>
          <c:layout>
            <c:manualLayout>
              <c:x val="-4.7557742782152336E-2"/>
              <c:y val="-9.21919655876349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3"/>
        <c:spPr>
          <a:solidFill>
            <a:schemeClr val="accent6">
              <a:shade val="86000"/>
            </a:schemeClr>
          </a:solidFill>
          <a:ln>
            <a:noFill/>
          </a:ln>
          <a:effectLst>
            <a:outerShdw blurRad="254000" sx="102000" sy="102000" algn="ctr" rotWithShape="0">
              <a:prstClr val="black">
                <a:alpha val="20000"/>
              </a:prstClr>
            </a:outerShdw>
          </a:effectLst>
        </c:spPr>
        <c:dLbl>
          <c:idx val="0"/>
          <c:layout>
            <c:manualLayout>
              <c:x val="7.1015091863517038E-2"/>
              <c:y val="-4.534558180227479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4"/>
        <c:spPr>
          <a:solidFill>
            <a:schemeClr val="accent6">
              <a:shade val="58000"/>
            </a:schemeClr>
          </a:solidFill>
          <a:ln>
            <a:noFill/>
          </a:ln>
          <a:effectLst>
            <a:outerShdw blurRad="254000" sx="102000" sy="102000" algn="ctr" rotWithShape="0">
              <a:prstClr val="black">
                <a:alpha val="20000"/>
              </a:prstClr>
            </a:outerShdw>
          </a:effectLst>
        </c:spPr>
        <c:dLbl>
          <c:idx val="0"/>
          <c:layout>
            <c:manualLayout>
              <c:x val="4.7155730533683264E-2"/>
              <c:y val="0.1205912802566345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96"/>
        <c:spPr>
          <a:solidFill>
            <a:schemeClr val="accent6">
              <a:tint val="58000"/>
            </a:schemeClr>
          </a:solidFill>
          <a:ln>
            <a:noFill/>
          </a:ln>
          <a:effectLst>
            <a:outerShdw blurRad="254000" sx="102000" sy="102000" algn="ctr" rotWithShape="0">
              <a:prstClr val="black">
                <a:alpha val="20000"/>
              </a:prstClr>
            </a:outerShdw>
          </a:effectLst>
        </c:spPr>
      </c:pivotFmt>
      <c:pivotFmt>
        <c:idx val="197"/>
        <c:spPr>
          <a:solidFill>
            <a:schemeClr val="accent6">
              <a:tint val="86000"/>
            </a:schemeClr>
          </a:solidFill>
          <a:ln>
            <a:noFill/>
          </a:ln>
          <a:effectLst>
            <a:outerShdw blurRad="254000" sx="102000" sy="102000" algn="ctr" rotWithShape="0">
              <a:prstClr val="black">
                <a:alpha val="20000"/>
              </a:prstClr>
            </a:outerShdw>
          </a:effectLst>
        </c:spPr>
      </c:pivotFmt>
      <c:pivotFmt>
        <c:idx val="198"/>
        <c:spPr>
          <a:solidFill>
            <a:schemeClr val="accent6">
              <a:shade val="86000"/>
            </a:schemeClr>
          </a:solidFill>
          <a:ln>
            <a:noFill/>
          </a:ln>
          <a:effectLst>
            <a:outerShdw blurRad="254000" sx="102000" sy="102000" algn="ctr" rotWithShape="0">
              <a:prstClr val="black">
                <a:alpha val="20000"/>
              </a:prstClr>
            </a:outerShdw>
          </a:effectLst>
        </c:spPr>
      </c:pivotFmt>
      <c:pivotFmt>
        <c:idx val="199"/>
        <c:spPr>
          <a:solidFill>
            <a:schemeClr val="accent6">
              <a:shade val="58000"/>
            </a:schemeClr>
          </a:solidFill>
          <a:ln>
            <a:noFill/>
          </a:ln>
          <a:effectLst>
            <a:outerShdw blurRad="254000" sx="102000" sy="102000" algn="ctr" rotWithShape="0">
              <a:prstClr val="black">
                <a:alpha val="20000"/>
              </a:prstClr>
            </a:outerShdw>
          </a:effectLst>
        </c:spPr>
      </c:pivotFmt>
      <c:pivotFmt>
        <c:idx val="20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01"/>
        <c:spPr>
          <a:solidFill>
            <a:schemeClr val="accent6">
              <a:tint val="58000"/>
            </a:schemeClr>
          </a:solidFill>
          <a:ln>
            <a:noFill/>
          </a:ln>
          <a:effectLst>
            <a:outerShdw blurRad="254000" sx="102000" sy="102000" algn="ctr" rotWithShape="0">
              <a:prstClr val="black">
                <a:alpha val="20000"/>
              </a:prstClr>
            </a:outerShdw>
          </a:effectLst>
        </c:spPr>
      </c:pivotFmt>
      <c:pivotFmt>
        <c:idx val="202"/>
        <c:spPr>
          <a:solidFill>
            <a:schemeClr val="accent6">
              <a:tint val="86000"/>
            </a:schemeClr>
          </a:solidFill>
          <a:ln>
            <a:noFill/>
          </a:ln>
          <a:effectLst>
            <a:outerShdw blurRad="254000" sx="102000" sy="102000" algn="ctr" rotWithShape="0">
              <a:prstClr val="black">
                <a:alpha val="20000"/>
              </a:prstClr>
            </a:outerShdw>
          </a:effectLst>
        </c:spPr>
      </c:pivotFmt>
      <c:pivotFmt>
        <c:idx val="203"/>
        <c:spPr>
          <a:solidFill>
            <a:schemeClr val="accent6">
              <a:shade val="86000"/>
            </a:schemeClr>
          </a:solidFill>
          <a:ln>
            <a:noFill/>
          </a:ln>
          <a:effectLst>
            <a:outerShdw blurRad="254000" sx="102000" sy="102000" algn="ctr" rotWithShape="0">
              <a:prstClr val="black">
                <a:alpha val="20000"/>
              </a:prstClr>
            </a:outerShdw>
          </a:effectLst>
        </c:spPr>
      </c:pivotFmt>
      <c:pivotFmt>
        <c:idx val="204"/>
        <c:spPr>
          <a:solidFill>
            <a:schemeClr val="accent6">
              <a:shade val="58000"/>
            </a:schemeClr>
          </a:solidFill>
          <a:ln>
            <a:noFill/>
          </a:ln>
          <a:effectLst>
            <a:outerShdw blurRad="254000" sx="102000" sy="102000" algn="ctr" rotWithShape="0">
              <a:prstClr val="black">
                <a:alpha val="20000"/>
              </a:prstClr>
            </a:outerShdw>
          </a:effectLst>
        </c:spPr>
      </c:pivotFmt>
      <c:pivotFmt>
        <c:idx val="20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06"/>
        <c:spPr>
          <a:solidFill>
            <a:schemeClr val="accent6">
              <a:tint val="58000"/>
            </a:schemeClr>
          </a:solidFill>
          <a:ln>
            <a:noFill/>
          </a:ln>
          <a:effectLst>
            <a:outerShdw blurRad="254000" sx="102000" sy="102000" algn="ctr" rotWithShape="0">
              <a:prstClr val="black">
                <a:alpha val="20000"/>
              </a:prstClr>
            </a:outerShdw>
          </a:effectLst>
        </c:spPr>
      </c:pivotFmt>
      <c:pivotFmt>
        <c:idx val="207"/>
        <c:spPr>
          <a:solidFill>
            <a:schemeClr val="accent6">
              <a:tint val="86000"/>
            </a:schemeClr>
          </a:solidFill>
          <a:ln>
            <a:noFill/>
          </a:ln>
          <a:effectLst>
            <a:outerShdw blurRad="254000" sx="102000" sy="102000" algn="ctr" rotWithShape="0">
              <a:prstClr val="black">
                <a:alpha val="20000"/>
              </a:prstClr>
            </a:outerShdw>
          </a:effectLst>
        </c:spPr>
      </c:pivotFmt>
      <c:pivotFmt>
        <c:idx val="208"/>
        <c:spPr>
          <a:solidFill>
            <a:schemeClr val="accent6">
              <a:shade val="86000"/>
            </a:schemeClr>
          </a:solidFill>
          <a:ln>
            <a:noFill/>
          </a:ln>
          <a:effectLst>
            <a:outerShdw blurRad="254000" sx="102000" sy="102000" algn="ctr" rotWithShape="0">
              <a:prstClr val="black">
                <a:alpha val="20000"/>
              </a:prstClr>
            </a:outerShdw>
          </a:effectLst>
        </c:spPr>
      </c:pivotFmt>
      <c:pivotFmt>
        <c:idx val="209"/>
        <c:spPr>
          <a:solidFill>
            <a:schemeClr val="accent6">
              <a:shade val="58000"/>
            </a:schemeClr>
          </a:solidFill>
          <a:ln>
            <a:noFill/>
          </a:ln>
          <a:effectLst>
            <a:outerShdw blurRad="254000" sx="102000" sy="102000" algn="ctr" rotWithShape="0">
              <a:prstClr val="black">
                <a:alpha val="20000"/>
              </a:prstClr>
            </a:outerShdw>
          </a:effectLst>
        </c:spPr>
      </c:pivotFmt>
      <c:pivotFmt>
        <c:idx val="21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11"/>
        <c:spPr>
          <a:solidFill>
            <a:schemeClr val="accent6">
              <a:tint val="58000"/>
            </a:schemeClr>
          </a:solidFill>
          <a:ln>
            <a:noFill/>
          </a:ln>
          <a:effectLst>
            <a:outerShdw blurRad="254000" sx="102000" sy="102000" algn="ctr" rotWithShape="0">
              <a:prstClr val="black">
                <a:alpha val="20000"/>
              </a:prstClr>
            </a:outerShdw>
          </a:effectLst>
        </c:spPr>
      </c:pivotFmt>
      <c:pivotFmt>
        <c:idx val="212"/>
        <c:spPr>
          <a:solidFill>
            <a:schemeClr val="accent6">
              <a:tint val="86000"/>
            </a:schemeClr>
          </a:solidFill>
          <a:ln>
            <a:noFill/>
          </a:ln>
          <a:effectLst>
            <a:outerShdw blurRad="254000" sx="102000" sy="102000" algn="ctr" rotWithShape="0">
              <a:prstClr val="black">
                <a:alpha val="20000"/>
              </a:prstClr>
            </a:outerShdw>
          </a:effectLst>
        </c:spPr>
      </c:pivotFmt>
      <c:pivotFmt>
        <c:idx val="213"/>
        <c:spPr>
          <a:solidFill>
            <a:schemeClr val="accent6">
              <a:shade val="86000"/>
            </a:schemeClr>
          </a:solidFill>
          <a:ln>
            <a:noFill/>
          </a:ln>
          <a:effectLst>
            <a:outerShdw blurRad="254000" sx="102000" sy="102000" algn="ctr" rotWithShape="0">
              <a:prstClr val="black">
                <a:alpha val="20000"/>
              </a:prstClr>
            </a:outerShdw>
          </a:effectLst>
        </c:spPr>
      </c:pivotFmt>
      <c:pivotFmt>
        <c:idx val="214"/>
        <c:spPr>
          <a:solidFill>
            <a:schemeClr val="accent6">
              <a:shade val="58000"/>
            </a:schemeClr>
          </a:solidFill>
          <a:ln>
            <a:noFill/>
          </a:ln>
          <a:effectLst>
            <a:outerShdw blurRad="254000" sx="102000" sy="102000" algn="ctr" rotWithShape="0">
              <a:prstClr val="black">
                <a:alpha val="20000"/>
              </a:prstClr>
            </a:outerShdw>
          </a:effectLst>
        </c:spPr>
      </c:pivotFmt>
      <c:pivotFmt>
        <c:idx val="21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16"/>
        <c:spPr>
          <a:solidFill>
            <a:schemeClr val="accent6">
              <a:tint val="58000"/>
            </a:schemeClr>
          </a:solidFill>
          <a:ln>
            <a:noFill/>
          </a:ln>
          <a:effectLst>
            <a:outerShdw blurRad="254000" sx="102000" sy="102000" algn="ctr" rotWithShape="0">
              <a:prstClr val="black">
                <a:alpha val="20000"/>
              </a:prstClr>
            </a:outerShdw>
          </a:effectLst>
        </c:spPr>
      </c:pivotFmt>
      <c:pivotFmt>
        <c:idx val="217"/>
        <c:spPr>
          <a:solidFill>
            <a:schemeClr val="accent6">
              <a:tint val="86000"/>
            </a:schemeClr>
          </a:solidFill>
          <a:ln>
            <a:noFill/>
          </a:ln>
          <a:effectLst>
            <a:outerShdw blurRad="254000" sx="102000" sy="102000" algn="ctr" rotWithShape="0">
              <a:prstClr val="black">
                <a:alpha val="20000"/>
              </a:prstClr>
            </a:outerShdw>
          </a:effectLst>
        </c:spPr>
      </c:pivotFmt>
      <c:pivotFmt>
        <c:idx val="218"/>
        <c:spPr>
          <a:solidFill>
            <a:schemeClr val="accent6">
              <a:shade val="86000"/>
            </a:schemeClr>
          </a:solidFill>
          <a:ln>
            <a:noFill/>
          </a:ln>
          <a:effectLst>
            <a:outerShdw blurRad="254000" sx="102000" sy="102000" algn="ctr" rotWithShape="0">
              <a:prstClr val="black">
                <a:alpha val="20000"/>
              </a:prstClr>
            </a:outerShdw>
          </a:effectLst>
        </c:spPr>
      </c:pivotFmt>
      <c:pivotFmt>
        <c:idx val="219"/>
        <c:spPr>
          <a:solidFill>
            <a:schemeClr val="accent6">
              <a:shade val="58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table'!$I$15:$I$16</c:f>
              <c:strCache>
                <c:ptCount val="1"/>
                <c:pt idx="0">
                  <c:v>Changed Mind</c:v>
                </c:pt>
              </c:strCache>
            </c:strRef>
          </c:tx>
          <c:dPt>
            <c:idx val="0"/>
            <c:bubble3D val="0"/>
            <c:spPr>
              <a:solidFill>
                <a:schemeClr val="accent6">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2-612F-405A-AC2F-5EE65B17EA57}"/>
              </c:ext>
            </c:extLst>
          </c:dPt>
          <c:dPt>
            <c:idx val="1"/>
            <c:bubble3D val="0"/>
            <c:spPr>
              <a:solidFill>
                <a:schemeClr val="accent6">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4-612F-405A-AC2F-5EE65B17EA57}"/>
              </c:ext>
            </c:extLst>
          </c:dPt>
          <c:dPt>
            <c:idx val="2"/>
            <c:bubble3D val="0"/>
            <c:spPr>
              <a:solidFill>
                <a:schemeClr val="accent6">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6-612F-405A-AC2F-5EE65B17EA57}"/>
              </c:ext>
            </c:extLst>
          </c:dPt>
          <c:dPt>
            <c:idx val="3"/>
            <c:bubble3D val="0"/>
            <c:spPr>
              <a:solidFill>
                <a:schemeClr val="accent6">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8-612F-405A-AC2F-5EE65B17EA57}"/>
              </c:ext>
            </c:extLst>
          </c:dPt>
          <c:dLbls>
            <c:dLbl>
              <c:idx val="0"/>
              <c:layout>
                <c:manualLayout>
                  <c:x val="-4.1833770778652773E-2"/>
                  <c:y val="9.95158938466024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2-612F-405A-AC2F-5EE65B17EA57}"/>
                </c:ext>
              </c:extLst>
            </c:dLbl>
            <c:dLbl>
              <c:idx val="1"/>
              <c:layout>
                <c:manualLayout>
                  <c:x val="-4.7557742782152336E-2"/>
                  <c:y val="-9.219196558763496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4-612F-405A-AC2F-5EE65B17EA57}"/>
                </c:ext>
              </c:extLst>
            </c:dLbl>
            <c:dLbl>
              <c:idx val="2"/>
              <c:layout>
                <c:manualLayout>
                  <c:x val="7.1015091863517038E-2"/>
                  <c:y val="-4.53455818022747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6-612F-405A-AC2F-5EE65B17EA57}"/>
                </c:ext>
              </c:extLst>
            </c:dLbl>
            <c:dLbl>
              <c:idx val="3"/>
              <c:layout>
                <c:manualLayout>
                  <c:x val="4.7155730533683264E-2"/>
                  <c:y val="0.1205912802566345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8-612F-405A-AC2F-5EE65B17EA5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table'!$H$17:$H$21</c:f>
              <c:strCache>
                <c:ptCount val="4"/>
                <c:pt idx="0">
                  <c:v>Bangalore MBC</c:v>
                </c:pt>
                <c:pt idx="1">
                  <c:v>Chennai MBC</c:v>
                </c:pt>
                <c:pt idx="2">
                  <c:v>Delhi MBC</c:v>
                </c:pt>
                <c:pt idx="3">
                  <c:v>Mumbai MBC</c:v>
                </c:pt>
              </c:strCache>
            </c:strRef>
          </c:cat>
          <c:val>
            <c:numRef>
              <c:f>'pivot table'!$I$17:$I$21</c:f>
              <c:numCache>
                <c:formatCode>General</c:formatCode>
                <c:ptCount val="4"/>
                <c:pt idx="0">
                  <c:v>13</c:v>
                </c:pt>
                <c:pt idx="1">
                  <c:v>15</c:v>
                </c:pt>
                <c:pt idx="2">
                  <c:v>14</c:v>
                </c:pt>
                <c:pt idx="3">
                  <c:v>9</c:v>
                </c:pt>
              </c:numCache>
            </c:numRef>
          </c:val>
          <c:extLst>
            <c:ext xmlns:c16="http://schemas.microsoft.com/office/drawing/2014/chart" uri="{C3380CC4-5D6E-409C-BE32-E72D297353CC}">
              <c16:uniqueId val="{00000039-612F-405A-AC2F-5EE65B17EA57}"/>
            </c:ext>
          </c:extLst>
        </c:ser>
        <c:ser>
          <c:idx val="1"/>
          <c:order val="1"/>
          <c:tx>
            <c:strRef>
              <c:f>'pivot table'!$J$15:$J$16</c:f>
              <c:strCache>
                <c:ptCount val="1"/>
                <c:pt idx="0">
                  <c:v>Financing Issue</c:v>
                </c:pt>
              </c:strCache>
            </c:strRef>
          </c:tx>
          <c:dPt>
            <c:idx val="0"/>
            <c:bubble3D val="0"/>
            <c:spPr>
              <a:solidFill>
                <a:schemeClr val="accent6">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628-492C-A807-F31D5D69DE61}"/>
              </c:ext>
            </c:extLst>
          </c:dPt>
          <c:dPt>
            <c:idx val="1"/>
            <c:bubble3D val="0"/>
            <c:spPr>
              <a:solidFill>
                <a:schemeClr val="accent6">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628-492C-A807-F31D5D69DE61}"/>
              </c:ext>
            </c:extLst>
          </c:dPt>
          <c:dPt>
            <c:idx val="2"/>
            <c:bubble3D val="0"/>
            <c:spPr>
              <a:solidFill>
                <a:schemeClr val="accent6">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628-492C-A807-F31D5D69DE61}"/>
              </c:ext>
            </c:extLst>
          </c:dPt>
          <c:dPt>
            <c:idx val="3"/>
            <c:bubble3D val="0"/>
            <c:spPr>
              <a:solidFill>
                <a:schemeClr val="accent6">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628-492C-A807-F31D5D69DE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table'!$H$17:$H$21</c:f>
              <c:strCache>
                <c:ptCount val="4"/>
                <c:pt idx="0">
                  <c:v>Bangalore MBC</c:v>
                </c:pt>
                <c:pt idx="1">
                  <c:v>Chennai MBC</c:v>
                </c:pt>
                <c:pt idx="2">
                  <c:v>Delhi MBC</c:v>
                </c:pt>
                <c:pt idx="3">
                  <c:v>Mumbai MBC</c:v>
                </c:pt>
              </c:strCache>
            </c:strRef>
          </c:cat>
          <c:val>
            <c:numRef>
              <c:f>'pivot table'!$J$17:$J$21</c:f>
              <c:numCache>
                <c:formatCode>General</c:formatCode>
                <c:ptCount val="4"/>
                <c:pt idx="0">
                  <c:v>14</c:v>
                </c:pt>
                <c:pt idx="1">
                  <c:v>10</c:v>
                </c:pt>
                <c:pt idx="2">
                  <c:v>21</c:v>
                </c:pt>
                <c:pt idx="3">
                  <c:v>14</c:v>
                </c:pt>
              </c:numCache>
            </c:numRef>
          </c:val>
          <c:extLst>
            <c:ext xmlns:c16="http://schemas.microsoft.com/office/drawing/2014/chart" uri="{C3380CC4-5D6E-409C-BE32-E72D297353CC}">
              <c16:uniqueId val="{00000031-BA54-4DDA-A904-D0F4A596D626}"/>
            </c:ext>
          </c:extLst>
        </c:ser>
        <c:ser>
          <c:idx val="2"/>
          <c:order val="2"/>
          <c:tx>
            <c:strRef>
              <c:f>'pivot table'!$K$15:$K$16</c:f>
              <c:strCache>
                <c:ptCount val="1"/>
                <c:pt idx="0">
                  <c:v>Model Unavailable</c:v>
                </c:pt>
              </c:strCache>
            </c:strRef>
          </c:tx>
          <c:dPt>
            <c:idx val="0"/>
            <c:bubble3D val="0"/>
            <c:spPr>
              <a:solidFill>
                <a:schemeClr val="accent6">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628-492C-A807-F31D5D69DE61}"/>
              </c:ext>
            </c:extLst>
          </c:dPt>
          <c:dPt>
            <c:idx val="1"/>
            <c:bubble3D val="0"/>
            <c:spPr>
              <a:solidFill>
                <a:schemeClr val="accent6">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628-492C-A807-F31D5D69DE61}"/>
              </c:ext>
            </c:extLst>
          </c:dPt>
          <c:dPt>
            <c:idx val="2"/>
            <c:bubble3D val="0"/>
            <c:spPr>
              <a:solidFill>
                <a:schemeClr val="accent6">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628-492C-A807-F31D5D69DE61}"/>
              </c:ext>
            </c:extLst>
          </c:dPt>
          <c:dPt>
            <c:idx val="3"/>
            <c:bubble3D val="0"/>
            <c:spPr>
              <a:solidFill>
                <a:schemeClr val="accent6">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2628-492C-A807-F31D5D69DE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table'!$H$17:$H$21</c:f>
              <c:strCache>
                <c:ptCount val="4"/>
                <c:pt idx="0">
                  <c:v>Bangalore MBC</c:v>
                </c:pt>
                <c:pt idx="1">
                  <c:v>Chennai MBC</c:v>
                </c:pt>
                <c:pt idx="2">
                  <c:v>Delhi MBC</c:v>
                </c:pt>
                <c:pt idx="3">
                  <c:v>Mumbai MBC</c:v>
                </c:pt>
              </c:strCache>
            </c:strRef>
          </c:cat>
          <c:val>
            <c:numRef>
              <c:f>'pivot table'!$K$17:$K$21</c:f>
              <c:numCache>
                <c:formatCode>General</c:formatCode>
                <c:ptCount val="4"/>
                <c:pt idx="0">
                  <c:v>13</c:v>
                </c:pt>
                <c:pt idx="1">
                  <c:v>8</c:v>
                </c:pt>
                <c:pt idx="2">
                  <c:v>13</c:v>
                </c:pt>
                <c:pt idx="3">
                  <c:v>9</c:v>
                </c:pt>
              </c:numCache>
            </c:numRef>
          </c:val>
          <c:extLst>
            <c:ext xmlns:c16="http://schemas.microsoft.com/office/drawing/2014/chart" uri="{C3380CC4-5D6E-409C-BE32-E72D297353CC}">
              <c16:uniqueId val="{00000032-BA54-4DDA-A904-D0F4A596D626}"/>
            </c:ext>
          </c:extLst>
        </c:ser>
        <c:ser>
          <c:idx val="3"/>
          <c:order val="3"/>
          <c:tx>
            <c:strRef>
              <c:f>'pivot table'!$L$15:$L$16</c:f>
              <c:strCache>
                <c:ptCount val="1"/>
                <c:pt idx="0">
                  <c:v>Not Cancelled</c:v>
                </c:pt>
              </c:strCache>
            </c:strRef>
          </c:tx>
          <c:dPt>
            <c:idx val="0"/>
            <c:bubble3D val="0"/>
            <c:spPr>
              <a:solidFill>
                <a:schemeClr val="accent6">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2628-492C-A807-F31D5D69DE61}"/>
              </c:ext>
            </c:extLst>
          </c:dPt>
          <c:dPt>
            <c:idx val="1"/>
            <c:bubble3D val="0"/>
            <c:spPr>
              <a:solidFill>
                <a:schemeClr val="accent6">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2628-492C-A807-F31D5D69DE61}"/>
              </c:ext>
            </c:extLst>
          </c:dPt>
          <c:dPt>
            <c:idx val="2"/>
            <c:bubble3D val="0"/>
            <c:spPr>
              <a:solidFill>
                <a:schemeClr val="accent6">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2628-492C-A807-F31D5D69DE61}"/>
              </c:ext>
            </c:extLst>
          </c:dPt>
          <c:dPt>
            <c:idx val="3"/>
            <c:bubble3D val="0"/>
            <c:spPr>
              <a:solidFill>
                <a:schemeClr val="accent6">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2628-492C-A807-F31D5D69DE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table'!$H$17:$H$21</c:f>
              <c:strCache>
                <c:ptCount val="4"/>
                <c:pt idx="0">
                  <c:v>Bangalore MBC</c:v>
                </c:pt>
                <c:pt idx="1">
                  <c:v>Chennai MBC</c:v>
                </c:pt>
                <c:pt idx="2">
                  <c:v>Delhi MBC</c:v>
                </c:pt>
                <c:pt idx="3">
                  <c:v>Mumbai MBC</c:v>
                </c:pt>
              </c:strCache>
            </c:strRef>
          </c:cat>
          <c:val>
            <c:numRef>
              <c:f>'pivot table'!$L$17:$L$21</c:f>
              <c:numCache>
                <c:formatCode>General</c:formatCode>
                <c:ptCount val="4"/>
                <c:pt idx="0">
                  <c:v>191</c:v>
                </c:pt>
                <c:pt idx="1">
                  <c:v>153</c:v>
                </c:pt>
                <c:pt idx="2">
                  <c:v>186</c:v>
                </c:pt>
                <c:pt idx="3">
                  <c:v>199</c:v>
                </c:pt>
              </c:numCache>
            </c:numRef>
          </c:val>
          <c:extLst>
            <c:ext xmlns:c16="http://schemas.microsoft.com/office/drawing/2014/chart" uri="{C3380CC4-5D6E-409C-BE32-E72D297353CC}">
              <c16:uniqueId val="{00000033-BA54-4DDA-A904-D0F4A596D626}"/>
            </c:ext>
          </c:extLst>
        </c:ser>
        <c:ser>
          <c:idx val="4"/>
          <c:order val="4"/>
          <c:tx>
            <c:strRef>
              <c:f>'pivot table'!$M$15:$M$16</c:f>
              <c:strCache>
                <c:ptCount val="1"/>
                <c:pt idx="0">
                  <c:v>Other</c:v>
                </c:pt>
              </c:strCache>
            </c:strRef>
          </c:tx>
          <c:dPt>
            <c:idx val="0"/>
            <c:bubble3D val="0"/>
            <c:spPr>
              <a:solidFill>
                <a:schemeClr val="accent6">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2628-492C-A807-F31D5D69DE61}"/>
              </c:ext>
            </c:extLst>
          </c:dPt>
          <c:dPt>
            <c:idx val="1"/>
            <c:bubble3D val="0"/>
            <c:spPr>
              <a:solidFill>
                <a:schemeClr val="accent6">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2628-492C-A807-F31D5D69DE61}"/>
              </c:ext>
            </c:extLst>
          </c:dPt>
          <c:dPt>
            <c:idx val="2"/>
            <c:bubble3D val="0"/>
            <c:spPr>
              <a:solidFill>
                <a:schemeClr val="accent6">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2628-492C-A807-F31D5D69DE61}"/>
              </c:ext>
            </c:extLst>
          </c:dPt>
          <c:dPt>
            <c:idx val="3"/>
            <c:bubble3D val="0"/>
            <c:spPr>
              <a:solidFill>
                <a:schemeClr val="accent6">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2628-492C-A807-F31D5D69DE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table'!$H$17:$H$21</c:f>
              <c:strCache>
                <c:ptCount val="4"/>
                <c:pt idx="0">
                  <c:v>Bangalore MBC</c:v>
                </c:pt>
                <c:pt idx="1">
                  <c:v>Chennai MBC</c:v>
                </c:pt>
                <c:pt idx="2">
                  <c:v>Delhi MBC</c:v>
                </c:pt>
                <c:pt idx="3">
                  <c:v>Mumbai MBC</c:v>
                </c:pt>
              </c:strCache>
            </c:strRef>
          </c:cat>
          <c:val>
            <c:numRef>
              <c:f>'pivot table'!$M$17:$M$21</c:f>
              <c:numCache>
                <c:formatCode>General</c:formatCode>
                <c:ptCount val="4"/>
                <c:pt idx="0">
                  <c:v>22</c:v>
                </c:pt>
                <c:pt idx="1">
                  <c:v>8</c:v>
                </c:pt>
                <c:pt idx="2">
                  <c:v>13</c:v>
                </c:pt>
                <c:pt idx="3">
                  <c:v>14</c:v>
                </c:pt>
              </c:numCache>
            </c:numRef>
          </c:val>
          <c:extLst>
            <c:ext xmlns:c16="http://schemas.microsoft.com/office/drawing/2014/chart" uri="{C3380CC4-5D6E-409C-BE32-E72D297353CC}">
              <c16:uniqueId val="{00000034-BA54-4DDA-A904-D0F4A596D626}"/>
            </c:ext>
          </c:extLst>
        </c:ser>
        <c:ser>
          <c:idx val="5"/>
          <c:order val="5"/>
          <c:tx>
            <c:strRef>
              <c:f>'pivot table'!$N$15:$N$16</c:f>
              <c:strCache>
                <c:ptCount val="1"/>
                <c:pt idx="0">
                  <c:v>Price</c:v>
                </c:pt>
              </c:strCache>
            </c:strRef>
          </c:tx>
          <c:dPt>
            <c:idx val="0"/>
            <c:bubble3D val="0"/>
            <c:spPr>
              <a:solidFill>
                <a:schemeClr val="accent6">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2628-492C-A807-F31D5D69DE61}"/>
              </c:ext>
            </c:extLst>
          </c:dPt>
          <c:dPt>
            <c:idx val="1"/>
            <c:bubble3D val="0"/>
            <c:spPr>
              <a:solidFill>
                <a:schemeClr val="accent6">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2628-492C-A807-F31D5D69DE61}"/>
              </c:ext>
            </c:extLst>
          </c:dPt>
          <c:dPt>
            <c:idx val="2"/>
            <c:bubble3D val="0"/>
            <c:spPr>
              <a:solidFill>
                <a:schemeClr val="accent6">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2628-492C-A807-F31D5D69DE61}"/>
              </c:ext>
            </c:extLst>
          </c:dPt>
          <c:dPt>
            <c:idx val="3"/>
            <c:bubble3D val="0"/>
            <c:spPr>
              <a:solidFill>
                <a:schemeClr val="accent6">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2628-492C-A807-F31D5D69DE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table'!$H$17:$H$21</c:f>
              <c:strCache>
                <c:ptCount val="4"/>
                <c:pt idx="0">
                  <c:v>Bangalore MBC</c:v>
                </c:pt>
                <c:pt idx="1">
                  <c:v>Chennai MBC</c:v>
                </c:pt>
                <c:pt idx="2">
                  <c:v>Delhi MBC</c:v>
                </c:pt>
                <c:pt idx="3">
                  <c:v>Mumbai MBC</c:v>
                </c:pt>
              </c:strCache>
            </c:strRef>
          </c:cat>
          <c:val>
            <c:numRef>
              <c:f>'pivot table'!$N$17:$N$21</c:f>
              <c:numCache>
                <c:formatCode>General</c:formatCode>
                <c:ptCount val="4"/>
                <c:pt idx="0">
                  <c:v>10</c:v>
                </c:pt>
                <c:pt idx="1">
                  <c:v>18</c:v>
                </c:pt>
                <c:pt idx="2">
                  <c:v>16</c:v>
                </c:pt>
                <c:pt idx="3">
                  <c:v>17</c:v>
                </c:pt>
              </c:numCache>
            </c:numRef>
          </c:val>
          <c:extLst>
            <c:ext xmlns:c16="http://schemas.microsoft.com/office/drawing/2014/chart" uri="{C3380CC4-5D6E-409C-BE32-E72D297353CC}">
              <c16:uniqueId val="{00000035-BA54-4DDA-A904-D0F4A596D626}"/>
            </c:ext>
          </c:extLst>
        </c:ser>
        <c:dLbls>
          <c:dLblPos val="ctr"/>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[Shivangi_ElectricPe_Assignment.xlsx]pivot table!PivotTable10</c:name>
    <c:fmtId val="16"/>
  </c:pivotSource>
  <c:chart>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tint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shade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table'!$I$27:$I$28</c:f>
              <c:strCache>
                <c:ptCount val="1"/>
                <c:pt idx="0">
                  <c:v>Detractor</c:v>
                </c:pt>
              </c:strCache>
            </c:strRef>
          </c:tx>
          <c:spPr>
            <a:solidFill>
              <a:schemeClr val="accent6">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table'!$H$29:$H$33</c:f>
              <c:strCache>
                <c:ptCount val="4"/>
                <c:pt idx="0">
                  <c:v>Bangalore MBC</c:v>
                </c:pt>
                <c:pt idx="1">
                  <c:v>Chennai MBC</c:v>
                </c:pt>
                <c:pt idx="2">
                  <c:v>Delhi MBC</c:v>
                </c:pt>
                <c:pt idx="3">
                  <c:v>Mumbai MBC</c:v>
                </c:pt>
              </c:strCache>
            </c:strRef>
          </c:cat>
          <c:val>
            <c:numRef>
              <c:f>'pivot table'!$I$29:$I$33</c:f>
              <c:numCache>
                <c:formatCode>General</c:formatCode>
                <c:ptCount val="4"/>
                <c:pt idx="0">
                  <c:v>134</c:v>
                </c:pt>
                <c:pt idx="1">
                  <c:v>99</c:v>
                </c:pt>
                <c:pt idx="2">
                  <c:v>123</c:v>
                </c:pt>
                <c:pt idx="3">
                  <c:v>138</c:v>
                </c:pt>
              </c:numCache>
            </c:numRef>
          </c:val>
          <c:extLst>
            <c:ext xmlns:c16="http://schemas.microsoft.com/office/drawing/2014/chart" uri="{C3380CC4-5D6E-409C-BE32-E72D297353CC}">
              <c16:uniqueId val="{00000000-0691-4141-AFC8-645447409588}"/>
            </c:ext>
          </c:extLst>
        </c:ser>
        <c:ser>
          <c:idx val="1"/>
          <c:order val="1"/>
          <c:tx>
            <c:strRef>
              <c:f>'pivot table'!$J$27:$J$28</c:f>
              <c:strCache>
                <c:ptCount val="1"/>
                <c:pt idx="0">
                  <c:v>Passive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table'!$H$29:$H$33</c:f>
              <c:strCache>
                <c:ptCount val="4"/>
                <c:pt idx="0">
                  <c:v>Bangalore MBC</c:v>
                </c:pt>
                <c:pt idx="1">
                  <c:v>Chennai MBC</c:v>
                </c:pt>
                <c:pt idx="2">
                  <c:v>Delhi MBC</c:v>
                </c:pt>
                <c:pt idx="3">
                  <c:v>Mumbai MBC</c:v>
                </c:pt>
              </c:strCache>
            </c:strRef>
          </c:cat>
          <c:val>
            <c:numRef>
              <c:f>'pivot table'!$J$29:$J$33</c:f>
              <c:numCache>
                <c:formatCode>General</c:formatCode>
                <c:ptCount val="4"/>
                <c:pt idx="0">
                  <c:v>34</c:v>
                </c:pt>
                <c:pt idx="1">
                  <c:v>26</c:v>
                </c:pt>
                <c:pt idx="2">
                  <c:v>33</c:v>
                </c:pt>
                <c:pt idx="3">
                  <c:v>38</c:v>
                </c:pt>
              </c:numCache>
            </c:numRef>
          </c:val>
          <c:extLst>
            <c:ext xmlns:c16="http://schemas.microsoft.com/office/drawing/2014/chart" uri="{C3380CC4-5D6E-409C-BE32-E72D297353CC}">
              <c16:uniqueId val="{00000001-0691-4141-AFC8-645447409588}"/>
            </c:ext>
          </c:extLst>
        </c:ser>
        <c:ser>
          <c:idx val="2"/>
          <c:order val="2"/>
          <c:tx>
            <c:strRef>
              <c:f>'pivot table'!$K$27:$K$28</c:f>
              <c:strCache>
                <c:ptCount val="1"/>
                <c:pt idx="0">
                  <c:v>Promoter</c:v>
                </c:pt>
              </c:strCache>
            </c:strRef>
          </c:tx>
          <c:spPr>
            <a:solidFill>
              <a:schemeClr val="accent6">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table'!$H$29:$H$33</c:f>
              <c:strCache>
                <c:ptCount val="4"/>
                <c:pt idx="0">
                  <c:v>Bangalore MBC</c:v>
                </c:pt>
                <c:pt idx="1">
                  <c:v>Chennai MBC</c:v>
                </c:pt>
                <c:pt idx="2">
                  <c:v>Delhi MBC</c:v>
                </c:pt>
                <c:pt idx="3">
                  <c:v>Mumbai MBC</c:v>
                </c:pt>
              </c:strCache>
            </c:strRef>
          </c:cat>
          <c:val>
            <c:numRef>
              <c:f>'pivot table'!$K$29:$K$33</c:f>
              <c:numCache>
                <c:formatCode>General</c:formatCode>
                <c:ptCount val="4"/>
                <c:pt idx="0">
                  <c:v>23</c:v>
                </c:pt>
                <c:pt idx="1">
                  <c:v>28</c:v>
                </c:pt>
                <c:pt idx="2">
                  <c:v>30</c:v>
                </c:pt>
                <c:pt idx="3">
                  <c:v>23</c:v>
                </c:pt>
              </c:numCache>
            </c:numRef>
          </c:val>
          <c:extLst>
            <c:ext xmlns:c16="http://schemas.microsoft.com/office/drawing/2014/chart" uri="{C3380CC4-5D6E-409C-BE32-E72D297353CC}">
              <c16:uniqueId val="{00000002-0691-4141-AFC8-645447409588}"/>
            </c:ext>
          </c:extLst>
        </c:ser>
        <c:dLbls>
          <c:dLblPos val="inEnd"/>
          <c:showLegendKey val="0"/>
          <c:showVal val="1"/>
          <c:showCatName val="0"/>
          <c:showSerName val="0"/>
          <c:showPercent val="0"/>
          <c:showBubbleSize val="0"/>
        </c:dLbls>
        <c:gapWidth val="65"/>
        <c:axId val="968503328"/>
        <c:axId val="968505728"/>
      </c:barChart>
      <c:catAx>
        <c:axId val="9685033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8505728"/>
        <c:crosses val="autoZero"/>
        <c:auto val="1"/>
        <c:lblAlgn val="ctr"/>
        <c:lblOffset val="100"/>
        <c:noMultiLvlLbl val="0"/>
      </c:catAx>
      <c:valAx>
        <c:axId val="9685057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685033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[Shivangi_ElectricPe_Assignment.xlsx]pivot table!PivotTable4</c:name>
    <c:fmtId val="2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pivotFmt>
      <c:pivotFmt>
        <c:idx val="1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a:outerShdw blurRad="254000" sx="102000" sy="102000" algn="ctr" rotWithShape="0">
              <a:prstClr val="black">
                <a:alpha val="20000"/>
              </a:prstClr>
            </a:outerShdw>
          </a:effectLst>
        </c:spPr>
      </c:pivotFmt>
      <c:pivotFmt>
        <c:idx val="15"/>
        <c:spPr>
          <a:solidFill>
            <a:schemeClr val="accent6"/>
          </a:solidFill>
          <a:ln>
            <a:noFill/>
          </a:ln>
          <a:effectLst>
            <a:outerShdw blurRad="254000" sx="102000" sy="102000" algn="ctr" rotWithShape="0">
              <a:prstClr val="black">
                <a:alpha val="20000"/>
              </a:prstClr>
            </a:outerShdw>
          </a:effectLst>
        </c:spPr>
      </c:pivotFmt>
      <c:pivotFmt>
        <c:idx val="16"/>
        <c:spPr>
          <a:solidFill>
            <a:schemeClr val="accent6"/>
          </a:solidFill>
          <a:ln>
            <a:noFill/>
          </a:ln>
          <a:effectLst>
            <a:outerShdw blurRad="254000" sx="102000" sy="102000" algn="ctr" rotWithShape="0">
              <a:prstClr val="black">
                <a:alpha val="20000"/>
              </a:prstClr>
            </a:outerShdw>
          </a:effectLst>
        </c:spPr>
      </c:pivotFmt>
      <c:pivotFmt>
        <c:idx val="17"/>
        <c:spPr>
          <a:solidFill>
            <a:schemeClr val="accent6"/>
          </a:solidFill>
          <a:ln>
            <a:noFill/>
          </a:ln>
          <a:effectLst>
            <a:outerShdw blurRad="254000" sx="102000" sy="102000" algn="ctr" rotWithShape="0">
              <a:prstClr val="black">
                <a:alpha val="20000"/>
              </a:prstClr>
            </a:outerShdw>
          </a:effectLst>
        </c:spPr>
      </c:pivotFmt>
      <c:pivotFmt>
        <c:idx val="1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6"/>
          </a:solidFill>
          <a:ln>
            <a:noFill/>
          </a:ln>
          <a:effectLst>
            <a:outerShdw blurRad="254000" sx="102000" sy="102000" algn="ctr" rotWithShape="0">
              <a:prstClr val="black">
                <a:alpha val="20000"/>
              </a:prstClr>
            </a:outerShdw>
          </a:effectLst>
        </c:spPr>
      </c:pivotFmt>
      <c:pivotFmt>
        <c:idx val="20"/>
        <c:spPr>
          <a:solidFill>
            <a:schemeClr val="accent6"/>
          </a:solidFill>
          <a:ln>
            <a:noFill/>
          </a:ln>
          <a:effectLst>
            <a:outerShdw blurRad="254000" sx="102000" sy="102000" algn="ctr" rotWithShape="0">
              <a:prstClr val="black">
                <a:alpha val="20000"/>
              </a:prstClr>
            </a:outerShdw>
          </a:effectLst>
        </c:spPr>
      </c:pivotFmt>
      <c:pivotFmt>
        <c:idx val="21"/>
        <c:spPr>
          <a:solidFill>
            <a:schemeClr val="accent6"/>
          </a:solidFill>
          <a:ln>
            <a:noFill/>
          </a:ln>
          <a:effectLst>
            <a:outerShdw blurRad="254000" sx="102000" sy="102000" algn="ctr" rotWithShape="0">
              <a:prstClr val="black">
                <a:alpha val="20000"/>
              </a:prstClr>
            </a:outerShdw>
          </a:effectLst>
        </c:spPr>
      </c:pivotFmt>
      <c:pivotFmt>
        <c:idx val="22"/>
        <c:spPr>
          <a:solidFill>
            <a:schemeClr val="accent6"/>
          </a:solidFill>
          <a:ln>
            <a:noFill/>
          </a:ln>
          <a:effectLst>
            <a:outerShdw blurRad="254000" sx="102000" sy="102000" algn="ctr" rotWithShape="0">
              <a:prstClr val="black">
                <a:alpha val="20000"/>
              </a:prstClr>
            </a:outerShdw>
          </a:effectLst>
        </c:spPr>
      </c:pivotFmt>
      <c:pivotFmt>
        <c:idx val="2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6"/>
          </a:solidFill>
          <a:ln>
            <a:noFill/>
          </a:ln>
          <a:effectLst>
            <a:outerShdw blurRad="254000" sx="102000" sy="102000" algn="ctr" rotWithShape="0">
              <a:prstClr val="black">
                <a:alpha val="20000"/>
              </a:prstClr>
            </a:outerShdw>
          </a:effectLst>
        </c:spPr>
      </c:pivotFmt>
      <c:pivotFmt>
        <c:idx val="25"/>
        <c:spPr>
          <a:solidFill>
            <a:schemeClr val="accent6"/>
          </a:solidFill>
          <a:ln>
            <a:noFill/>
          </a:ln>
          <a:effectLst>
            <a:outerShdw blurRad="254000" sx="102000" sy="102000" algn="ctr" rotWithShape="0">
              <a:prstClr val="black">
                <a:alpha val="20000"/>
              </a:prstClr>
            </a:outerShdw>
          </a:effectLst>
        </c:spPr>
      </c:pivotFmt>
      <c:pivotFmt>
        <c:idx val="26"/>
        <c:spPr>
          <a:solidFill>
            <a:schemeClr val="accent6"/>
          </a:solidFill>
          <a:ln>
            <a:noFill/>
          </a:ln>
          <a:effectLst>
            <a:outerShdw blurRad="254000" sx="102000" sy="102000" algn="ctr" rotWithShape="0">
              <a:prstClr val="black">
                <a:alpha val="20000"/>
              </a:prstClr>
            </a:outerShdw>
          </a:effectLst>
        </c:spPr>
      </c:pivotFmt>
      <c:pivotFmt>
        <c:idx val="27"/>
        <c:spPr>
          <a:solidFill>
            <a:schemeClr val="accent6"/>
          </a:solidFill>
          <a:ln>
            <a:noFill/>
          </a:ln>
          <a:effectLst>
            <a:outerShdw blurRad="254000" sx="102000" sy="102000" algn="ctr" rotWithShape="0">
              <a:prstClr val="black">
                <a:alpha val="20000"/>
              </a:prstClr>
            </a:outerShdw>
          </a:effectLst>
        </c:spPr>
      </c:pivotFmt>
      <c:pivotFmt>
        <c:idx val="2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6"/>
          </a:solidFill>
          <a:ln>
            <a:noFill/>
          </a:ln>
          <a:effectLst>
            <a:outerShdw blurRad="254000" sx="102000" sy="102000" algn="ctr" rotWithShape="0">
              <a:prstClr val="black">
                <a:alpha val="20000"/>
              </a:prstClr>
            </a:outerShdw>
          </a:effectLst>
        </c:spPr>
      </c:pivotFmt>
      <c:pivotFmt>
        <c:idx val="30"/>
        <c:spPr>
          <a:solidFill>
            <a:schemeClr val="accent6"/>
          </a:solidFill>
          <a:ln>
            <a:noFill/>
          </a:ln>
          <a:effectLst>
            <a:outerShdw blurRad="254000" sx="102000" sy="102000" algn="ctr" rotWithShape="0">
              <a:prstClr val="black">
                <a:alpha val="20000"/>
              </a:prstClr>
            </a:outerShdw>
          </a:effectLst>
        </c:spPr>
      </c:pivotFmt>
      <c:pivotFmt>
        <c:idx val="31"/>
        <c:spPr>
          <a:solidFill>
            <a:schemeClr val="accent6"/>
          </a:solidFill>
          <a:ln>
            <a:noFill/>
          </a:ln>
          <a:effectLst>
            <a:outerShdw blurRad="254000" sx="102000" sy="102000" algn="ctr" rotWithShape="0">
              <a:prstClr val="black">
                <a:alpha val="20000"/>
              </a:prstClr>
            </a:outerShdw>
          </a:effectLst>
        </c:spPr>
      </c:pivotFmt>
      <c:pivotFmt>
        <c:idx val="32"/>
        <c:spPr>
          <a:solidFill>
            <a:schemeClr val="accent6"/>
          </a:solidFill>
          <a:ln>
            <a:noFill/>
          </a:ln>
          <a:effectLst>
            <a:outerShdw blurRad="254000" sx="102000" sy="102000" algn="ctr" rotWithShape="0">
              <a:prstClr val="black">
                <a:alpha val="20000"/>
              </a:prstClr>
            </a:outerShdw>
          </a:effectLst>
        </c:spPr>
      </c:pivotFmt>
      <c:pivotFmt>
        <c:idx val="3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6">
              <a:tint val="58000"/>
            </a:schemeClr>
          </a:solidFill>
          <a:ln>
            <a:noFill/>
          </a:ln>
          <a:effectLst>
            <a:outerShdw blurRad="254000" sx="102000" sy="102000" algn="ctr" rotWithShape="0">
              <a:prstClr val="black">
                <a:alpha val="20000"/>
              </a:prstClr>
            </a:outerShdw>
          </a:effectLst>
        </c:spPr>
      </c:pivotFmt>
      <c:pivotFmt>
        <c:idx val="35"/>
        <c:spPr>
          <a:solidFill>
            <a:schemeClr val="accent6">
              <a:tint val="86000"/>
            </a:schemeClr>
          </a:solidFill>
          <a:ln>
            <a:noFill/>
          </a:ln>
          <a:effectLst>
            <a:outerShdw blurRad="254000" sx="102000" sy="102000" algn="ctr" rotWithShape="0">
              <a:prstClr val="black">
                <a:alpha val="20000"/>
              </a:prstClr>
            </a:outerShdw>
          </a:effectLst>
        </c:spPr>
      </c:pivotFmt>
      <c:pivotFmt>
        <c:idx val="36"/>
        <c:spPr>
          <a:solidFill>
            <a:schemeClr val="accent6">
              <a:shade val="86000"/>
            </a:schemeClr>
          </a:solidFill>
          <a:ln>
            <a:noFill/>
          </a:ln>
          <a:effectLst>
            <a:outerShdw blurRad="254000" sx="102000" sy="102000" algn="ctr" rotWithShape="0">
              <a:prstClr val="black">
                <a:alpha val="20000"/>
              </a:prstClr>
            </a:outerShdw>
          </a:effectLst>
        </c:spPr>
      </c:pivotFmt>
      <c:pivotFmt>
        <c:idx val="37"/>
        <c:spPr>
          <a:solidFill>
            <a:schemeClr val="accent6">
              <a:shade val="58000"/>
            </a:schemeClr>
          </a:solidFill>
          <a:ln>
            <a:noFill/>
          </a:ln>
          <a:effectLst>
            <a:outerShdw blurRad="254000" sx="102000" sy="102000" algn="ctr" rotWithShape="0">
              <a:prstClr val="black">
                <a:alpha val="20000"/>
              </a:prstClr>
            </a:outerShdw>
          </a:effectLst>
        </c:spPr>
      </c:pivotFmt>
      <c:pivotFmt>
        <c:idx val="3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6">
              <a:tint val="58000"/>
            </a:schemeClr>
          </a:solidFill>
          <a:ln>
            <a:noFill/>
          </a:ln>
          <a:effectLst>
            <a:outerShdw blurRad="254000" sx="102000" sy="102000" algn="ctr" rotWithShape="0">
              <a:prstClr val="black">
                <a:alpha val="20000"/>
              </a:prstClr>
            </a:outerShdw>
          </a:effectLst>
        </c:spPr>
      </c:pivotFmt>
      <c:pivotFmt>
        <c:idx val="40"/>
        <c:spPr>
          <a:solidFill>
            <a:schemeClr val="accent6">
              <a:tint val="86000"/>
            </a:schemeClr>
          </a:solidFill>
          <a:ln>
            <a:noFill/>
          </a:ln>
          <a:effectLst>
            <a:outerShdw blurRad="254000" sx="102000" sy="102000" algn="ctr" rotWithShape="0">
              <a:prstClr val="black">
                <a:alpha val="20000"/>
              </a:prstClr>
            </a:outerShdw>
          </a:effectLst>
        </c:spPr>
      </c:pivotFmt>
      <c:pivotFmt>
        <c:idx val="41"/>
        <c:spPr>
          <a:solidFill>
            <a:schemeClr val="accent6">
              <a:shade val="86000"/>
            </a:schemeClr>
          </a:solidFill>
          <a:ln>
            <a:noFill/>
          </a:ln>
          <a:effectLst>
            <a:outerShdw blurRad="254000" sx="102000" sy="102000" algn="ctr" rotWithShape="0">
              <a:prstClr val="black">
                <a:alpha val="20000"/>
              </a:prstClr>
            </a:outerShdw>
          </a:effectLst>
        </c:spPr>
      </c:pivotFmt>
      <c:pivotFmt>
        <c:idx val="42"/>
        <c:spPr>
          <a:solidFill>
            <a:schemeClr val="accent6">
              <a:shade val="58000"/>
            </a:schemeClr>
          </a:solidFill>
          <a:ln>
            <a:noFill/>
          </a:ln>
          <a:effectLst>
            <a:outerShdw blurRad="254000" sx="102000" sy="102000" algn="ctr" rotWithShape="0">
              <a:prstClr val="black">
                <a:alpha val="20000"/>
              </a:prstClr>
            </a:outerShdw>
          </a:effectLst>
        </c:spPr>
      </c:pivotFmt>
      <c:pivotFmt>
        <c:idx val="4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6">
              <a:tint val="58000"/>
            </a:schemeClr>
          </a:solidFill>
          <a:ln>
            <a:noFill/>
          </a:ln>
          <a:effectLst>
            <a:outerShdw blurRad="254000" sx="102000" sy="102000" algn="ctr" rotWithShape="0">
              <a:prstClr val="black">
                <a:alpha val="20000"/>
              </a:prstClr>
            </a:outerShdw>
          </a:effectLst>
        </c:spPr>
      </c:pivotFmt>
      <c:pivotFmt>
        <c:idx val="45"/>
        <c:spPr>
          <a:solidFill>
            <a:schemeClr val="accent6">
              <a:tint val="86000"/>
            </a:schemeClr>
          </a:solidFill>
          <a:ln>
            <a:noFill/>
          </a:ln>
          <a:effectLst>
            <a:outerShdw blurRad="254000" sx="102000" sy="102000" algn="ctr" rotWithShape="0">
              <a:prstClr val="black">
                <a:alpha val="20000"/>
              </a:prstClr>
            </a:outerShdw>
          </a:effectLst>
        </c:spPr>
      </c:pivotFmt>
      <c:pivotFmt>
        <c:idx val="46"/>
        <c:spPr>
          <a:solidFill>
            <a:schemeClr val="accent6">
              <a:shade val="86000"/>
            </a:schemeClr>
          </a:solidFill>
          <a:ln>
            <a:noFill/>
          </a:ln>
          <a:effectLst>
            <a:outerShdw blurRad="254000" sx="102000" sy="102000" algn="ctr" rotWithShape="0">
              <a:prstClr val="black">
                <a:alpha val="20000"/>
              </a:prstClr>
            </a:outerShdw>
          </a:effectLst>
        </c:spPr>
      </c:pivotFmt>
      <c:pivotFmt>
        <c:idx val="47"/>
        <c:spPr>
          <a:solidFill>
            <a:schemeClr val="accent6">
              <a:shade val="58000"/>
            </a:schemeClr>
          </a:solidFill>
          <a:ln>
            <a:noFill/>
          </a:ln>
          <a:effectLst>
            <a:outerShdw blurRad="254000" sx="102000" sy="102000" algn="ctr" rotWithShape="0">
              <a:prstClr val="black">
                <a:alpha val="20000"/>
              </a:prstClr>
            </a:outerShdw>
          </a:effectLst>
        </c:spPr>
      </c:pivotFmt>
      <c:pivotFmt>
        <c:idx val="4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6">
              <a:tint val="58000"/>
            </a:schemeClr>
          </a:solidFill>
          <a:ln>
            <a:noFill/>
          </a:ln>
          <a:effectLst>
            <a:outerShdw blurRad="254000" sx="102000" sy="102000" algn="ctr" rotWithShape="0">
              <a:prstClr val="black">
                <a:alpha val="20000"/>
              </a:prstClr>
            </a:outerShdw>
          </a:effectLst>
        </c:spPr>
      </c:pivotFmt>
      <c:pivotFmt>
        <c:idx val="50"/>
        <c:spPr>
          <a:solidFill>
            <a:schemeClr val="accent6">
              <a:tint val="86000"/>
            </a:schemeClr>
          </a:solidFill>
          <a:ln>
            <a:noFill/>
          </a:ln>
          <a:effectLst>
            <a:outerShdw blurRad="254000" sx="102000" sy="102000" algn="ctr" rotWithShape="0">
              <a:prstClr val="black">
                <a:alpha val="20000"/>
              </a:prstClr>
            </a:outerShdw>
          </a:effectLst>
        </c:spPr>
      </c:pivotFmt>
      <c:pivotFmt>
        <c:idx val="51"/>
        <c:spPr>
          <a:solidFill>
            <a:schemeClr val="accent6">
              <a:shade val="86000"/>
            </a:schemeClr>
          </a:solidFill>
          <a:ln>
            <a:noFill/>
          </a:ln>
          <a:effectLst>
            <a:outerShdw blurRad="254000" sx="102000" sy="102000" algn="ctr" rotWithShape="0">
              <a:prstClr val="black">
                <a:alpha val="20000"/>
              </a:prstClr>
            </a:outerShdw>
          </a:effectLst>
        </c:spPr>
      </c:pivotFmt>
      <c:pivotFmt>
        <c:idx val="52"/>
        <c:spPr>
          <a:solidFill>
            <a:schemeClr val="accent6">
              <a:shade val="58000"/>
            </a:schemeClr>
          </a:solidFill>
          <a:ln>
            <a:noFill/>
          </a:ln>
          <a:effectLst>
            <a:outerShdw blurRad="254000" sx="102000" sy="102000" algn="ctr" rotWithShape="0">
              <a:prstClr val="black">
                <a:alpha val="20000"/>
              </a:prstClr>
            </a:outerShdw>
          </a:effectLst>
        </c:spPr>
      </c:pivotFmt>
      <c:pivotFmt>
        <c:idx val="5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6">
              <a:tint val="58000"/>
            </a:schemeClr>
          </a:solidFill>
          <a:ln>
            <a:noFill/>
          </a:ln>
          <a:effectLst>
            <a:outerShdw blurRad="254000" sx="102000" sy="102000" algn="ctr" rotWithShape="0">
              <a:prstClr val="black">
                <a:alpha val="20000"/>
              </a:prstClr>
            </a:outerShdw>
          </a:effectLst>
        </c:spPr>
      </c:pivotFmt>
      <c:pivotFmt>
        <c:idx val="55"/>
        <c:spPr>
          <a:solidFill>
            <a:schemeClr val="accent6">
              <a:tint val="86000"/>
            </a:schemeClr>
          </a:solidFill>
          <a:ln>
            <a:noFill/>
          </a:ln>
          <a:effectLst>
            <a:outerShdw blurRad="254000" sx="102000" sy="102000" algn="ctr" rotWithShape="0">
              <a:prstClr val="black">
                <a:alpha val="20000"/>
              </a:prstClr>
            </a:outerShdw>
          </a:effectLst>
        </c:spPr>
      </c:pivotFmt>
      <c:pivotFmt>
        <c:idx val="56"/>
        <c:spPr>
          <a:solidFill>
            <a:schemeClr val="accent6">
              <a:shade val="86000"/>
            </a:schemeClr>
          </a:solidFill>
          <a:ln>
            <a:noFill/>
          </a:ln>
          <a:effectLst>
            <a:outerShdw blurRad="254000" sx="102000" sy="102000" algn="ctr" rotWithShape="0">
              <a:prstClr val="black">
                <a:alpha val="20000"/>
              </a:prstClr>
            </a:outerShdw>
          </a:effectLst>
        </c:spPr>
      </c:pivotFmt>
      <c:pivotFmt>
        <c:idx val="57"/>
        <c:spPr>
          <a:solidFill>
            <a:schemeClr val="accent6">
              <a:shade val="58000"/>
            </a:schemeClr>
          </a:solidFill>
          <a:ln>
            <a:noFill/>
          </a:ln>
          <a:effectLst>
            <a:outerShdw blurRad="254000" sx="102000" sy="102000" algn="ctr" rotWithShape="0">
              <a:prstClr val="black">
                <a:alpha val="20000"/>
              </a:prstClr>
            </a:outerShdw>
          </a:effectLst>
        </c:spPr>
      </c:pivotFmt>
      <c:pivotFmt>
        <c:idx val="5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9"/>
        <c:spPr>
          <a:solidFill>
            <a:schemeClr val="accent6">
              <a:tint val="58000"/>
            </a:schemeClr>
          </a:solidFill>
          <a:ln>
            <a:noFill/>
          </a:ln>
          <a:effectLst>
            <a:outerShdw blurRad="254000" sx="102000" sy="102000" algn="ctr" rotWithShape="0">
              <a:prstClr val="black">
                <a:alpha val="20000"/>
              </a:prstClr>
            </a:outerShdw>
          </a:effectLst>
        </c:spPr>
      </c:pivotFmt>
      <c:pivotFmt>
        <c:idx val="60"/>
        <c:spPr>
          <a:solidFill>
            <a:schemeClr val="accent6">
              <a:tint val="86000"/>
            </a:schemeClr>
          </a:solidFill>
          <a:ln>
            <a:noFill/>
          </a:ln>
          <a:effectLst>
            <a:outerShdw blurRad="254000" sx="102000" sy="102000" algn="ctr" rotWithShape="0">
              <a:prstClr val="black">
                <a:alpha val="20000"/>
              </a:prstClr>
            </a:outerShdw>
          </a:effectLst>
        </c:spPr>
      </c:pivotFmt>
      <c:pivotFmt>
        <c:idx val="61"/>
        <c:spPr>
          <a:solidFill>
            <a:schemeClr val="accent6">
              <a:shade val="86000"/>
            </a:schemeClr>
          </a:solidFill>
          <a:ln>
            <a:noFill/>
          </a:ln>
          <a:effectLst>
            <a:outerShdw blurRad="254000" sx="102000" sy="102000" algn="ctr" rotWithShape="0">
              <a:prstClr val="black">
                <a:alpha val="20000"/>
              </a:prstClr>
            </a:outerShdw>
          </a:effectLst>
        </c:spPr>
      </c:pivotFmt>
      <c:pivotFmt>
        <c:idx val="62"/>
        <c:spPr>
          <a:solidFill>
            <a:schemeClr val="accent6">
              <a:shade val="58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table'!$B$27:$B$28</c:f>
              <c:strCache>
                <c:ptCount val="1"/>
                <c:pt idx="0">
                  <c:v>Cold</c:v>
                </c:pt>
              </c:strCache>
            </c:strRef>
          </c:tx>
          <c:dPt>
            <c:idx val="0"/>
            <c:bubble3D val="0"/>
            <c:spPr>
              <a:solidFill>
                <a:schemeClr val="accent6">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16B-47A2-8B76-CFB09BE60BF1}"/>
              </c:ext>
            </c:extLst>
          </c:dPt>
          <c:dPt>
            <c:idx val="1"/>
            <c:bubble3D val="0"/>
            <c:spPr>
              <a:solidFill>
                <a:schemeClr val="accent6">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16B-47A2-8B76-CFB09BE60BF1}"/>
              </c:ext>
            </c:extLst>
          </c:dPt>
          <c:dPt>
            <c:idx val="2"/>
            <c:bubble3D val="0"/>
            <c:spPr>
              <a:solidFill>
                <a:schemeClr val="accent6">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16B-47A2-8B76-CFB09BE60BF1}"/>
              </c:ext>
            </c:extLst>
          </c:dPt>
          <c:dPt>
            <c:idx val="3"/>
            <c:bubble3D val="0"/>
            <c:spPr>
              <a:solidFill>
                <a:schemeClr val="accent6">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16B-47A2-8B76-CFB09BE60BF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table'!$A$29:$A$33</c:f>
              <c:strCache>
                <c:ptCount val="4"/>
                <c:pt idx="0">
                  <c:v>Bangalore MBC</c:v>
                </c:pt>
                <c:pt idx="1">
                  <c:v>Chennai MBC</c:v>
                </c:pt>
                <c:pt idx="2">
                  <c:v>Delhi MBC</c:v>
                </c:pt>
                <c:pt idx="3">
                  <c:v>Mumbai MBC</c:v>
                </c:pt>
              </c:strCache>
            </c:strRef>
          </c:cat>
          <c:val>
            <c:numRef>
              <c:f>'pivot table'!$B$29:$B$33</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8-816B-47A2-8B76-CFB09BE60BF1}"/>
            </c:ext>
          </c:extLst>
        </c:ser>
        <c:ser>
          <c:idx val="1"/>
          <c:order val="1"/>
          <c:tx>
            <c:strRef>
              <c:f>'pivot table'!$C$27:$C$28</c:f>
              <c:strCache>
                <c:ptCount val="1"/>
                <c:pt idx="0">
                  <c:v>Hot</c:v>
                </c:pt>
              </c:strCache>
            </c:strRef>
          </c:tx>
          <c:dPt>
            <c:idx val="0"/>
            <c:bubble3D val="0"/>
            <c:spPr>
              <a:solidFill>
                <a:schemeClr val="accent6">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819-45DB-B256-001D92310E4D}"/>
              </c:ext>
            </c:extLst>
          </c:dPt>
          <c:dPt>
            <c:idx val="1"/>
            <c:bubble3D val="0"/>
            <c:spPr>
              <a:solidFill>
                <a:schemeClr val="accent6">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819-45DB-B256-001D92310E4D}"/>
              </c:ext>
            </c:extLst>
          </c:dPt>
          <c:dPt>
            <c:idx val="2"/>
            <c:bubble3D val="0"/>
            <c:spPr>
              <a:solidFill>
                <a:schemeClr val="accent6">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819-45DB-B256-001D92310E4D}"/>
              </c:ext>
            </c:extLst>
          </c:dPt>
          <c:dPt>
            <c:idx val="3"/>
            <c:bubble3D val="0"/>
            <c:spPr>
              <a:solidFill>
                <a:schemeClr val="accent6">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819-45DB-B256-001D92310E4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table'!$A$29:$A$33</c:f>
              <c:strCache>
                <c:ptCount val="4"/>
                <c:pt idx="0">
                  <c:v>Bangalore MBC</c:v>
                </c:pt>
                <c:pt idx="1">
                  <c:v>Chennai MBC</c:v>
                </c:pt>
                <c:pt idx="2">
                  <c:v>Delhi MBC</c:v>
                </c:pt>
                <c:pt idx="3">
                  <c:v>Mumbai MBC</c:v>
                </c:pt>
              </c:strCache>
            </c:strRef>
          </c:cat>
          <c:val>
            <c:numRef>
              <c:f>'pivot table'!$C$29:$C$33</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1D-816B-47A2-8B76-CFB09BE60BF1}"/>
            </c:ext>
          </c:extLst>
        </c:ser>
        <c:ser>
          <c:idx val="2"/>
          <c:order val="2"/>
          <c:tx>
            <c:strRef>
              <c:f>'pivot table'!$D$27:$D$28</c:f>
              <c:strCache>
                <c:ptCount val="1"/>
                <c:pt idx="0">
                  <c:v>Warm</c:v>
                </c:pt>
              </c:strCache>
            </c:strRef>
          </c:tx>
          <c:dPt>
            <c:idx val="0"/>
            <c:bubble3D val="0"/>
            <c:spPr>
              <a:solidFill>
                <a:schemeClr val="accent6">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819-45DB-B256-001D92310E4D}"/>
              </c:ext>
            </c:extLst>
          </c:dPt>
          <c:dPt>
            <c:idx val="1"/>
            <c:bubble3D val="0"/>
            <c:spPr>
              <a:solidFill>
                <a:schemeClr val="accent6">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D819-45DB-B256-001D92310E4D}"/>
              </c:ext>
            </c:extLst>
          </c:dPt>
          <c:dPt>
            <c:idx val="2"/>
            <c:bubble3D val="0"/>
            <c:spPr>
              <a:solidFill>
                <a:schemeClr val="accent6">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D819-45DB-B256-001D92310E4D}"/>
              </c:ext>
            </c:extLst>
          </c:dPt>
          <c:dPt>
            <c:idx val="3"/>
            <c:bubble3D val="0"/>
            <c:spPr>
              <a:solidFill>
                <a:schemeClr val="accent6">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D819-45DB-B256-001D92310E4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table'!$A$29:$A$33</c:f>
              <c:strCache>
                <c:ptCount val="4"/>
                <c:pt idx="0">
                  <c:v>Bangalore MBC</c:v>
                </c:pt>
                <c:pt idx="1">
                  <c:v>Chennai MBC</c:v>
                </c:pt>
                <c:pt idx="2">
                  <c:v>Delhi MBC</c:v>
                </c:pt>
                <c:pt idx="3">
                  <c:v>Mumbai MBC</c:v>
                </c:pt>
              </c:strCache>
            </c:strRef>
          </c:cat>
          <c:val>
            <c:numRef>
              <c:f>'pivot table'!$D$29:$D$33</c:f>
              <c:numCache>
                <c:formatCode>General</c:formatCode>
                <c:ptCount val="4"/>
                <c:pt idx="0">
                  <c:v>132</c:v>
                </c:pt>
                <c:pt idx="1">
                  <c:v>103</c:v>
                </c:pt>
                <c:pt idx="2">
                  <c:v>142</c:v>
                </c:pt>
                <c:pt idx="3">
                  <c:v>132</c:v>
                </c:pt>
              </c:numCache>
            </c:numRef>
          </c:val>
          <c:extLst>
            <c:ext xmlns:c16="http://schemas.microsoft.com/office/drawing/2014/chart" uri="{C3380CC4-5D6E-409C-BE32-E72D297353CC}">
              <c16:uniqueId val="{0000001E-816B-47A2-8B76-CFB09BE60BF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3</xdr:row>
      <xdr:rowOff>137160</xdr:rowOff>
    </xdr:from>
    <xdr:to>
      <xdr:col>3</xdr:col>
      <xdr:colOff>167640</xdr:colOff>
      <xdr:row>12</xdr:row>
      <xdr:rowOff>7620</xdr:rowOff>
    </xdr:to>
    <mc:AlternateContent xmlns:mc="http://schemas.openxmlformats.org/markup-compatibility/2006" xmlns:a14="http://schemas.microsoft.com/office/drawing/2010/main">
      <mc:Choice Requires="a14">
        <xdr:graphicFrame macro="">
          <xdr:nvGraphicFramePr>
            <xdr:cNvPr id="2" name="Store Name 2">
              <a:extLst>
                <a:ext uri="{FF2B5EF4-FFF2-40B4-BE49-F238E27FC236}">
                  <a16:creationId xmlns:a16="http://schemas.microsoft.com/office/drawing/2014/main" id="{FFE48731-AD07-43E9-9C11-AEDE98AD85A9}"/>
                </a:ext>
              </a:extLst>
            </xdr:cNvPr>
            <xdr:cNvGraphicFramePr/>
          </xdr:nvGraphicFramePr>
          <xdr:xfrm>
            <a:off x="0" y="0"/>
            <a:ext cx="0" cy="0"/>
          </xdr:xfrm>
          <a:graphic>
            <a:graphicData uri="http://schemas.microsoft.com/office/drawing/2010/slicer">
              <sle:slicer xmlns:sle="http://schemas.microsoft.com/office/drawing/2010/slicer" name="Store Name 2"/>
            </a:graphicData>
          </a:graphic>
        </xdr:graphicFrame>
      </mc:Choice>
      <mc:Fallback xmlns="">
        <xdr:sp macro="" textlink="">
          <xdr:nvSpPr>
            <xdr:cNvPr id="0" name=""/>
            <xdr:cNvSpPr>
              <a:spLocks noTextEdit="1"/>
            </xdr:cNvSpPr>
          </xdr:nvSpPr>
          <xdr:spPr>
            <a:xfrm>
              <a:off x="381000" y="769620"/>
              <a:ext cx="161544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121920</xdr:colOff>
      <xdr:row>6</xdr:row>
      <xdr:rowOff>30480</xdr:rowOff>
    </xdr:from>
    <xdr:to>
      <xdr:col>6</xdr:col>
      <xdr:colOff>342900</xdr:colOff>
      <xdr:row>12</xdr:row>
      <xdr:rowOff>7620</xdr:rowOff>
    </xdr:to>
    <xdr:sp macro="" textlink="">
      <xdr:nvSpPr>
        <xdr:cNvPr id="3" name="Rectangle 2">
          <a:extLst>
            <a:ext uri="{FF2B5EF4-FFF2-40B4-BE49-F238E27FC236}">
              <a16:creationId xmlns:a16="http://schemas.microsoft.com/office/drawing/2014/main" id="{15599419-1273-DB4B-DE81-8A500485F0C8}"/>
            </a:ext>
          </a:extLst>
        </xdr:cNvPr>
        <xdr:cNvSpPr/>
      </xdr:nvSpPr>
      <xdr:spPr>
        <a:xfrm>
          <a:off x="4389120" y="1127760"/>
          <a:ext cx="1440180" cy="107442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a:t>
          </a:r>
          <a:r>
            <a:rPr lang="en-IN" sz="2000" baseline="0"/>
            <a:t> Leads</a:t>
          </a:r>
        </a:p>
        <a:p>
          <a:pPr algn="l"/>
          <a:endParaRPr lang="en-IN" sz="2000" baseline="0"/>
        </a:p>
        <a:p>
          <a:pPr algn="l"/>
          <a:r>
            <a:rPr lang="en-IN" sz="2000" baseline="0"/>
            <a:t>     1000</a:t>
          </a:r>
          <a:endParaRPr lang="en-IN" sz="2000"/>
        </a:p>
      </xdr:txBody>
    </xdr:sp>
    <xdr:clientData/>
  </xdr:twoCellAnchor>
  <xdr:twoCellAnchor>
    <xdr:from>
      <xdr:col>7</xdr:col>
      <xdr:colOff>396240</xdr:colOff>
      <xdr:row>6</xdr:row>
      <xdr:rowOff>30480</xdr:rowOff>
    </xdr:from>
    <xdr:to>
      <xdr:col>10</xdr:col>
      <xdr:colOff>7620</xdr:colOff>
      <xdr:row>12</xdr:row>
      <xdr:rowOff>7620</xdr:rowOff>
    </xdr:to>
    <xdr:sp macro="" textlink="">
      <xdr:nvSpPr>
        <xdr:cNvPr id="8" name="Rectangle 7">
          <a:extLst>
            <a:ext uri="{FF2B5EF4-FFF2-40B4-BE49-F238E27FC236}">
              <a16:creationId xmlns:a16="http://schemas.microsoft.com/office/drawing/2014/main" id="{76F02B51-0D9E-43A0-915F-41E0E87CDF11}"/>
            </a:ext>
          </a:extLst>
        </xdr:cNvPr>
        <xdr:cNvSpPr/>
      </xdr:nvSpPr>
      <xdr:spPr>
        <a:xfrm>
          <a:off x="6492240" y="1127760"/>
          <a:ext cx="1440180" cy="107442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a:t>L-&gt;PB </a:t>
          </a:r>
        </a:p>
        <a:p>
          <a:pPr algn="l"/>
          <a:r>
            <a:rPr lang="en-IN" sz="1400"/>
            <a:t>   Conversion%</a:t>
          </a:r>
        </a:p>
        <a:p>
          <a:pPr algn="l"/>
          <a:endParaRPr lang="en-IN" sz="1400"/>
        </a:p>
        <a:p>
          <a:pPr algn="l"/>
          <a:r>
            <a:rPr lang="en-IN" sz="1400"/>
            <a:t>        81.20%</a:t>
          </a:r>
        </a:p>
      </xdr:txBody>
    </xdr:sp>
    <xdr:clientData/>
  </xdr:twoCellAnchor>
  <xdr:twoCellAnchor>
    <xdr:from>
      <xdr:col>11</xdr:col>
      <xdr:colOff>38100</xdr:colOff>
      <xdr:row>6</xdr:row>
      <xdr:rowOff>30480</xdr:rowOff>
    </xdr:from>
    <xdr:to>
      <xdr:col>13</xdr:col>
      <xdr:colOff>259080</xdr:colOff>
      <xdr:row>12</xdr:row>
      <xdr:rowOff>7620</xdr:rowOff>
    </xdr:to>
    <xdr:sp macro="" textlink="">
      <xdr:nvSpPr>
        <xdr:cNvPr id="9" name="Rectangle 8">
          <a:extLst>
            <a:ext uri="{FF2B5EF4-FFF2-40B4-BE49-F238E27FC236}">
              <a16:creationId xmlns:a16="http://schemas.microsoft.com/office/drawing/2014/main" id="{C890E6CD-DAE1-48B0-A983-D6024E2FC74A}"/>
            </a:ext>
          </a:extLst>
        </xdr:cNvPr>
        <xdr:cNvSpPr/>
      </xdr:nvSpPr>
      <xdr:spPr>
        <a:xfrm>
          <a:off x="8572500" y="1127760"/>
          <a:ext cx="1440180" cy="107442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PB-&gt;B</a:t>
          </a:r>
        </a:p>
        <a:p>
          <a:pPr algn="l"/>
          <a:r>
            <a:rPr lang="en-IN" sz="1400"/>
            <a:t>    Conversion%</a:t>
          </a:r>
        </a:p>
        <a:p>
          <a:pPr algn="l"/>
          <a:endParaRPr lang="en-IN" sz="1400"/>
        </a:p>
        <a:p>
          <a:pPr algn="l"/>
          <a:r>
            <a:rPr lang="en-IN" sz="1400"/>
            <a:t>         100%</a:t>
          </a:r>
        </a:p>
      </xdr:txBody>
    </xdr:sp>
    <xdr:clientData/>
  </xdr:twoCellAnchor>
  <xdr:twoCellAnchor>
    <xdr:from>
      <xdr:col>14</xdr:col>
      <xdr:colOff>266700</xdr:colOff>
      <xdr:row>6</xdr:row>
      <xdr:rowOff>30480</xdr:rowOff>
    </xdr:from>
    <xdr:to>
      <xdr:col>16</xdr:col>
      <xdr:colOff>487680</xdr:colOff>
      <xdr:row>12</xdr:row>
      <xdr:rowOff>7620</xdr:rowOff>
    </xdr:to>
    <xdr:sp macro="" textlink="">
      <xdr:nvSpPr>
        <xdr:cNvPr id="10" name="Rectangle 9">
          <a:extLst>
            <a:ext uri="{FF2B5EF4-FFF2-40B4-BE49-F238E27FC236}">
              <a16:creationId xmlns:a16="http://schemas.microsoft.com/office/drawing/2014/main" id="{33873654-8720-447C-89AF-BF3A98959287}"/>
            </a:ext>
          </a:extLst>
        </xdr:cNvPr>
        <xdr:cNvSpPr/>
      </xdr:nvSpPr>
      <xdr:spPr>
        <a:xfrm>
          <a:off x="10629900" y="1127760"/>
          <a:ext cx="1440180" cy="107442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a:solidFill>
                <a:schemeClr val="lt1"/>
              </a:solidFill>
              <a:effectLst/>
              <a:latin typeface="+mn-lt"/>
              <a:ea typeface="+mn-ea"/>
              <a:cs typeface="+mn-cs"/>
            </a:rPr>
            <a:t>           B-&gt;D</a:t>
          </a:r>
          <a:endParaRPr lang="en-IN" sz="1400">
            <a:effectLst/>
          </a:endParaRPr>
        </a:p>
        <a:p>
          <a:r>
            <a:rPr lang="en-IN" sz="1400">
              <a:solidFill>
                <a:schemeClr val="lt1"/>
              </a:solidFill>
              <a:effectLst/>
              <a:latin typeface="+mn-lt"/>
              <a:ea typeface="+mn-ea"/>
              <a:cs typeface="+mn-cs"/>
            </a:rPr>
            <a:t>   Conversion%</a:t>
          </a:r>
          <a:endParaRPr lang="en-IN" sz="1400">
            <a:effectLst/>
          </a:endParaRPr>
        </a:p>
        <a:p>
          <a:r>
            <a:rPr lang="en-IN" sz="1400">
              <a:solidFill>
                <a:schemeClr val="lt1"/>
              </a:solidFill>
              <a:effectLst/>
              <a:latin typeface="+mn-lt"/>
              <a:ea typeface="+mn-ea"/>
              <a:cs typeface="+mn-cs"/>
            </a:rPr>
            <a:t>        </a:t>
          </a:r>
        </a:p>
        <a:p>
          <a:r>
            <a:rPr lang="en-IN" sz="1400">
              <a:solidFill>
                <a:schemeClr val="lt1"/>
              </a:solidFill>
              <a:effectLst/>
              <a:latin typeface="+mn-lt"/>
              <a:ea typeface="+mn-ea"/>
              <a:cs typeface="+mn-cs"/>
            </a:rPr>
            <a:t>           100%</a:t>
          </a:r>
          <a:endParaRPr lang="en-IN" sz="1400">
            <a:effectLst/>
          </a:endParaRPr>
        </a:p>
        <a:p>
          <a:pPr algn="l"/>
          <a:endParaRPr lang="en-IN" sz="1100"/>
        </a:p>
      </xdr:txBody>
    </xdr:sp>
    <xdr:clientData/>
  </xdr:twoCellAnchor>
  <xdr:twoCellAnchor>
    <xdr:from>
      <xdr:col>17</xdr:col>
      <xdr:colOff>563880</xdr:colOff>
      <xdr:row>6</xdr:row>
      <xdr:rowOff>30480</xdr:rowOff>
    </xdr:from>
    <xdr:to>
      <xdr:col>20</xdr:col>
      <xdr:colOff>175260</xdr:colOff>
      <xdr:row>12</xdr:row>
      <xdr:rowOff>7620</xdr:rowOff>
    </xdr:to>
    <xdr:sp macro="" textlink="">
      <xdr:nvSpPr>
        <xdr:cNvPr id="11" name="Rectangle 10">
          <a:extLst>
            <a:ext uri="{FF2B5EF4-FFF2-40B4-BE49-F238E27FC236}">
              <a16:creationId xmlns:a16="http://schemas.microsoft.com/office/drawing/2014/main" id="{1FCDDEA7-3C51-46CE-AFBB-40960CE5E3F5}"/>
            </a:ext>
          </a:extLst>
        </xdr:cNvPr>
        <xdr:cNvSpPr/>
      </xdr:nvSpPr>
      <xdr:spPr>
        <a:xfrm>
          <a:off x="12755880" y="1127760"/>
          <a:ext cx="1440180" cy="107442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Overall Average</a:t>
          </a:r>
        </a:p>
        <a:p>
          <a:pPr algn="l"/>
          <a:r>
            <a:rPr lang="en-IN" sz="1400"/>
            <a:t>    Delivery TAT</a:t>
          </a:r>
        </a:p>
        <a:p>
          <a:pPr algn="l"/>
          <a:endParaRPr lang="en-IN" sz="1400"/>
        </a:p>
        <a:p>
          <a:pPr algn="l"/>
          <a:r>
            <a:rPr lang="en-IN" sz="1400"/>
            <a:t>        4(Days)</a:t>
          </a:r>
        </a:p>
      </xdr:txBody>
    </xdr:sp>
    <xdr:clientData/>
  </xdr:twoCellAnchor>
  <xdr:twoCellAnchor>
    <xdr:from>
      <xdr:col>1</xdr:col>
      <xdr:colOff>1</xdr:colOff>
      <xdr:row>15</xdr:row>
      <xdr:rowOff>1</xdr:rowOff>
    </xdr:from>
    <xdr:to>
      <xdr:col>8</xdr:col>
      <xdr:colOff>381000</xdr:colOff>
      <xdr:row>29</xdr:row>
      <xdr:rowOff>106680</xdr:rowOff>
    </xdr:to>
    <xdr:graphicFrame macro="">
      <xdr:nvGraphicFramePr>
        <xdr:cNvPr id="14" name="Chart 13">
          <a:extLst>
            <a:ext uri="{FF2B5EF4-FFF2-40B4-BE49-F238E27FC236}">
              <a16:creationId xmlns:a16="http://schemas.microsoft.com/office/drawing/2014/main" id="{A92E6AEC-C88A-42C6-BB28-4531D3FAF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83821</xdr:colOff>
      <xdr:row>15</xdr:row>
      <xdr:rowOff>0</xdr:rowOff>
    </xdr:from>
    <xdr:to>
      <xdr:col>15</xdr:col>
      <xdr:colOff>563880</xdr:colOff>
      <xdr:row>29</xdr:row>
      <xdr:rowOff>106680</xdr:rowOff>
    </xdr:to>
    <xdr:graphicFrame macro="">
      <xdr:nvGraphicFramePr>
        <xdr:cNvPr id="16" name="Chart 15">
          <a:extLst>
            <a:ext uri="{FF2B5EF4-FFF2-40B4-BE49-F238E27FC236}">
              <a16:creationId xmlns:a16="http://schemas.microsoft.com/office/drawing/2014/main" id="{126EF80A-DAA3-41D2-B789-D7F6C971B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281940</xdr:colOff>
      <xdr:row>15</xdr:row>
      <xdr:rowOff>7620</xdr:rowOff>
    </xdr:from>
    <xdr:to>
      <xdr:col>20</xdr:col>
      <xdr:colOff>243840</xdr:colOff>
      <xdr:row>29</xdr:row>
      <xdr:rowOff>121920</xdr:rowOff>
    </xdr:to>
    <xdr:sp macro="" textlink="">
      <xdr:nvSpPr>
        <xdr:cNvPr id="17" name="Rectangle 16">
          <a:extLst>
            <a:ext uri="{FF2B5EF4-FFF2-40B4-BE49-F238E27FC236}">
              <a16:creationId xmlns:a16="http://schemas.microsoft.com/office/drawing/2014/main" id="{4540E9A8-E09A-EC3A-0A22-53EC92618A57}"/>
            </a:ext>
          </a:extLst>
        </xdr:cNvPr>
        <xdr:cNvSpPr/>
      </xdr:nvSpPr>
      <xdr:spPr>
        <a:xfrm>
          <a:off x="10035540" y="2750820"/>
          <a:ext cx="2400300" cy="267462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aseline="0"/>
            <a:t> </a:t>
          </a:r>
          <a:r>
            <a:rPr lang="en-IN" sz="1100"/>
            <a:t>INSIGHTS</a:t>
          </a:r>
        </a:p>
        <a:p>
          <a:pPr algn="l"/>
          <a:r>
            <a:rPr lang="en-IN" sz="1000">
              <a:solidFill>
                <a:schemeClr val="tx1"/>
              </a:solidFill>
            </a:rPr>
            <a:t>-&gt;</a:t>
          </a:r>
          <a:r>
            <a:rPr lang="en-IN" sz="1000"/>
            <a:t>Bangalore &amp; Mumbai have the highest          Delivery TAT (5 days), whereas Chennai &amp;</a:t>
          </a:r>
        </a:p>
        <a:p>
          <a:pPr algn="l"/>
          <a:r>
            <a:rPr lang="en-IN" sz="1000"/>
            <a:t>Delhi are faster at 4 days — faster turnaround operationally.</a:t>
          </a:r>
        </a:p>
        <a:p>
          <a:pPr algn="l"/>
          <a:r>
            <a:rPr lang="en-IN" sz="1000">
              <a:solidFill>
                <a:schemeClr val="tx1"/>
              </a:solidFill>
            </a:rPr>
            <a:t>-&gt;</a:t>
          </a:r>
          <a:r>
            <a:rPr lang="en-IN" sz="1000"/>
            <a:t>Hot leads show noticeably stronger conversion compared to Warm/Cold segments — prioritizing Hot follow-ups can improve overall conversions.</a:t>
          </a:r>
        </a:p>
        <a:p>
          <a:pPr algn="l"/>
          <a:r>
            <a:rPr lang="en-IN" sz="1000">
              <a:solidFill>
                <a:schemeClr val="tx1"/>
              </a:solidFill>
            </a:rPr>
            <a:t>-&gt;</a:t>
          </a:r>
          <a:r>
            <a:rPr lang="en-IN" sz="1000"/>
            <a:t>Price remains the most frequent cancellation cause — improving pricing communication &amp; transparency could reduce cancellations.</a:t>
          </a:r>
        </a:p>
        <a:p>
          <a:pPr algn="l"/>
          <a:r>
            <a:rPr lang="en-IN" sz="1000">
              <a:solidFill>
                <a:schemeClr val="tx1"/>
              </a:solidFill>
            </a:rPr>
            <a:t>-&gt;</a:t>
          </a:r>
          <a:r>
            <a:rPr lang="en-IN" sz="1000"/>
            <a:t>NPS varies significantly across stores — Bangalore records the lowest satisfaction and needs targeted improvements.</a:t>
          </a:r>
        </a:p>
      </xdr:txBody>
    </xdr:sp>
    <xdr:clientData/>
  </xdr:twoCellAnchor>
  <xdr:twoCellAnchor>
    <xdr:from>
      <xdr:col>0</xdr:col>
      <xdr:colOff>579120</xdr:colOff>
      <xdr:row>33</xdr:row>
      <xdr:rowOff>15240</xdr:rowOff>
    </xdr:from>
    <xdr:to>
      <xdr:col>5</xdr:col>
      <xdr:colOff>586740</xdr:colOff>
      <xdr:row>49</xdr:row>
      <xdr:rowOff>83820</xdr:rowOff>
    </xdr:to>
    <xdr:graphicFrame macro="">
      <xdr:nvGraphicFramePr>
        <xdr:cNvPr id="18" name="Chart 17">
          <a:extLst>
            <a:ext uri="{FF2B5EF4-FFF2-40B4-BE49-F238E27FC236}">
              <a16:creationId xmlns:a16="http://schemas.microsoft.com/office/drawing/2014/main" id="{F2D43506-07B4-43BF-AECA-CBA90BE77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220980</xdr:colOff>
      <xdr:row>33</xdr:row>
      <xdr:rowOff>15240</xdr:rowOff>
    </xdr:from>
    <xdr:to>
      <xdr:col>20</xdr:col>
      <xdr:colOff>289560</xdr:colOff>
      <xdr:row>49</xdr:row>
      <xdr:rowOff>83820</xdr:rowOff>
    </xdr:to>
    <xdr:graphicFrame macro="">
      <xdr:nvGraphicFramePr>
        <xdr:cNvPr id="20" name="Chart 19">
          <a:extLst>
            <a:ext uri="{FF2B5EF4-FFF2-40B4-BE49-F238E27FC236}">
              <a16:creationId xmlns:a16="http://schemas.microsoft.com/office/drawing/2014/main" id="{31DCC6E3-C030-4221-B4F0-FCB848C6F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99060</xdr:colOff>
      <xdr:row>33</xdr:row>
      <xdr:rowOff>7620</xdr:rowOff>
    </xdr:from>
    <xdr:to>
      <xdr:col>8</xdr:col>
      <xdr:colOff>502920</xdr:colOff>
      <xdr:row>43</xdr:row>
      <xdr:rowOff>30480</xdr:rowOff>
    </xdr:to>
    <mc:AlternateContent xmlns:mc="http://schemas.openxmlformats.org/markup-compatibility/2006" xmlns:a14="http://schemas.microsoft.com/office/drawing/2010/main">
      <mc:Choice Requires="a14">
        <xdr:graphicFrame macro="">
          <xdr:nvGraphicFramePr>
            <xdr:cNvPr id="21" name="Cancellation Reason 2">
              <a:extLst>
                <a:ext uri="{FF2B5EF4-FFF2-40B4-BE49-F238E27FC236}">
                  <a16:creationId xmlns:a16="http://schemas.microsoft.com/office/drawing/2014/main" id="{32F85B9A-EC79-4513-AA62-59FBD3DB6F3F}"/>
                </a:ext>
              </a:extLst>
            </xdr:cNvPr>
            <xdr:cNvGraphicFramePr/>
          </xdr:nvGraphicFramePr>
          <xdr:xfrm>
            <a:off x="0" y="0"/>
            <a:ext cx="0" cy="0"/>
          </xdr:xfrm>
          <a:graphic>
            <a:graphicData uri="http://schemas.microsoft.com/office/drawing/2010/slicer">
              <sle:slicer xmlns:sle="http://schemas.microsoft.com/office/drawing/2010/slicer" name="Cancellation Reason 2"/>
            </a:graphicData>
          </a:graphic>
        </xdr:graphicFrame>
      </mc:Choice>
      <mc:Fallback xmlns="">
        <xdr:sp macro="" textlink="">
          <xdr:nvSpPr>
            <xdr:cNvPr id="0" name=""/>
            <xdr:cNvSpPr>
              <a:spLocks noTextEdit="1"/>
            </xdr:cNvSpPr>
          </xdr:nvSpPr>
          <xdr:spPr>
            <a:xfrm>
              <a:off x="3756660" y="6126480"/>
              <a:ext cx="162306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45721</xdr:colOff>
      <xdr:row>33</xdr:row>
      <xdr:rowOff>7620</xdr:rowOff>
    </xdr:from>
    <xdr:to>
      <xdr:col>14</xdr:col>
      <xdr:colOff>53341</xdr:colOff>
      <xdr:row>49</xdr:row>
      <xdr:rowOff>76199</xdr:rowOff>
    </xdr:to>
    <xdr:graphicFrame macro="">
      <xdr:nvGraphicFramePr>
        <xdr:cNvPr id="22" name="Chart 21">
          <a:extLst>
            <a:ext uri="{FF2B5EF4-FFF2-40B4-BE49-F238E27FC236}">
              <a16:creationId xmlns:a16="http://schemas.microsoft.com/office/drawing/2014/main" id="{7B290887-139B-4C19-870B-C8D20A3A4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99060</xdr:colOff>
      <xdr:row>43</xdr:row>
      <xdr:rowOff>30480</xdr:rowOff>
    </xdr:from>
    <xdr:to>
      <xdr:col>8</xdr:col>
      <xdr:colOff>487680</xdr:colOff>
      <xdr:row>49</xdr:row>
      <xdr:rowOff>83820</xdr:rowOff>
    </xdr:to>
    <mc:AlternateContent xmlns:mc="http://schemas.openxmlformats.org/markup-compatibility/2006" xmlns:a14="http://schemas.microsoft.com/office/drawing/2010/main">
      <mc:Choice Requires="a14">
        <xdr:graphicFrame macro="">
          <xdr:nvGraphicFramePr>
            <xdr:cNvPr id="23" name="Lead Type 2">
              <a:extLst>
                <a:ext uri="{FF2B5EF4-FFF2-40B4-BE49-F238E27FC236}">
                  <a16:creationId xmlns:a16="http://schemas.microsoft.com/office/drawing/2014/main" id="{1AF9B581-DEEF-4725-907E-5FAEA5BB8CB3}"/>
                </a:ext>
              </a:extLst>
            </xdr:cNvPr>
            <xdr:cNvGraphicFramePr/>
          </xdr:nvGraphicFramePr>
          <xdr:xfrm>
            <a:off x="0" y="0"/>
            <a:ext cx="0" cy="0"/>
          </xdr:xfrm>
          <a:graphic>
            <a:graphicData uri="http://schemas.microsoft.com/office/drawing/2010/slicer">
              <sle:slicer xmlns:sle="http://schemas.microsoft.com/office/drawing/2010/slicer" name="Lead Type 2"/>
            </a:graphicData>
          </a:graphic>
        </xdr:graphicFrame>
      </mc:Choice>
      <mc:Fallback xmlns="">
        <xdr:sp macro="" textlink="">
          <xdr:nvSpPr>
            <xdr:cNvPr id="0" name=""/>
            <xdr:cNvSpPr>
              <a:spLocks noTextEdit="1"/>
            </xdr:cNvSpPr>
          </xdr:nvSpPr>
          <xdr:spPr>
            <a:xfrm>
              <a:off x="3756660" y="7978140"/>
              <a:ext cx="160782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487681</xdr:colOff>
      <xdr:row>0</xdr:row>
      <xdr:rowOff>121921</xdr:rowOff>
    </xdr:from>
    <xdr:to>
      <xdr:col>2</xdr:col>
      <xdr:colOff>350521</xdr:colOff>
      <xdr:row>2</xdr:row>
      <xdr:rowOff>21323</xdr:rowOff>
    </xdr:to>
    <xdr:pic>
      <xdr:nvPicPr>
        <xdr:cNvPr id="24" name="Picture 23">
          <a:extLst>
            <a:ext uri="{FF2B5EF4-FFF2-40B4-BE49-F238E27FC236}">
              <a16:creationId xmlns:a16="http://schemas.microsoft.com/office/drawing/2014/main" id="{A916188D-A381-4169-ADE6-1FB905D77B1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87681" y="121921"/>
          <a:ext cx="1082040" cy="348982"/>
        </a:xfrm>
        <a:prstGeom prst="rect">
          <a:avLst/>
        </a:prstGeom>
      </xdr:spPr>
    </xdr:pic>
    <xdr:clientData/>
  </xdr:twoCellAnchor>
  <xdr:twoCellAnchor>
    <xdr:from>
      <xdr:col>18</xdr:col>
      <xdr:colOff>464820</xdr:colOff>
      <xdr:row>13</xdr:row>
      <xdr:rowOff>0</xdr:rowOff>
    </xdr:from>
    <xdr:to>
      <xdr:col>20</xdr:col>
      <xdr:colOff>281940</xdr:colOff>
      <xdr:row>14</xdr:row>
      <xdr:rowOff>0</xdr:rowOff>
    </xdr:to>
    <xdr:sp macro="" textlink="">
      <xdr:nvSpPr>
        <xdr:cNvPr id="5" name="Rectangle 4">
          <a:extLst>
            <a:ext uri="{FF2B5EF4-FFF2-40B4-BE49-F238E27FC236}">
              <a16:creationId xmlns:a16="http://schemas.microsoft.com/office/drawing/2014/main" id="{1A2302D1-E61E-4E52-87BB-88EF7DDD996B}"/>
            </a:ext>
          </a:extLst>
        </xdr:cNvPr>
        <xdr:cNvSpPr/>
      </xdr:nvSpPr>
      <xdr:spPr>
        <a:xfrm>
          <a:off x="11437620" y="2461260"/>
          <a:ext cx="1036320" cy="18288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t>
          </a:r>
        </a:p>
      </xdr:txBody>
    </xdr:sp>
    <xdr:clientData/>
  </xdr:twoCellAnchor>
  <xdr:twoCellAnchor>
    <xdr:from>
      <xdr:col>18</xdr:col>
      <xdr:colOff>480060</xdr:colOff>
      <xdr:row>31</xdr:row>
      <xdr:rowOff>0</xdr:rowOff>
    </xdr:from>
    <xdr:to>
      <xdr:col>20</xdr:col>
      <xdr:colOff>297180</xdr:colOff>
      <xdr:row>32</xdr:row>
      <xdr:rowOff>0</xdr:rowOff>
    </xdr:to>
    <xdr:sp macro="" textlink="">
      <xdr:nvSpPr>
        <xdr:cNvPr id="6" name="Rectangle 5">
          <a:extLst>
            <a:ext uri="{FF2B5EF4-FFF2-40B4-BE49-F238E27FC236}">
              <a16:creationId xmlns:a16="http://schemas.microsoft.com/office/drawing/2014/main" id="{98243516-7229-494B-898A-6ADD5D6FB8BA}"/>
            </a:ext>
          </a:extLst>
        </xdr:cNvPr>
        <xdr:cNvSpPr/>
      </xdr:nvSpPr>
      <xdr:spPr>
        <a:xfrm>
          <a:off x="11452860" y="5753100"/>
          <a:ext cx="1036320" cy="18288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2.971734722225" backgroundQuery="1" createdVersion="8" refreshedVersion="8" minRefreshableVersion="3" recordCount="0" supportSubquery="1" supportAdvancedDrill="1" xr:uid="{9C0308E0-07B8-452E-900C-70A49A35EC8A}">
  <cacheSource type="external" connectionId="3"/>
  <cacheFields count="3">
    <cacheField name="[Sheet1].[Store Name].[Store Name]" caption="Store Name" numFmtId="0" hierarchy="1" level="1">
      <sharedItems count="4">
        <s v="Bangalore MBC"/>
        <s v="Chennai MBC"/>
        <s v="Delhi MBC"/>
        <s v="Mumbai MBC"/>
      </sharedItems>
    </cacheField>
    <cacheField name="[Sheet1].[Cancellation Reason].[Cancellation Reason]" caption="Cancellation Reason" numFmtId="0" hierarchy="8" level="1">
      <sharedItems count="6">
        <s v="Changed Mind"/>
        <s v="Financing Issue"/>
        <s v="Model Unavailable"/>
        <s v="Not Cancelled"/>
        <s v="Other"/>
        <s v="Price"/>
      </sharedItems>
    </cacheField>
    <cacheField name="[Measures].[Count of Cancellation Status]" caption="Count of Cancellation Status" numFmtId="0" hierarchy="53" level="32767"/>
  </cacheFields>
  <cacheHierarchies count="58">
    <cacheHierarchy uniqueName="[Sheet1].[Lead ID]" caption="Lead ID" attribute="1" defaultMemberUniqueName="[Sheet1].[Lead ID].[All]" allUniqueName="[Sheet1].[Lead ID].[All]" dimensionUniqueName="[Sheet1]" displayFolder="" count="2" memberValueDatatype="130" unbalanced="0"/>
    <cacheHierarchy uniqueName="[Sheet1].[Store Name]" caption="Store Name" attribute="1" defaultMemberUniqueName="[Sheet1].[Store Name].[All]" allUniqueName="[Sheet1].[Store Name].[All]" dimensionUniqueName="[Sheet1]" displayFolder="" count="2" memberValueDatatype="130" unbalanced="0">
      <fieldsUsage count="2">
        <fieldUsage x="-1"/>
        <fieldUsage x="0"/>
      </fieldsUsage>
    </cacheHierarchy>
    <cacheHierarchy uniqueName="[Sheet1].[Lead Type]" caption="Lead Type" attribute="1" defaultMemberUniqueName="[Sheet1].[Lead Type].[All]" allUniqueName="[Sheet1].[Lead Type].[All]" dimensionUniqueName="[Sheet1]" displayFolder="" count="2" memberValueDatatype="130" unbalanced="0"/>
    <cacheHierarchy uniqueName="[Sheet1].[Lead Date]" caption="Lead Date" attribute="1" time="1" defaultMemberUniqueName="[Sheet1].[Lead Date].[All]" allUniqueName="[Sheet1].[Lead Date].[All]" dimensionUniqueName="[Sheet1]" displayFolder="" count="2" memberValueDatatype="7" unbalanced="0"/>
    <cacheHierarchy uniqueName="[Sheet1].[Pre-Booking Date]" caption="Pre-Booking Date" attribute="1" time="1" defaultMemberUniqueName="[Sheet1].[Pre-Booking Date].[All]" allUniqueName="[Sheet1].[Pre-Booking Date].[All]" dimensionUniqueName="[Sheet1]" displayFolder="" count="2" memberValueDatatype="7" unbalanced="0"/>
    <cacheHierarchy uniqueName="[Sheet1].[Booking Date]" caption="Booking Date" attribute="1" time="1" defaultMemberUniqueName="[Sheet1].[Booking Date].[All]" allUniqueName="[Sheet1].[Booking Date].[All]" dimensionUniqueName="[Sheet1]" displayFolder="" count="2" memberValueDatatype="7" unbalanced="0"/>
    <cacheHierarchy uniqueName="[Sheet1].[Delivery Date]" caption="Delivery Date" attribute="1" time="1" defaultMemberUniqueName="[Sheet1].[Delivery Date].[All]" allUniqueName="[Sheet1].[Delivery Date].[All]" dimensionUniqueName="[Sheet1]" displayFolder="" count="2" memberValueDatatype="7" unbalanced="0"/>
    <cacheHierarchy uniqueName="[Sheet1].[Cancellation Status]" caption="Cancellation Status" attribute="1" defaultMemberUniqueName="[Sheet1].[Cancellation Status].[All]" allUniqueName="[Sheet1].[Cancellation Status].[All]" dimensionUniqueName="[Sheet1]" displayFolder="" count="2" memberValueDatatype="130" unbalanced="0"/>
    <cacheHierarchy uniqueName="[Sheet1].[Cancellation Reason]" caption="Cancellation Reason" attribute="1" defaultMemberUniqueName="[Sheet1].[Cancellation Reason].[All]" allUniqueName="[Sheet1].[Cancellation Reason].[All]" dimensionUniqueName="[Sheet1]" displayFolder="" count="2" memberValueDatatype="130" unbalanced="0">
      <fieldsUsage count="2">
        <fieldUsage x="-1"/>
        <fieldUsage x="1"/>
      </fieldsUsage>
    </cacheHierarchy>
    <cacheHierarchy uniqueName="[Sheet1].[Service Follow-up Date]" caption="Service Follow-up Date" attribute="1" time="1" defaultMemberUniqueName="[Sheet1].[Service Follow-up Date].[All]" allUniqueName="[Sheet1].[Service Follow-up Date].[All]" dimensionUniqueName="[Sheet1]" displayFolder="" count="2" memberValueDatatype="7" unbalanced="0"/>
    <cacheHierarchy uniqueName="[Sheet1].[TAT Pre-Booking (Days)]" caption="TAT Pre-Booking (Days)" attribute="1" defaultMemberUniqueName="[Sheet1].[TAT Pre-Booking (Days)].[All]" allUniqueName="[Sheet1].[TAT Pre-Booking (Days)].[All]" dimensionUniqueName="[Sheet1]" displayFolder="" count="2" memberValueDatatype="20" unbalanced="0"/>
    <cacheHierarchy uniqueName="[Sheet1].[TAT Booking (Days)]" caption="TAT Booking (Days)" attribute="1" defaultMemberUniqueName="[Sheet1].[TAT Booking (Days)].[All]" allUniqueName="[Sheet1].[TAT Booking (Days)].[All]" dimensionUniqueName="[Sheet1]" displayFolder="" count="2" memberValueDatatype="20" unbalanced="0"/>
    <cacheHierarchy uniqueName="[Sheet1].[TAT Delivery (Days)]" caption="TAT Delivery (Days)" attribute="1" defaultMemberUniqueName="[Sheet1].[TAT Delivery (Days)].[All]" allUniqueName="[Sheet1].[TAT Delivery (Days)].[All]" dimensionUniqueName="[Sheet1]" displayFolder="" count="2" memberValueDatatype="20" unbalanced="0"/>
    <cacheHierarchy uniqueName="[Sheet1].[Customer Rating]" caption="Customer Rating" attribute="1" defaultMemberUniqueName="[Sheet1].[Customer Rating].[All]" allUniqueName="[Sheet1].[Customer Rating].[All]" dimensionUniqueName="[Sheet1]" displayFolder="" count="2" memberValueDatatype="20" unbalanced="0"/>
    <cacheHierarchy uniqueName="[Sheet1].[Pre-Booking Date (Month)]" caption="Pre-Booking Date (Month)" attribute="1" defaultMemberUniqueName="[Sheet1].[Pre-Booking Date (Month)].[All]" allUniqueName="[Sheet1].[Pre-Booking Date (Month)].[All]" dimensionUniqueName="[Sheet1]" displayFolder="" count="2" memberValueDatatype="130" unbalanced="0"/>
    <cacheHierarchy uniqueName="[Sheet1].[Delivery Date (Month)]" caption="Delivery Date (Month)" attribute="1" defaultMemberUniqueName="[Sheet1].[Delivery Date (Month)].[All]" allUniqueName="[Sheet1].[Delivery Date (Month)].[All]" dimensionUniqueName="[Sheet1]" displayFolder="" count="2" memberValueDatatype="130" unbalanced="0"/>
    <cacheHierarchy uniqueName="[Sheet1 1].[Lead ID]" caption="Lead ID" attribute="1" defaultMemberUniqueName="[Sheet1 1].[Lead ID].[All]" allUniqueName="[Sheet1 1].[Lead ID].[All]" dimensionUniqueName="[Sheet1 1]" displayFolder="" count="2" memberValueDatatype="130" unbalanced="0"/>
    <cacheHierarchy uniqueName="[Sheet1 1].[Store Name]" caption="Store Name" attribute="1" defaultMemberUniqueName="[Sheet1 1].[Store Name].[All]" allUniqueName="[Sheet1 1].[Store Name].[All]" dimensionUniqueName="[Sheet1 1]" displayFolder="" count="2" memberValueDatatype="130" unbalanced="0"/>
    <cacheHierarchy uniqueName="[Sheet1 1].[Lead Type]" caption="Lead Type" attribute="1" defaultMemberUniqueName="[Sheet1 1].[Lead Type].[All]" allUniqueName="[Sheet1 1].[Lead Type].[All]" dimensionUniqueName="[Sheet1 1]" displayFolder="" count="2" memberValueDatatype="130" unbalanced="0"/>
    <cacheHierarchy uniqueName="[Sheet1 1].[Lead Date]" caption="Lead Date" attribute="1" time="1" defaultMemberUniqueName="[Sheet1 1].[Lead Date].[All]" allUniqueName="[Sheet1 1].[Lead Date].[All]" dimensionUniqueName="[Sheet1 1]" displayFolder="" count="2" memberValueDatatype="7" unbalanced="0"/>
    <cacheHierarchy uniqueName="[Sheet1 1].[Pre-Booking Date]" caption="Pre-Booking Date" attribute="1" time="1" defaultMemberUniqueName="[Sheet1 1].[Pre-Booking Date].[All]" allUniqueName="[Sheet1 1].[Pre-Booking Date].[All]" dimensionUniqueName="[Sheet1 1]" displayFolder="" count="2" memberValueDatatype="7" unbalanced="0"/>
    <cacheHierarchy uniqueName="[Sheet1 1].[Booking Date]" caption="Booking Date" attribute="1" time="1" defaultMemberUniqueName="[Sheet1 1].[Booking Date].[All]" allUniqueName="[Sheet1 1].[Booking Date].[All]" dimensionUniqueName="[Sheet1 1]" displayFolder="" count="2" memberValueDatatype="7" unbalanced="0"/>
    <cacheHierarchy uniqueName="[Sheet1 1].[Delivery Date]" caption="Delivery Date" attribute="1" time="1" defaultMemberUniqueName="[Sheet1 1].[Delivery Date].[All]" allUniqueName="[Sheet1 1].[Delivery Date].[All]" dimensionUniqueName="[Sheet1 1]" displayFolder="" count="2" memberValueDatatype="7" unbalanced="0"/>
    <cacheHierarchy uniqueName="[Sheet1 1].[Cancellation Status]" caption="Cancellation Status" attribute="1" defaultMemberUniqueName="[Sheet1 1].[Cancellation Status].[All]" allUniqueName="[Sheet1 1].[Cancellation Status].[All]" dimensionUniqueName="[Sheet1 1]" displayFolder="" count="2" memberValueDatatype="130" unbalanced="0"/>
    <cacheHierarchy uniqueName="[Sheet1 1].[Cancellation update]" caption="Cancellation update" attribute="1" defaultMemberUniqueName="[Sheet1 1].[Cancellation update].[All]" allUniqueName="[Sheet1 1].[Cancellation update].[All]" dimensionUniqueName="[Sheet1 1]" displayFolder="" count="2" memberValueDatatype="20" unbalanced="0"/>
    <cacheHierarchy uniqueName="[Sheet1 1].[Cancellation Reason]" caption="Cancellation Reason" attribute="1" defaultMemberUniqueName="[Sheet1 1].[Cancellation Reason].[All]" allUniqueName="[Sheet1 1].[Cancellation Reason].[All]" dimensionUniqueName="[Sheet1 1]" displayFolder="" count="2" memberValueDatatype="130" unbalanced="0"/>
    <cacheHierarchy uniqueName="[Sheet1 1].[Service Follow-up Date]" caption="Service Follow-up Date" attribute="1" time="1" defaultMemberUniqueName="[Sheet1 1].[Service Follow-up Date].[All]" allUniqueName="[Sheet1 1].[Service Follow-up Date].[All]" dimensionUniqueName="[Sheet1 1]" displayFolder="" count="2" memberValueDatatype="7" unbalanced="0"/>
    <cacheHierarchy uniqueName="[Sheet1 1].[TAT Pre-Booking (Days)]" caption="TAT Pre-Booking (Days)" attribute="1" defaultMemberUniqueName="[Sheet1 1].[TAT Pre-Booking (Days)].[All]" allUniqueName="[Sheet1 1].[TAT Pre-Booking (Days)].[All]" dimensionUniqueName="[Sheet1 1]" displayFolder="" count="2" memberValueDatatype="20" unbalanced="0"/>
    <cacheHierarchy uniqueName="[Sheet1 1].[TAT Booking (Days)]" caption="TAT Booking (Days)" attribute="1" defaultMemberUniqueName="[Sheet1 1].[TAT Booking (Days)].[All]" allUniqueName="[Sheet1 1].[TAT Booking (Days)].[All]" dimensionUniqueName="[Sheet1 1]" displayFolder="" count="2" memberValueDatatype="20" unbalanced="0"/>
    <cacheHierarchy uniqueName="[Sheet1 1].[TAT Delivery (Days)]" caption="TAT Delivery (Days)" attribute="1" defaultMemberUniqueName="[Sheet1 1].[TAT Delivery (Days)].[All]" allUniqueName="[Sheet1 1].[TAT Delivery (Days)].[All]" dimensionUniqueName="[Sheet1 1]" displayFolder="" count="2" memberValueDatatype="20" unbalanced="0"/>
    <cacheHierarchy uniqueName="[Sheet1 1].[Customer Rating]" caption="Customer Rating" attribute="1" defaultMemberUniqueName="[Sheet1 1].[Customer Rating].[All]" allUniqueName="[Sheet1 1].[Customer Rating].[All]" dimensionUniqueName="[Sheet1 1]" displayFolder="" count="2" memberValueDatatype="20" unbalanced="0"/>
    <cacheHierarchy uniqueName="[Sheet1 1].[NPS Category]" caption="NPS Category" attribute="1" defaultMemberUniqueName="[Sheet1 1].[NPS Category].[All]" allUniqueName="[Sheet1 1].[NPS Category].[All]" dimensionUniqueName="[Sheet1 1]" displayFolder="" count="2" memberValueDatatype="130" unbalanced="0"/>
    <cacheHierarchy uniqueName="[Sheet1 1].[Pre-Booking Date (Month Index)]" caption="Pre-Booking Date (Month Index)" attribute="1" defaultMemberUniqueName="[Sheet1 1].[Pre-Booking Date (Month Index)].[All]" allUniqueName="[Sheet1 1].[Pre-Booking Date (Month Index)].[All]" dimensionUniqueName="[Sheet1 1]" displayFolder="" count="2" memberValueDatatype="20" unbalanced="0"/>
    <cacheHierarchy uniqueName="[Sheet1 1].[Pre-Booking Date (Month)]" caption="Pre-Booking Date (Month)" attribute="1" defaultMemberUniqueName="[Sheet1 1].[Pre-Booking Date (Month)].[All]" allUniqueName="[Sheet1 1].[Pre-Booking Date (Month)].[All]" dimensionUniqueName="[Sheet1 1]" displayFolder="" count="2" memberValueDatatype="130" unbalanced="0"/>
    <cacheHierarchy uniqueName="[Sheet1 1].[Delivery Date (Month Index)]" caption="Delivery Date (Month Index)" attribute="1" defaultMemberUniqueName="[Sheet1 1].[Delivery Date (Month Index)].[All]" allUniqueName="[Sheet1 1].[Delivery Date (Month Index)].[All]" dimensionUniqueName="[Sheet1 1]" displayFolder="" count="2" memberValueDatatype="20" unbalanced="0"/>
    <cacheHierarchy uniqueName="[Sheet1 1].[Delivery Date (Month)]" caption="Delivery Date (Month)" attribute="1" defaultMemberUniqueName="[Sheet1 1].[Delivery Date (Month)].[All]" allUniqueName="[Sheet1 1].[Delivery Date (Month)].[All]" dimensionUniqueName="[Sheet1 1]" displayFolder="" count="2" memberValueDatatype="130" unbalanced="0"/>
    <cacheHierarchy uniqueName="[Sheet1].[Delivery Date (Month Index)]" caption="Delivery Date (Month Index)" attribute="1" defaultMemberUniqueName="[Sheet1].[Delivery Date (Month Index)].[All]" allUniqueName="[Sheet1].[Delivery Date (Month Index)].[All]" dimensionUniqueName="[Sheet1]" displayFolder="" count="2" memberValueDatatype="20" unbalanced="0" hidden="1"/>
    <cacheHierarchy uniqueName="[Sheet1].[Pre-Booking Date (Month Index)]" caption="Pre-Booking Date (Month Index)" attribute="1" defaultMemberUniqueName="[Sheet1].[Pre-Booking Date (Month Index)].[All]" allUniqueName="[Sheet1].[Pre-Booking Date (Month Index)].[All]" dimensionUniqueName="[Sheet1]" displayFolder="" count="2" memberValueDatatype="20" unbalanced="0" hidden="1"/>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Count of Lead Date]" caption="Count of Lead Date" measure="1" displayFolder="" measureGroup="Sheet1" count="0" hidden="1">
      <extLst>
        <ext xmlns:x15="http://schemas.microsoft.com/office/spreadsheetml/2010/11/main" uri="{B97F6D7D-B522-45F9-BDA1-12C45D357490}">
          <x15:cacheHierarchy aggregatedColumn="3"/>
        </ext>
      </extLst>
    </cacheHierarchy>
    <cacheHierarchy uniqueName="[Measures].[Count of Pre-Booking Date (Month)]" caption="Count of Pre-Booking Date (Month)" measure="1" displayFolder="" measureGroup="Sheet1" count="0" hidden="1">
      <extLst>
        <ext xmlns:x15="http://schemas.microsoft.com/office/spreadsheetml/2010/11/main" uri="{B97F6D7D-B522-45F9-BDA1-12C45D357490}">
          <x15:cacheHierarchy aggregatedColumn="14"/>
        </ext>
      </extLst>
    </cacheHierarchy>
    <cacheHierarchy uniqueName="[Measures].[Count of Pre-Booking Date]" caption="Count of Pre-Booking Date" measure="1" displayFolder="" measureGroup="Sheet1" count="0" hidden="1">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Sheet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Sheet1" count="0" hidden="1">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Sheet1" count="0" hidden="1">
      <extLst>
        <ext xmlns:x15="http://schemas.microsoft.com/office/spreadsheetml/2010/11/main" uri="{B97F6D7D-B522-45F9-BDA1-12C45D357490}">
          <x15:cacheHierarchy aggregatedColumn="0"/>
        </ext>
      </extLst>
    </cacheHierarchy>
    <cacheHierarchy uniqueName="[Measures].[Sum of TAT Pre-Booking (Days)]" caption="Sum of TAT Pre-Booking (Days)" measure="1" displayFolder="" measureGroup="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Sheet1" count="0" hidden="1">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Sheet1" count="0" hidden="1">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Sheet1" count="0" hidden="1">
      <extLst>
        <ext xmlns:x15="http://schemas.microsoft.com/office/spreadsheetml/2010/11/main" uri="{B97F6D7D-B522-45F9-BDA1-12C45D357490}">
          <x15:cacheHierarchy aggregatedColumn="12"/>
        </ext>
      </extLst>
    </cacheHierarchy>
    <cacheHierarchy uniqueName="[Measures].[Count of Cancellation Status]" caption="Count of Cancellation Status" measure="1" displayFolder="" measureGroup="Sheet1"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NPS Category]" caption="Count of NPS Category" measure="1" displayFolder="" measureGroup="Sheet1 1" count="0" hidden="1">
      <extLst>
        <ext xmlns:x15="http://schemas.microsoft.com/office/spreadsheetml/2010/11/main" uri="{B97F6D7D-B522-45F9-BDA1-12C45D357490}">
          <x15:cacheHierarchy aggregatedColumn="31"/>
        </ext>
      </extLst>
    </cacheHierarchy>
    <cacheHierarchy uniqueName="[Measures].[Sum of Customer Rating]" caption="Sum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Customer Rating]" caption="Count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Lead ID 2]" caption="Count of Lead ID 2" measure="1" displayFolder="" measureGroup="Sheet1 1"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2.971734953702" backgroundQuery="1" createdVersion="8" refreshedVersion="8" minRefreshableVersion="3" recordCount="0" supportSubquery="1" supportAdvancedDrill="1" xr:uid="{2716E7E0-C7A7-42A5-9F96-169FBBFF69B9}">
  <cacheSource type="external" connectionId="3"/>
  <cacheFields count="6">
    <cacheField name="[Sheet1].[Store Name].[Store Name]" caption="Store Name" numFmtId="0" hierarchy="1" level="1">
      <sharedItems count="4">
        <s v="Bangalore MBC"/>
        <s v="Chennai MBC"/>
        <s v="Delhi MBC"/>
        <s v="Mumbai MBC"/>
      </sharedItems>
    </cacheField>
    <cacheField name="[Measures].[Count of Booking Date]" caption="Count of Booking Date" numFmtId="0" hierarchy="44" level="32767"/>
    <cacheField name="[Measures].[Count of Delivery Date]" caption="Count of Delivery Date" numFmtId="0" hierarchy="45" level="32767"/>
    <cacheField name="[Measures].[Count of Pre-Booking Date]" caption="Count of Pre-Booking Date" numFmtId="0" hierarchy="43" level="32767"/>
    <cacheField name="[Measures].[Count of Lead ID]" caption="Count of Lead ID" numFmtId="0" hierarchy="46" level="32767"/>
    <cacheField name="[Sheet1].[Cancellation Reason].[Cancellation Reason]" caption="Cancellation Reason" numFmtId="0" hierarchy="8" level="1">
      <sharedItems containsSemiMixedTypes="0" containsNonDate="0" containsString="0"/>
    </cacheField>
  </cacheFields>
  <cacheHierarchies count="58">
    <cacheHierarchy uniqueName="[Sheet1].[Lead ID]" caption="Lead ID" attribute="1" defaultMemberUniqueName="[Sheet1].[Lead ID].[All]" allUniqueName="[Sheet1].[Lead ID].[All]" dimensionUniqueName="[Sheet1]" displayFolder="" count="0" memberValueDatatype="130" unbalanced="0"/>
    <cacheHierarchy uniqueName="[Sheet1].[Store Name]" caption="Store Name" attribute="1" defaultMemberUniqueName="[Sheet1].[Store Name].[All]" allUniqueName="[Sheet1].[Store Name].[All]" dimensionUniqueName="[Sheet1]" displayFolder="" count="2" memberValueDatatype="130" unbalanced="0">
      <fieldsUsage count="2">
        <fieldUsage x="-1"/>
        <fieldUsage x="0"/>
      </fieldsUsage>
    </cacheHierarchy>
    <cacheHierarchy uniqueName="[Sheet1].[Lead Type]" caption="Lead Type" attribute="1" defaultMemberUniqueName="[Sheet1].[Lead Type].[All]" allUniqueName="[Sheet1].[Lead Type].[All]" dimensionUniqueName="[Sheet1]" displayFolder="" count="2" memberValueDatatype="130" unbalanced="0"/>
    <cacheHierarchy uniqueName="[Sheet1].[Lead Date]" caption="Lead Date" attribute="1" time="1" defaultMemberUniqueName="[Sheet1].[Lead Date].[All]" allUniqueName="[Sheet1].[Lead Date].[All]" dimensionUniqueName="[Sheet1]" displayFolder="" count="0" memberValueDatatype="7" unbalanced="0"/>
    <cacheHierarchy uniqueName="[Sheet1].[Pre-Booking Date]" caption="Pre-Booking Date" attribute="1" time="1" defaultMemberUniqueName="[Sheet1].[Pre-Booking Date].[All]" allUniqueName="[Sheet1].[Pre-Booking Date].[All]" dimensionUniqueName="[Sheet1]" displayFolder="" count="0" memberValueDatatype="7" unbalanced="0"/>
    <cacheHierarchy uniqueName="[Sheet1].[Booking Date]" caption="Booking Date" attribute="1" time="1" defaultMemberUniqueName="[Sheet1].[Booking Date].[All]" allUniqueName="[Sheet1].[Booking Date].[All]" dimensionUniqueName="[Sheet1]" displayFolder="" count="0" memberValueDatatype="7" unbalanced="0"/>
    <cacheHierarchy uniqueName="[Sheet1].[Delivery Date]" caption="Delivery Date" attribute="1" time="1" defaultMemberUniqueName="[Sheet1].[Delivery Date].[All]" allUniqueName="[Sheet1].[Delivery Date].[All]" dimensionUniqueName="[Sheet1]" displayFolder="" count="0" memberValueDatatype="7" unbalanced="0"/>
    <cacheHierarchy uniqueName="[Sheet1].[Cancellation Status]" caption="Cancellation Status" attribute="1" defaultMemberUniqueName="[Sheet1].[Cancellation Status].[All]" allUniqueName="[Sheet1].[Cancellation Status].[All]" dimensionUniqueName="[Sheet1]" displayFolder="" count="0" memberValueDatatype="130" unbalanced="0"/>
    <cacheHierarchy uniqueName="[Sheet1].[Cancellation Reason]" caption="Cancellation Reason" attribute="1" defaultMemberUniqueName="[Sheet1].[Cancellation Reason].[All]" allUniqueName="[Sheet1].[Cancellation Reason].[All]" dimensionUniqueName="[Sheet1]" displayFolder="" count="2" memberValueDatatype="130" unbalanced="0">
      <fieldsUsage count="2">
        <fieldUsage x="-1"/>
        <fieldUsage x="5"/>
      </fieldsUsage>
    </cacheHierarchy>
    <cacheHierarchy uniqueName="[Sheet1].[Service Follow-up Date]" caption="Service Follow-up Date" attribute="1" time="1" defaultMemberUniqueName="[Sheet1].[Service Follow-up Date].[All]" allUniqueName="[Sheet1].[Service Follow-up Date].[All]" dimensionUniqueName="[Sheet1]" displayFolder="" count="0" memberValueDatatype="7" unbalanced="0"/>
    <cacheHierarchy uniqueName="[Sheet1].[TAT Pre-Booking (Days)]" caption="TAT Pre-Booking (Days)" attribute="1" defaultMemberUniqueName="[Sheet1].[TAT Pre-Booking (Days)].[All]" allUniqueName="[Sheet1].[TAT Pre-Booking (Days)].[All]" dimensionUniqueName="[Sheet1]" displayFolder="" count="0" memberValueDatatype="20" unbalanced="0"/>
    <cacheHierarchy uniqueName="[Sheet1].[TAT Booking (Days)]" caption="TAT Booking (Days)" attribute="1" defaultMemberUniqueName="[Sheet1].[TAT Booking (Days)].[All]" allUniqueName="[Sheet1].[TAT Booking (Days)].[All]" dimensionUniqueName="[Sheet1]" displayFolder="" count="0" memberValueDatatype="20" unbalanced="0"/>
    <cacheHierarchy uniqueName="[Sheet1].[TAT Delivery (Days)]" caption="TAT Delivery (Days)" attribute="1" defaultMemberUniqueName="[Sheet1].[TAT Delivery (Days)].[All]" allUniqueName="[Sheet1].[TAT Delivery (Days)].[All]" dimensionUniqueName="[Sheet1]" displayFolder="" count="0" memberValueDatatype="20" unbalanced="0"/>
    <cacheHierarchy uniqueName="[Sheet1].[Customer Rating]" caption="Customer Rating" attribute="1" defaultMemberUniqueName="[Sheet1].[Customer Rating].[All]" allUniqueName="[Sheet1].[Customer Rating].[All]" dimensionUniqueName="[Sheet1]" displayFolder="" count="0" memberValueDatatype="20" unbalanced="0"/>
    <cacheHierarchy uniqueName="[Sheet1].[Pre-Booking Date (Month)]" caption="Pre-Booking Date (Month)" attribute="1" defaultMemberUniqueName="[Sheet1].[Pre-Booking Date (Month)].[All]" allUniqueName="[Sheet1].[Pre-Booking Date (Month)].[All]" dimensionUniqueName="[Sheet1]" displayFolder="" count="0" memberValueDatatype="130" unbalanced="0"/>
    <cacheHierarchy uniqueName="[Sheet1].[Delivery Date (Month)]" caption="Delivery Date (Month)" attribute="1" defaultMemberUniqueName="[Sheet1].[Delivery Date (Month)].[All]" allUniqueName="[Sheet1].[Delivery Date (Month)].[All]" dimensionUniqueName="[Sheet1]" displayFolder="" count="0" memberValueDatatype="130" unbalanced="0"/>
    <cacheHierarchy uniqueName="[Sheet1 1].[Lead ID]" caption="Lead ID" attribute="1" defaultMemberUniqueName="[Sheet1 1].[Lead ID].[All]" allUniqueName="[Sheet1 1].[Lead ID].[All]" dimensionUniqueName="[Sheet1 1]" displayFolder="" count="0" memberValueDatatype="130" unbalanced="0"/>
    <cacheHierarchy uniqueName="[Sheet1 1].[Store Name]" caption="Store Name" attribute="1" defaultMemberUniqueName="[Sheet1 1].[Store Name].[All]" allUniqueName="[Sheet1 1].[Store Name].[All]" dimensionUniqueName="[Sheet1 1]" displayFolder="" count="0" memberValueDatatype="130" unbalanced="0"/>
    <cacheHierarchy uniqueName="[Sheet1 1].[Lead Type]" caption="Lead Type" attribute="1" defaultMemberUniqueName="[Sheet1 1].[Lead Type].[All]" allUniqueName="[Sheet1 1].[Lead Type].[All]" dimensionUniqueName="[Sheet1 1]" displayFolder="" count="0" memberValueDatatype="130" unbalanced="0"/>
    <cacheHierarchy uniqueName="[Sheet1 1].[Lead Date]" caption="Lead Date" attribute="1" time="1" defaultMemberUniqueName="[Sheet1 1].[Lead Date].[All]" allUniqueName="[Sheet1 1].[Lead Date].[All]" dimensionUniqueName="[Sheet1 1]" displayFolder="" count="0" memberValueDatatype="7" unbalanced="0"/>
    <cacheHierarchy uniqueName="[Sheet1 1].[Pre-Booking Date]" caption="Pre-Booking Date" attribute="1" time="1" defaultMemberUniqueName="[Sheet1 1].[Pre-Booking Date].[All]" allUniqueName="[Sheet1 1].[Pre-Booking Date].[All]" dimensionUniqueName="[Sheet1 1]" displayFolder="" count="0" memberValueDatatype="7" unbalanced="0"/>
    <cacheHierarchy uniqueName="[Sheet1 1].[Booking Date]" caption="Booking Date" attribute="1" time="1" defaultMemberUniqueName="[Sheet1 1].[Booking Date].[All]" allUniqueName="[Sheet1 1].[Booking Date].[All]" dimensionUniqueName="[Sheet1 1]" displayFolder="" count="0" memberValueDatatype="7" unbalanced="0"/>
    <cacheHierarchy uniqueName="[Sheet1 1].[Delivery Date]" caption="Delivery Date" attribute="1" time="1" defaultMemberUniqueName="[Sheet1 1].[Delivery Date].[All]" allUniqueName="[Sheet1 1].[Delivery Date].[All]" dimensionUniqueName="[Sheet1 1]" displayFolder="" count="0" memberValueDatatype="7" unbalanced="0"/>
    <cacheHierarchy uniqueName="[Sheet1 1].[Cancellation Status]" caption="Cancellation Status" attribute="1" defaultMemberUniqueName="[Sheet1 1].[Cancellation Status].[All]" allUniqueName="[Sheet1 1].[Cancellation Status].[All]" dimensionUniqueName="[Sheet1 1]" displayFolder="" count="0" memberValueDatatype="130" unbalanced="0"/>
    <cacheHierarchy uniqueName="[Sheet1 1].[Cancellation update]" caption="Cancellation update" attribute="1" defaultMemberUniqueName="[Sheet1 1].[Cancellation update].[All]" allUniqueName="[Sheet1 1].[Cancellation update].[All]" dimensionUniqueName="[Sheet1 1]" displayFolder="" count="0" memberValueDatatype="20" unbalanced="0"/>
    <cacheHierarchy uniqueName="[Sheet1 1].[Cancellation Reason]" caption="Cancellation Reason" attribute="1" defaultMemberUniqueName="[Sheet1 1].[Cancellation Reason].[All]" allUniqueName="[Sheet1 1].[Cancellation Reason].[All]" dimensionUniqueName="[Sheet1 1]" displayFolder="" count="0" memberValueDatatype="130" unbalanced="0"/>
    <cacheHierarchy uniqueName="[Sheet1 1].[Service Follow-up Date]" caption="Service Follow-up Date" attribute="1" time="1" defaultMemberUniqueName="[Sheet1 1].[Service Follow-up Date].[All]" allUniqueName="[Sheet1 1].[Service Follow-up Date].[All]" dimensionUniqueName="[Sheet1 1]" displayFolder="" count="0" memberValueDatatype="7" unbalanced="0"/>
    <cacheHierarchy uniqueName="[Sheet1 1].[TAT Pre-Booking (Days)]" caption="TAT Pre-Booking (Days)" attribute="1" defaultMemberUniqueName="[Sheet1 1].[TAT Pre-Booking (Days)].[All]" allUniqueName="[Sheet1 1].[TAT Pre-Booking (Days)].[All]" dimensionUniqueName="[Sheet1 1]" displayFolder="" count="0" memberValueDatatype="20" unbalanced="0"/>
    <cacheHierarchy uniqueName="[Sheet1 1].[TAT Booking (Days)]" caption="TAT Booking (Days)" attribute="1" defaultMemberUniqueName="[Sheet1 1].[TAT Booking (Days)].[All]" allUniqueName="[Sheet1 1].[TAT Booking (Days)].[All]" dimensionUniqueName="[Sheet1 1]" displayFolder="" count="0" memberValueDatatype="20" unbalanced="0"/>
    <cacheHierarchy uniqueName="[Sheet1 1].[TAT Delivery (Days)]" caption="TAT Delivery (Days)" attribute="1" defaultMemberUniqueName="[Sheet1 1].[TAT Delivery (Days)].[All]" allUniqueName="[Sheet1 1].[TAT Delivery (Days)].[All]" dimensionUniqueName="[Sheet1 1]" displayFolder="" count="0" memberValueDatatype="20" unbalanced="0"/>
    <cacheHierarchy uniqueName="[Sheet1 1].[Customer Rating]" caption="Customer Rating" attribute="1" defaultMemberUniqueName="[Sheet1 1].[Customer Rating].[All]" allUniqueName="[Sheet1 1].[Customer Rating].[All]" dimensionUniqueName="[Sheet1 1]" displayFolder="" count="0" memberValueDatatype="20" unbalanced="0"/>
    <cacheHierarchy uniqueName="[Sheet1 1].[NPS Category]" caption="NPS Category" attribute="1" defaultMemberUniqueName="[Sheet1 1].[NPS Category].[All]" allUniqueName="[Sheet1 1].[NPS Category].[All]" dimensionUniqueName="[Sheet1 1]" displayFolder="" count="0" memberValueDatatype="130" unbalanced="0"/>
    <cacheHierarchy uniqueName="[Sheet1 1].[Pre-Booking Date (Month Index)]" caption="Pre-Booking Date (Month Index)" attribute="1" defaultMemberUniqueName="[Sheet1 1].[Pre-Booking Date (Month Index)].[All]" allUniqueName="[Sheet1 1].[Pre-Booking Date (Month Index)].[All]" dimensionUniqueName="[Sheet1 1]" displayFolder="" count="0" memberValueDatatype="20" unbalanced="0"/>
    <cacheHierarchy uniqueName="[Sheet1 1].[Pre-Booking Date (Month)]" caption="Pre-Booking Date (Month)" attribute="1" defaultMemberUniqueName="[Sheet1 1].[Pre-Booking Date (Month)].[All]" allUniqueName="[Sheet1 1].[Pre-Booking Date (Month)].[All]" dimensionUniqueName="[Sheet1 1]" displayFolder="" count="0" memberValueDatatype="130" unbalanced="0"/>
    <cacheHierarchy uniqueName="[Sheet1 1].[Delivery Date (Month Index)]" caption="Delivery Date (Month Index)" attribute="1" defaultMemberUniqueName="[Sheet1 1].[Delivery Date (Month Index)].[All]" allUniqueName="[Sheet1 1].[Delivery Date (Month Index)].[All]" dimensionUniqueName="[Sheet1 1]" displayFolder="" count="0" memberValueDatatype="20" unbalanced="0"/>
    <cacheHierarchy uniqueName="[Sheet1 1].[Delivery Date (Month)]" caption="Delivery Date (Month)" attribute="1" defaultMemberUniqueName="[Sheet1 1].[Delivery Date (Month)].[All]" allUniqueName="[Sheet1 1].[Delivery Date (Month)].[All]" dimensionUniqueName="[Sheet1 1]" displayFolder="" count="0" memberValueDatatype="130" unbalanced="0"/>
    <cacheHierarchy uniqueName="[Sheet1].[Delivery Date (Month Index)]" caption="Delivery Date (Month Index)" attribute="1" defaultMemberUniqueName="[Sheet1].[Delivery Date (Month Index)].[All]" allUniqueName="[Sheet1].[Delivery Date (Month Index)].[All]" dimensionUniqueName="[Sheet1]" displayFolder="" count="0" memberValueDatatype="20" unbalanced="0" hidden="1"/>
    <cacheHierarchy uniqueName="[Sheet1].[Pre-Booking Date (Month Index)]" caption="Pre-Booking Date (Month Index)" attribute="1" defaultMemberUniqueName="[Sheet1].[Pre-Booking Date (Month Index)].[All]" allUniqueName="[Sheet1].[Pre-Booking 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Count of Lead Date]" caption="Count of Lead Date" measure="1" displayFolder="" measureGroup="Sheet1" count="0" hidden="1">
      <extLst>
        <ext xmlns:x15="http://schemas.microsoft.com/office/spreadsheetml/2010/11/main" uri="{B97F6D7D-B522-45F9-BDA1-12C45D357490}">
          <x15:cacheHierarchy aggregatedColumn="3"/>
        </ext>
      </extLst>
    </cacheHierarchy>
    <cacheHierarchy uniqueName="[Measures].[Count of Pre-Booking Date (Month)]" caption="Count of Pre-Booking Date (Month)" measure="1" displayFolder="" measureGroup="Sheet1" count="0" hidden="1">
      <extLst>
        <ext xmlns:x15="http://schemas.microsoft.com/office/spreadsheetml/2010/11/main" uri="{B97F6D7D-B522-45F9-BDA1-12C45D357490}">
          <x15:cacheHierarchy aggregatedColumn="14"/>
        </ext>
      </extLst>
    </cacheHierarchy>
    <cacheHierarchy uniqueName="[Measures].[Count of Pre-Booking Date]" caption="Count of Pre-Booking Date" measure="1" displayFolder="" measureGroup="Sheet1"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Sheet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Sheet1"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Sheet1"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TAT Pre-Booking (Days)]" caption="Sum of TAT Pre-Booking (Days)" measure="1" displayFolder="" measureGroup="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Sheet1" count="0" hidden="1">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Sheet1" count="0" hidden="1">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Sheet1" count="0" hidden="1">
      <extLst>
        <ext xmlns:x15="http://schemas.microsoft.com/office/spreadsheetml/2010/11/main" uri="{B97F6D7D-B522-45F9-BDA1-12C45D357490}">
          <x15:cacheHierarchy aggregatedColumn="12"/>
        </ext>
      </extLst>
    </cacheHierarchy>
    <cacheHierarchy uniqueName="[Measures].[Count of Cancellation Status]" caption="Count of Cancellation Status" measure="1" displayFolder="" measureGroup="Sheet1" count="0" hidden="1">
      <extLst>
        <ext xmlns:x15="http://schemas.microsoft.com/office/spreadsheetml/2010/11/main" uri="{B97F6D7D-B522-45F9-BDA1-12C45D357490}">
          <x15:cacheHierarchy aggregatedColumn="7"/>
        </ext>
      </extLst>
    </cacheHierarchy>
    <cacheHierarchy uniqueName="[Measures].[Count of NPS Category]" caption="Count of NPS Category" measure="1" displayFolder="" measureGroup="Sheet1 1" count="0" hidden="1">
      <extLst>
        <ext xmlns:x15="http://schemas.microsoft.com/office/spreadsheetml/2010/11/main" uri="{B97F6D7D-B522-45F9-BDA1-12C45D357490}">
          <x15:cacheHierarchy aggregatedColumn="31"/>
        </ext>
      </extLst>
    </cacheHierarchy>
    <cacheHierarchy uniqueName="[Measures].[Sum of Customer Rating]" caption="Sum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Customer Rating]" caption="Count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Lead ID 2]" caption="Count of Lead ID 2" measure="1" displayFolder="" measureGroup="Sheet1 1"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2.971735416664" backgroundQuery="1" createdVersion="8" refreshedVersion="8" minRefreshableVersion="3" recordCount="0" supportSubquery="1" supportAdvancedDrill="1" xr:uid="{321F2201-31E8-4941-BCCD-1B8052FEC718}">
  <cacheSource type="external" connectionId="3"/>
  <cacheFields count="5">
    <cacheField name="[Sheet1 1].[Store Name].[Store Name]" caption="Store Name" numFmtId="0" hierarchy="17" level="1">
      <sharedItems count="4">
        <s v="Bangalore MBC"/>
        <s v="Chennai MBC"/>
        <s v="Delhi MBC"/>
        <s v="Mumbai MBC"/>
      </sharedItems>
    </cacheField>
    <cacheField name="[Sheet1 1].[NPS Category].[NPS Category]" caption="NPS Category" numFmtId="0" hierarchy="31" level="1">
      <sharedItems count="3">
        <s v="Detractor"/>
        <s v="Passive"/>
        <s v="Promoter"/>
      </sharedItems>
    </cacheField>
    <cacheField name="[Measures].[Count of Lead ID 2]" caption="Count of Lead ID 2" numFmtId="0" hierarchy="57" level="32767"/>
    <cacheField name="[Sheet1].[Cancellation Reason].[Cancellation Reason]" caption="Cancellation Reason" numFmtId="0" hierarchy="8" level="1">
      <sharedItems containsSemiMixedTypes="0" containsNonDate="0" containsString="0"/>
    </cacheField>
    <cacheField name="[Sheet1].[Store Name].[Store Name]" caption="Store Name" numFmtId="0" hierarchy="1" level="1">
      <sharedItems containsSemiMixedTypes="0" containsNonDate="0" containsString="0"/>
    </cacheField>
  </cacheFields>
  <cacheHierarchies count="58">
    <cacheHierarchy uniqueName="[Sheet1].[Lead ID]" caption="Lead ID" attribute="1" defaultMemberUniqueName="[Sheet1].[Lead ID].[All]" allUniqueName="[Sheet1].[Lead ID].[All]" dimensionUniqueName="[Sheet1]" displayFolder="" count="0" memberValueDatatype="130" unbalanced="0"/>
    <cacheHierarchy uniqueName="[Sheet1].[Store Name]" caption="Store Name" attribute="1" defaultMemberUniqueName="[Sheet1].[Store Name].[All]" allUniqueName="[Sheet1].[Store Name].[All]" dimensionUniqueName="[Sheet1]" displayFolder="" count="2" memberValueDatatype="130" unbalanced="0">
      <fieldsUsage count="2">
        <fieldUsage x="-1"/>
        <fieldUsage x="4"/>
      </fieldsUsage>
    </cacheHierarchy>
    <cacheHierarchy uniqueName="[Sheet1].[Lead Type]" caption="Lead Type" attribute="1" defaultMemberUniqueName="[Sheet1].[Lead Type].[All]" allUniqueName="[Sheet1].[Lead Type].[All]" dimensionUniqueName="[Sheet1]" displayFolder="" count="2" memberValueDatatype="130" unbalanced="0"/>
    <cacheHierarchy uniqueName="[Sheet1].[Lead Date]" caption="Lead Date" attribute="1" time="1" defaultMemberUniqueName="[Sheet1].[Lead Date].[All]" allUniqueName="[Sheet1].[Lead Date].[All]" dimensionUniqueName="[Sheet1]" displayFolder="" count="0" memberValueDatatype="7" unbalanced="0"/>
    <cacheHierarchy uniqueName="[Sheet1].[Pre-Booking Date]" caption="Pre-Booking Date" attribute="1" time="1" defaultMemberUniqueName="[Sheet1].[Pre-Booking Date].[All]" allUniqueName="[Sheet1].[Pre-Booking Date].[All]" dimensionUniqueName="[Sheet1]" displayFolder="" count="0" memberValueDatatype="7" unbalanced="0"/>
    <cacheHierarchy uniqueName="[Sheet1].[Booking Date]" caption="Booking Date" attribute="1" time="1" defaultMemberUniqueName="[Sheet1].[Booking Date].[All]" allUniqueName="[Sheet1].[Booking Date].[All]" dimensionUniqueName="[Sheet1]" displayFolder="" count="0" memberValueDatatype="7" unbalanced="0"/>
    <cacheHierarchy uniqueName="[Sheet1].[Delivery Date]" caption="Delivery Date" attribute="1" time="1" defaultMemberUniqueName="[Sheet1].[Delivery Date].[All]" allUniqueName="[Sheet1].[Delivery Date].[All]" dimensionUniqueName="[Sheet1]" displayFolder="" count="0" memberValueDatatype="7" unbalanced="0"/>
    <cacheHierarchy uniqueName="[Sheet1].[Cancellation Status]" caption="Cancellation Status" attribute="1" defaultMemberUniqueName="[Sheet1].[Cancellation Status].[All]" allUniqueName="[Sheet1].[Cancellation Status].[All]" dimensionUniqueName="[Sheet1]" displayFolder="" count="0" memberValueDatatype="130" unbalanced="0"/>
    <cacheHierarchy uniqueName="[Sheet1].[Cancellation Reason]" caption="Cancellation Reason" attribute="1" defaultMemberUniqueName="[Sheet1].[Cancellation Reason].[All]" allUniqueName="[Sheet1].[Cancellation Reason].[All]" dimensionUniqueName="[Sheet1]" displayFolder="" count="2" memberValueDatatype="130" unbalanced="0">
      <fieldsUsage count="2">
        <fieldUsage x="-1"/>
        <fieldUsage x="3"/>
      </fieldsUsage>
    </cacheHierarchy>
    <cacheHierarchy uniqueName="[Sheet1].[Service Follow-up Date]" caption="Service Follow-up Date" attribute="1" time="1" defaultMemberUniqueName="[Sheet1].[Service Follow-up Date].[All]" allUniqueName="[Sheet1].[Service Follow-up Date].[All]" dimensionUniqueName="[Sheet1]" displayFolder="" count="0" memberValueDatatype="7" unbalanced="0"/>
    <cacheHierarchy uniqueName="[Sheet1].[TAT Pre-Booking (Days)]" caption="TAT Pre-Booking (Days)" attribute="1" defaultMemberUniqueName="[Sheet1].[TAT Pre-Booking (Days)].[All]" allUniqueName="[Sheet1].[TAT Pre-Booking (Days)].[All]" dimensionUniqueName="[Sheet1]" displayFolder="" count="0" memberValueDatatype="20" unbalanced="0"/>
    <cacheHierarchy uniqueName="[Sheet1].[TAT Booking (Days)]" caption="TAT Booking (Days)" attribute="1" defaultMemberUniqueName="[Sheet1].[TAT Booking (Days)].[All]" allUniqueName="[Sheet1].[TAT Booking (Days)].[All]" dimensionUniqueName="[Sheet1]" displayFolder="" count="0" memberValueDatatype="20" unbalanced="0"/>
    <cacheHierarchy uniqueName="[Sheet1].[TAT Delivery (Days)]" caption="TAT Delivery (Days)" attribute="1" defaultMemberUniqueName="[Sheet1].[TAT Delivery (Days)].[All]" allUniqueName="[Sheet1].[TAT Delivery (Days)].[All]" dimensionUniqueName="[Sheet1]" displayFolder="" count="0" memberValueDatatype="20" unbalanced="0"/>
    <cacheHierarchy uniqueName="[Sheet1].[Customer Rating]" caption="Customer Rating" attribute="1" defaultMemberUniqueName="[Sheet1].[Customer Rating].[All]" allUniqueName="[Sheet1].[Customer Rating].[All]" dimensionUniqueName="[Sheet1]" displayFolder="" count="0" memberValueDatatype="20" unbalanced="0"/>
    <cacheHierarchy uniqueName="[Sheet1].[Pre-Booking Date (Month)]" caption="Pre-Booking Date (Month)" attribute="1" defaultMemberUniqueName="[Sheet1].[Pre-Booking Date (Month)].[All]" allUniqueName="[Sheet1].[Pre-Booking Date (Month)].[All]" dimensionUniqueName="[Sheet1]" displayFolder="" count="0" memberValueDatatype="130" unbalanced="0"/>
    <cacheHierarchy uniqueName="[Sheet1].[Delivery Date (Month)]" caption="Delivery Date (Month)" attribute="1" defaultMemberUniqueName="[Sheet1].[Delivery Date (Month)].[All]" allUniqueName="[Sheet1].[Delivery Date (Month)].[All]" dimensionUniqueName="[Sheet1]" displayFolder="" count="0" memberValueDatatype="130" unbalanced="0"/>
    <cacheHierarchy uniqueName="[Sheet1 1].[Lead ID]" caption="Lead ID" attribute="1" defaultMemberUniqueName="[Sheet1 1].[Lead ID].[All]" allUniqueName="[Sheet1 1].[Lead ID].[All]" dimensionUniqueName="[Sheet1 1]" displayFolder="" count="2" memberValueDatatype="130" unbalanced="0"/>
    <cacheHierarchy uniqueName="[Sheet1 1].[Store Name]" caption="Store Name" attribute="1" defaultMemberUniqueName="[Sheet1 1].[Store Name].[All]" allUniqueName="[Sheet1 1].[Store Name].[All]" dimensionUniqueName="[Sheet1 1]" displayFolder="" count="2" memberValueDatatype="130" unbalanced="0">
      <fieldsUsage count="2">
        <fieldUsage x="-1"/>
        <fieldUsage x="0"/>
      </fieldsUsage>
    </cacheHierarchy>
    <cacheHierarchy uniqueName="[Sheet1 1].[Lead Type]" caption="Lead Type" attribute="1" defaultMemberUniqueName="[Sheet1 1].[Lead Type].[All]" allUniqueName="[Sheet1 1].[Lead Type].[All]" dimensionUniqueName="[Sheet1 1]" displayFolder="" count="0" memberValueDatatype="130" unbalanced="0"/>
    <cacheHierarchy uniqueName="[Sheet1 1].[Lead Date]" caption="Lead Date" attribute="1" time="1" defaultMemberUniqueName="[Sheet1 1].[Lead Date].[All]" allUniqueName="[Sheet1 1].[Lead Date].[All]" dimensionUniqueName="[Sheet1 1]" displayFolder="" count="0" memberValueDatatype="7" unbalanced="0"/>
    <cacheHierarchy uniqueName="[Sheet1 1].[Pre-Booking Date]" caption="Pre-Booking Date" attribute="1" time="1" defaultMemberUniqueName="[Sheet1 1].[Pre-Booking Date].[All]" allUniqueName="[Sheet1 1].[Pre-Booking Date].[All]" dimensionUniqueName="[Sheet1 1]" displayFolder="" count="0" memberValueDatatype="7" unbalanced="0"/>
    <cacheHierarchy uniqueName="[Sheet1 1].[Booking Date]" caption="Booking Date" attribute="1" time="1" defaultMemberUniqueName="[Sheet1 1].[Booking Date].[All]" allUniqueName="[Sheet1 1].[Booking Date].[All]" dimensionUniqueName="[Sheet1 1]" displayFolder="" count="0" memberValueDatatype="7" unbalanced="0"/>
    <cacheHierarchy uniqueName="[Sheet1 1].[Delivery Date]" caption="Delivery Date" attribute="1" time="1" defaultMemberUniqueName="[Sheet1 1].[Delivery Date].[All]" allUniqueName="[Sheet1 1].[Delivery Date].[All]" dimensionUniqueName="[Sheet1 1]" displayFolder="" count="0" memberValueDatatype="7" unbalanced="0"/>
    <cacheHierarchy uniqueName="[Sheet1 1].[Cancellation Status]" caption="Cancellation Status" attribute="1" defaultMemberUniqueName="[Sheet1 1].[Cancellation Status].[All]" allUniqueName="[Sheet1 1].[Cancellation Status].[All]" dimensionUniqueName="[Sheet1 1]" displayFolder="" count="0" memberValueDatatype="130" unbalanced="0"/>
    <cacheHierarchy uniqueName="[Sheet1 1].[Cancellation update]" caption="Cancellation update" attribute="1" defaultMemberUniqueName="[Sheet1 1].[Cancellation update].[All]" allUniqueName="[Sheet1 1].[Cancellation update].[All]" dimensionUniqueName="[Sheet1 1]" displayFolder="" count="0" memberValueDatatype="20" unbalanced="0"/>
    <cacheHierarchy uniqueName="[Sheet1 1].[Cancellation Reason]" caption="Cancellation Reason" attribute="1" defaultMemberUniqueName="[Sheet1 1].[Cancellation Reason].[All]" allUniqueName="[Sheet1 1].[Cancellation Reason].[All]" dimensionUniqueName="[Sheet1 1]" displayFolder="" count="0" memberValueDatatype="130" unbalanced="0"/>
    <cacheHierarchy uniqueName="[Sheet1 1].[Service Follow-up Date]" caption="Service Follow-up Date" attribute="1" time="1" defaultMemberUniqueName="[Sheet1 1].[Service Follow-up Date].[All]" allUniqueName="[Sheet1 1].[Service Follow-up Date].[All]" dimensionUniqueName="[Sheet1 1]" displayFolder="" count="0" memberValueDatatype="7" unbalanced="0"/>
    <cacheHierarchy uniqueName="[Sheet1 1].[TAT Pre-Booking (Days)]" caption="TAT Pre-Booking (Days)" attribute="1" defaultMemberUniqueName="[Sheet1 1].[TAT Pre-Booking (Days)].[All]" allUniqueName="[Sheet1 1].[TAT Pre-Booking (Days)].[All]" dimensionUniqueName="[Sheet1 1]" displayFolder="" count="0" memberValueDatatype="20" unbalanced="0"/>
    <cacheHierarchy uniqueName="[Sheet1 1].[TAT Booking (Days)]" caption="TAT Booking (Days)" attribute="1" defaultMemberUniqueName="[Sheet1 1].[TAT Booking (Days)].[All]" allUniqueName="[Sheet1 1].[TAT Booking (Days)].[All]" dimensionUniqueName="[Sheet1 1]" displayFolder="" count="0" memberValueDatatype="20" unbalanced="0"/>
    <cacheHierarchy uniqueName="[Sheet1 1].[TAT Delivery (Days)]" caption="TAT Delivery (Days)" attribute="1" defaultMemberUniqueName="[Sheet1 1].[TAT Delivery (Days)].[All]" allUniqueName="[Sheet1 1].[TAT Delivery (Days)].[All]" dimensionUniqueName="[Sheet1 1]" displayFolder="" count="0" memberValueDatatype="20" unbalanced="0"/>
    <cacheHierarchy uniqueName="[Sheet1 1].[Customer Rating]" caption="Customer Rating" attribute="1" defaultMemberUniqueName="[Sheet1 1].[Customer Rating].[All]" allUniqueName="[Sheet1 1].[Customer Rating].[All]" dimensionUniqueName="[Sheet1 1]" displayFolder="" count="0" memberValueDatatype="20" unbalanced="0"/>
    <cacheHierarchy uniqueName="[Sheet1 1].[NPS Category]" caption="NPS Category" attribute="1" defaultMemberUniqueName="[Sheet1 1].[NPS Category].[All]" allUniqueName="[Sheet1 1].[NPS Category].[All]" dimensionUniqueName="[Sheet1 1]" displayFolder="" count="2" memberValueDatatype="130" unbalanced="0">
      <fieldsUsage count="2">
        <fieldUsage x="-1"/>
        <fieldUsage x="1"/>
      </fieldsUsage>
    </cacheHierarchy>
    <cacheHierarchy uniqueName="[Sheet1 1].[Pre-Booking Date (Month Index)]" caption="Pre-Booking Date (Month Index)" attribute="1" defaultMemberUniqueName="[Sheet1 1].[Pre-Booking Date (Month Index)].[All]" allUniqueName="[Sheet1 1].[Pre-Booking Date (Month Index)].[All]" dimensionUniqueName="[Sheet1 1]" displayFolder="" count="0" memberValueDatatype="20" unbalanced="0"/>
    <cacheHierarchy uniqueName="[Sheet1 1].[Pre-Booking Date (Month)]" caption="Pre-Booking Date (Month)" attribute="1" defaultMemberUniqueName="[Sheet1 1].[Pre-Booking Date (Month)].[All]" allUniqueName="[Sheet1 1].[Pre-Booking Date (Month)].[All]" dimensionUniqueName="[Sheet1 1]" displayFolder="" count="0" memberValueDatatype="130" unbalanced="0"/>
    <cacheHierarchy uniqueName="[Sheet1 1].[Delivery Date (Month Index)]" caption="Delivery Date (Month Index)" attribute="1" defaultMemberUniqueName="[Sheet1 1].[Delivery Date (Month Index)].[All]" allUniqueName="[Sheet1 1].[Delivery Date (Month Index)].[All]" dimensionUniqueName="[Sheet1 1]" displayFolder="" count="0" memberValueDatatype="20" unbalanced="0"/>
    <cacheHierarchy uniqueName="[Sheet1 1].[Delivery Date (Month)]" caption="Delivery Date (Month)" attribute="1" defaultMemberUniqueName="[Sheet1 1].[Delivery Date (Month)].[All]" allUniqueName="[Sheet1 1].[Delivery Date (Month)].[All]" dimensionUniqueName="[Sheet1 1]" displayFolder="" count="0" memberValueDatatype="130" unbalanced="0"/>
    <cacheHierarchy uniqueName="[Sheet1].[Delivery Date (Month Index)]" caption="Delivery Date (Month Index)" attribute="1" defaultMemberUniqueName="[Sheet1].[Delivery Date (Month Index)].[All]" allUniqueName="[Sheet1].[Delivery Date (Month Index)].[All]" dimensionUniqueName="[Sheet1]" displayFolder="" count="0" memberValueDatatype="20" unbalanced="0" hidden="1"/>
    <cacheHierarchy uniqueName="[Sheet1].[Pre-Booking Date (Month Index)]" caption="Pre-Booking Date (Month Index)" attribute="1" defaultMemberUniqueName="[Sheet1].[Pre-Booking Date (Month Index)].[All]" allUniqueName="[Sheet1].[Pre-Booking 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Count of Lead Date]" caption="Count of Lead Date" measure="1" displayFolder="" measureGroup="Sheet1" count="0" hidden="1">
      <extLst>
        <ext xmlns:x15="http://schemas.microsoft.com/office/spreadsheetml/2010/11/main" uri="{B97F6D7D-B522-45F9-BDA1-12C45D357490}">
          <x15:cacheHierarchy aggregatedColumn="3"/>
        </ext>
      </extLst>
    </cacheHierarchy>
    <cacheHierarchy uniqueName="[Measures].[Count of Pre-Booking Date (Month)]" caption="Count of Pre-Booking Date (Month)" measure="1" displayFolder="" measureGroup="Sheet1" count="0" hidden="1">
      <extLst>
        <ext xmlns:x15="http://schemas.microsoft.com/office/spreadsheetml/2010/11/main" uri="{B97F6D7D-B522-45F9-BDA1-12C45D357490}">
          <x15:cacheHierarchy aggregatedColumn="14"/>
        </ext>
      </extLst>
    </cacheHierarchy>
    <cacheHierarchy uniqueName="[Measures].[Count of Pre-Booking Date]" caption="Count of Pre-Booking Date" measure="1" displayFolder="" measureGroup="Sheet1" count="0" hidden="1">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Sheet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Sheet1" count="0" hidden="1">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Sheet1" count="0" hidden="1">
      <extLst>
        <ext xmlns:x15="http://schemas.microsoft.com/office/spreadsheetml/2010/11/main" uri="{B97F6D7D-B522-45F9-BDA1-12C45D357490}">
          <x15:cacheHierarchy aggregatedColumn="0"/>
        </ext>
      </extLst>
    </cacheHierarchy>
    <cacheHierarchy uniqueName="[Measures].[Sum of TAT Pre-Booking (Days)]" caption="Sum of TAT Pre-Booking (Days)" measure="1" displayFolder="" measureGroup="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Sheet1" count="0" hidden="1">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Sheet1" count="0" hidden="1">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Sheet1" count="0" hidden="1">
      <extLst>
        <ext xmlns:x15="http://schemas.microsoft.com/office/spreadsheetml/2010/11/main" uri="{B97F6D7D-B522-45F9-BDA1-12C45D357490}">
          <x15:cacheHierarchy aggregatedColumn="12"/>
        </ext>
      </extLst>
    </cacheHierarchy>
    <cacheHierarchy uniqueName="[Measures].[Count of Cancellation Status]" caption="Count of Cancellation Status" measure="1" displayFolder="" measureGroup="Sheet1" count="0" hidden="1">
      <extLst>
        <ext xmlns:x15="http://schemas.microsoft.com/office/spreadsheetml/2010/11/main" uri="{B97F6D7D-B522-45F9-BDA1-12C45D357490}">
          <x15:cacheHierarchy aggregatedColumn="7"/>
        </ext>
      </extLst>
    </cacheHierarchy>
    <cacheHierarchy uniqueName="[Measures].[Count of NPS Category]" caption="Count of NPS Category" measure="1" displayFolder="" measureGroup="Sheet1 1" count="0" hidden="1">
      <extLst>
        <ext xmlns:x15="http://schemas.microsoft.com/office/spreadsheetml/2010/11/main" uri="{B97F6D7D-B522-45F9-BDA1-12C45D357490}">
          <x15:cacheHierarchy aggregatedColumn="31"/>
        </ext>
      </extLst>
    </cacheHierarchy>
    <cacheHierarchy uniqueName="[Measures].[Sum of Customer Rating]" caption="Sum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Customer Rating]" caption="Count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Lead ID 2]" caption="Count of Lead ID 2" measure="1" displayFolder="" measureGroup="Sheet1 1"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2.971735763887" backgroundQuery="1" createdVersion="8" refreshedVersion="8" minRefreshableVersion="3" recordCount="0" supportSubquery="1" supportAdvancedDrill="1" xr:uid="{1AD826AB-CCC1-4254-BA85-484F7B34B223}">
  <cacheSource type="external" connectionId="3"/>
  <cacheFields count="5">
    <cacheField name="[Sheet1].[Store Name].[Store Name]" caption="Store Name" numFmtId="0" hierarchy="1" level="1">
      <sharedItems count="4">
        <s v="Bangalore MBC"/>
        <s v="Chennai MBC"/>
        <s v="Delhi MBC"/>
        <s v="Mumbai MBC"/>
      </sharedItems>
    </cacheField>
    <cacheField name="[Measures].[Average of TAT Pre-Booking (Days)]" caption="Average of TAT Pre-Booking (Days)" numFmtId="0" hierarchy="50" level="32767"/>
    <cacheField name="[Measures].[Average of TAT Booking (Days)]" caption="Average of TAT Booking (Days)" numFmtId="0" hierarchy="51" level="32767"/>
    <cacheField name="[Measures].[Average of TAT Delivery (Days)]" caption="Average of TAT Delivery (Days)" numFmtId="0" hierarchy="52" level="32767"/>
    <cacheField name="[Sheet1].[Cancellation Reason].[Cancellation Reason]" caption="Cancellation Reason" numFmtId="0" hierarchy="8" level="1">
      <sharedItems containsSemiMixedTypes="0" containsNonDate="0" containsString="0"/>
    </cacheField>
  </cacheFields>
  <cacheHierarchies count="58">
    <cacheHierarchy uniqueName="[Sheet1].[Lead ID]" caption="Lead ID" attribute="1" defaultMemberUniqueName="[Sheet1].[Lead ID].[All]" allUniqueName="[Sheet1].[Lead ID].[All]" dimensionUniqueName="[Sheet1]" displayFolder="" count="0" memberValueDatatype="130" unbalanced="0"/>
    <cacheHierarchy uniqueName="[Sheet1].[Store Name]" caption="Store Name" attribute="1" defaultMemberUniqueName="[Sheet1].[Store Name].[All]" allUniqueName="[Sheet1].[Store Name].[All]" dimensionUniqueName="[Sheet1]" displayFolder="" count="2" memberValueDatatype="130" unbalanced="0">
      <fieldsUsage count="2">
        <fieldUsage x="-1"/>
        <fieldUsage x="0"/>
      </fieldsUsage>
    </cacheHierarchy>
    <cacheHierarchy uniqueName="[Sheet1].[Lead Type]" caption="Lead Type" attribute="1" defaultMemberUniqueName="[Sheet1].[Lead Type].[All]" allUniqueName="[Sheet1].[Lead Type].[All]" dimensionUniqueName="[Sheet1]" displayFolder="" count="2" memberValueDatatype="130" unbalanced="0"/>
    <cacheHierarchy uniqueName="[Sheet1].[Lead Date]" caption="Lead Date" attribute="1" time="1" defaultMemberUniqueName="[Sheet1].[Lead Date].[All]" allUniqueName="[Sheet1].[Lead Date].[All]" dimensionUniqueName="[Sheet1]" displayFolder="" count="0" memberValueDatatype="7" unbalanced="0"/>
    <cacheHierarchy uniqueName="[Sheet1].[Pre-Booking Date]" caption="Pre-Booking Date" attribute="1" time="1" defaultMemberUniqueName="[Sheet1].[Pre-Booking Date].[All]" allUniqueName="[Sheet1].[Pre-Booking Date].[All]" dimensionUniqueName="[Sheet1]" displayFolder="" count="0" memberValueDatatype="7" unbalanced="0"/>
    <cacheHierarchy uniqueName="[Sheet1].[Booking Date]" caption="Booking Date" attribute="1" time="1" defaultMemberUniqueName="[Sheet1].[Booking Date].[All]" allUniqueName="[Sheet1].[Booking Date].[All]" dimensionUniqueName="[Sheet1]" displayFolder="" count="0" memberValueDatatype="7" unbalanced="0"/>
    <cacheHierarchy uniqueName="[Sheet1].[Delivery Date]" caption="Delivery Date" attribute="1" time="1" defaultMemberUniqueName="[Sheet1].[Delivery Date].[All]" allUniqueName="[Sheet1].[Delivery Date].[All]" dimensionUniqueName="[Sheet1]" displayFolder="" count="0" memberValueDatatype="7" unbalanced="0"/>
    <cacheHierarchy uniqueName="[Sheet1].[Cancellation Status]" caption="Cancellation Status" attribute="1" defaultMemberUniqueName="[Sheet1].[Cancellation Status].[All]" allUniqueName="[Sheet1].[Cancellation Status].[All]" dimensionUniqueName="[Sheet1]" displayFolder="" count="0" memberValueDatatype="130" unbalanced="0"/>
    <cacheHierarchy uniqueName="[Sheet1].[Cancellation Reason]" caption="Cancellation Reason" attribute="1" defaultMemberUniqueName="[Sheet1].[Cancellation Reason].[All]" allUniqueName="[Sheet1].[Cancellation Reason].[All]" dimensionUniqueName="[Sheet1]" displayFolder="" count="2" memberValueDatatype="130" unbalanced="0">
      <fieldsUsage count="2">
        <fieldUsage x="-1"/>
        <fieldUsage x="4"/>
      </fieldsUsage>
    </cacheHierarchy>
    <cacheHierarchy uniqueName="[Sheet1].[Service Follow-up Date]" caption="Service Follow-up Date" attribute="1" time="1" defaultMemberUniqueName="[Sheet1].[Service Follow-up Date].[All]" allUniqueName="[Sheet1].[Service Follow-up Date].[All]" dimensionUniqueName="[Sheet1]" displayFolder="" count="0" memberValueDatatype="7" unbalanced="0"/>
    <cacheHierarchy uniqueName="[Sheet1].[TAT Pre-Booking (Days)]" caption="TAT Pre-Booking (Days)" attribute="1" defaultMemberUniqueName="[Sheet1].[TAT Pre-Booking (Days)].[All]" allUniqueName="[Sheet1].[TAT Pre-Booking (Days)].[All]" dimensionUniqueName="[Sheet1]" displayFolder="" count="0" memberValueDatatype="20" unbalanced="0"/>
    <cacheHierarchy uniqueName="[Sheet1].[TAT Booking (Days)]" caption="TAT Booking (Days)" attribute="1" defaultMemberUniqueName="[Sheet1].[TAT Booking (Days)].[All]" allUniqueName="[Sheet1].[TAT Booking (Days)].[All]" dimensionUniqueName="[Sheet1]" displayFolder="" count="0" memberValueDatatype="20" unbalanced="0"/>
    <cacheHierarchy uniqueName="[Sheet1].[TAT Delivery (Days)]" caption="TAT Delivery (Days)" attribute="1" defaultMemberUniqueName="[Sheet1].[TAT Delivery (Days)].[All]" allUniqueName="[Sheet1].[TAT Delivery (Days)].[All]" dimensionUniqueName="[Sheet1]" displayFolder="" count="0" memberValueDatatype="20" unbalanced="0"/>
    <cacheHierarchy uniqueName="[Sheet1].[Customer Rating]" caption="Customer Rating" attribute="1" defaultMemberUniqueName="[Sheet1].[Customer Rating].[All]" allUniqueName="[Sheet1].[Customer Rating].[All]" dimensionUniqueName="[Sheet1]" displayFolder="" count="0" memberValueDatatype="20" unbalanced="0"/>
    <cacheHierarchy uniqueName="[Sheet1].[Pre-Booking Date (Month)]" caption="Pre-Booking Date (Month)" attribute="1" defaultMemberUniqueName="[Sheet1].[Pre-Booking Date (Month)].[All]" allUniqueName="[Sheet1].[Pre-Booking Date (Month)].[All]" dimensionUniqueName="[Sheet1]" displayFolder="" count="0" memberValueDatatype="130" unbalanced="0"/>
    <cacheHierarchy uniqueName="[Sheet1].[Delivery Date (Month)]" caption="Delivery Date (Month)" attribute="1" defaultMemberUniqueName="[Sheet1].[Delivery Date (Month)].[All]" allUniqueName="[Sheet1].[Delivery Date (Month)].[All]" dimensionUniqueName="[Sheet1]" displayFolder="" count="0" memberValueDatatype="130" unbalanced="0"/>
    <cacheHierarchy uniqueName="[Sheet1 1].[Lead ID]" caption="Lead ID" attribute="1" defaultMemberUniqueName="[Sheet1 1].[Lead ID].[All]" allUniqueName="[Sheet1 1].[Lead ID].[All]" dimensionUniqueName="[Sheet1 1]" displayFolder="" count="0" memberValueDatatype="130" unbalanced="0"/>
    <cacheHierarchy uniqueName="[Sheet1 1].[Store Name]" caption="Store Name" attribute="1" defaultMemberUniqueName="[Sheet1 1].[Store Name].[All]" allUniqueName="[Sheet1 1].[Store Name].[All]" dimensionUniqueName="[Sheet1 1]" displayFolder="" count="0" memberValueDatatype="130" unbalanced="0"/>
    <cacheHierarchy uniqueName="[Sheet1 1].[Lead Type]" caption="Lead Type" attribute="1" defaultMemberUniqueName="[Sheet1 1].[Lead Type].[All]" allUniqueName="[Sheet1 1].[Lead Type].[All]" dimensionUniqueName="[Sheet1 1]" displayFolder="" count="0" memberValueDatatype="130" unbalanced="0"/>
    <cacheHierarchy uniqueName="[Sheet1 1].[Lead Date]" caption="Lead Date" attribute="1" time="1" defaultMemberUniqueName="[Sheet1 1].[Lead Date].[All]" allUniqueName="[Sheet1 1].[Lead Date].[All]" dimensionUniqueName="[Sheet1 1]" displayFolder="" count="0" memberValueDatatype="7" unbalanced="0"/>
    <cacheHierarchy uniqueName="[Sheet1 1].[Pre-Booking Date]" caption="Pre-Booking Date" attribute="1" time="1" defaultMemberUniqueName="[Sheet1 1].[Pre-Booking Date].[All]" allUniqueName="[Sheet1 1].[Pre-Booking Date].[All]" dimensionUniqueName="[Sheet1 1]" displayFolder="" count="0" memberValueDatatype="7" unbalanced="0"/>
    <cacheHierarchy uniqueName="[Sheet1 1].[Booking Date]" caption="Booking Date" attribute="1" time="1" defaultMemberUniqueName="[Sheet1 1].[Booking Date].[All]" allUniqueName="[Sheet1 1].[Booking Date].[All]" dimensionUniqueName="[Sheet1 1]" displayFolder="" count="0" memberValueDatatype="7" unbalanced="0"/>
    <cacheHierarchy uniqueName="[Sheet1 1].[Delivery Date]" caption="Delivery Date" attribute="1" time="1" defaultMemberUniqueName="[Sheet1 1].[Delivery Date].[All]" allUniqueName="[Sheet1 1].[Delivery Date].[All]" dimensionUniqueName="[Sheet1 1]" displayFolder="" count="0" memberValueDatatype="7" unbalanced="0"/>
    <cacheHierarchy uniqueName="[Sheet1 1].[Cancellation Status]" caption="Cancellation Status" attribute="1" defaultMemberUniqueName="[Sheet1 1].[Cancellation Status].[All]" allUniqueName="[Sheet1 1].[Cancellation Status].[All]" dimensionUniqueName="[Sheet1 1]" displayFolder="" count="0" memberValueDatatype="130" unbalanced="0"/>
    <cacheHierarchy uniqueName="[Sheet1 1].[Cancellation update]" caption="Cancellation update" attribute="1" defaultMemberUniqueName="[Sheet1 1].[Cancellation update].[All]" allUniqueName="[Sheet1 1].[Cancellation update].[All]" dimensionUniqueName="[Sheet1 1]" displayFolder="" count="0" memberValueDatatype="20" unbalanced="0"/>
    <cacheHierarchy uniqueName="[Sheet1 1].[Cancellation Reason]" caption="Cancellation Reason" attribute="1" defaultMemberUniqueName="[Sheet1 1].[Cancellation Reason].[All]" allUniqueName="[Sheet1 1].[Cancellation Reason].[All]" dimensionUniqueName="[Sheet1 1]" displayFolder="" count="0" memberValueDatatype="130" unbalanced="0"/>
    <cacheHierarchy uniqueName="[Sheet1 1].[Service Follow-up Date]" caption="Service Follow-up Date" attribute="1" time="1" defaultMemberUniqueName="[Sheet1 1].[Service Follow-up Date].[All]" allUniqueName="[Sheet1 1].[Service Follow-up Date].[All]" dimensionUniqueName="[Sheet1 1]" displayFolder="" count="0" memberValueDatatype="7" unbalanced="0"/>
    <cacheHierarchy uniqueName="[Sheet1 1].[TAT Pre-Booking (Days)]" caption="TAT Pre-Booking (Days)" attribute="1" defaultMemberUniqueName="[Sheet1 1].[TAT Pre-Booking (Days)].[All]" allUniqueName="[Sheet1 1].[TAT Pre-Booking (Days)].[All]" dimensionUniqueName="[Sheet1 1]" displayFolder="" count="0" memberValueDatatype="20" unbalanced="0"/>
    <cacheHierarchy uniqueName="[Sheet1 1].[TAT Booking (Days)]" caption="TAT Booking (Days)" attribute="1" defaultMemberUniqueName="[Sheet1 1].[TAT Booking (Days)].[All]" allUniqueName="[Sheet1 1].[TAT Booking (Days)].[All]" dimensionUniqueName="[Sheet1 1]" displayFolder="" count="0" memberValueDatatype="20" unbalanced="0"/>
    <cacheHierarchy uniqueName="[Sheet1 1].[TAT Delivery (Days)]" caption="TAT Delivery (Days)" attribute="1" defaultMemberUniqueName="[Sheet1 1].[TAT Delivery (Days)].[All]" allUniqueName="[Sheet1 1].[TAT Delivery (Days)].[All]" dimensionUniqueName="[Sheet1 1]" displayFolder="" count="0" memberValueDatatype="20" unbalanced="0"/>
    <cacheHierarchy uniqueName="[Sheet1 1].[Customer Rating]" caption="Customer Rating" attribute="1" defaultMemberUniqueName="[Sheet1 1].[Customer Rating].[All]" allUniqueName="[Sheet1 1].[Customer Rating].[All]" dimensionUniqueName="[Sheet1 1]" displayFolder="" count="0" memberValueDatatype="20" unbalanced="0"/>
    <cacheHierarchy uniqueName="[Sheet1 1].[NPS Category]" caption="NPS Category" attribute="1" defaultMemberUniqueName="[Sheet1 1].[NPS Category].[All]" allUniqueName="[Sheet1 1].[NPS Category].[All]" dimensionUniqueName="[Sheet1 1]" displayFolder="" count="0" memberValueDatatype="130" unbalanced="0"/>
    <cacheHierarchy uniqueName="[Sheet1 1].[Pre-Booking Date (Month Index)]" caption="Pre-Booking Date (Month Index)" attribute="1" defaultMemberUniqueName="[Sheet1 1].[Pre-Booking Date (Month Index)].[All]" allUniqueName="[Sheet1 1].[Pre-Booking Date (Month Index)].[All]" dimensionUniqueName="[Sheet1 1]" displayFolder="" count="0" memberValueDatatype="20" unbalanced="0"/>
    <cacheHierarchy uniqueName="[Sheet1 1].[Pre-Booking Date (Month)]" caption="Pre-Booking Date (Month)" attribute="1" defaultMemberUniqueName="[Sheet1 1].[Pre-Booking Date (Month)].[All]" allUniqueName="[Sheet1 1].[Pre-Booking Date (Month)].[All]" dimensionUniqueName="[Sheet1 1]" displayFolder="" count="0" memberValueDatatype="130" unbalanced="0"/>
    <cacheHierarchy uniqueName="[Sheet1 1].[Delivery Date (Month Index)]" caption="Delivery Date (Month Index)" attribute="1" defaultMemberUniqueName="[Sheet1 1].[Delivery Date (Month Index)].[All]" allUniqueName="[Sheet1 1].[Delivery Date (Month Index)].[All]" dimensionUniqueName="[Sheet1 1]" displayFolder="" count="0" memberValueDatatype="20" unbalanced="0"/>
    <cacheHierarchy uniqueName="[Sheet1 1].[Delivery Date (Month)]" caption="Delivery Date (Month)" attribute="1" defaultMemberUniqueName="[Sheet1 1].[Delivery Date (Month)].[All]" allUniqueName="[Sheet1 1].[Delivery Date (Month)].[All]" dimensionUniqueName="[Sheet1 1]" displayFolder="" count="0" memberValueDatatype="130" unbalanced="0"/>
    <cacheHierarchy uniqueName="[Sheet1].[Delivery Date (Month Index)]" caption="Delivery Date (Month Index)" attribute="1" defaultMemberUniqueName="[Sheet1].[Delivery Date (Month Index)].[All]" allUniqueName="[Sheet1].[Delivery Date (Month Index)].[All]" dimensionUniqueName="[Sheet1]" displayFolder="" count="0" memberValueDatatype="20" unbalanced="0" hidden="1"/>
    <cacheHierarchy uniqueName="[Sheet1].[Pre-Booking Date (Month Index)]" caption="Pre-Booking Date (Month Index)" attribute="1" defaultMemberUniqueName="[Sheet1].[Pre-Booking Date (Month Index)].[All]" allUniqueName="[Sheet1].[Pre-Booking 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Count of Lead Date]" caption="Count of Lead Date" measure="1" displayFolder="" measureGroup="Sheet1" count="0" hidden="1">
      <extLst>
        <ext xmlns:x15="http://schemas.microsoft.com/office/spreadsheetml/2010/11/main" uri="{B97F6D7D-B522-45F9-BDA1-12C45D357490}">
          <x15:cacheHierarchy aggregatedColumn="3"/>
        </ext>
      </extLst>
    </cacheHierarchy>
    <cacheHierarchy uniqueName="[Measures].[Count of Pre-Booking Date (Month)]" caption="Count of Pre-Booking Date (Month)" measure="1" displayFolder="" measureGroup="Sheet1" count="0" hidden="1">
      <extLst>
        <ext xmlns:x15="http://schemas.microsoft.com/office/spreadsheetml/2010/11/main" uri="{B97F6D7D-B522-45F9-BDA1-12C45D357490}">
          <x15:cacheHierarchy aggregatedColumn="14"/>
        </ext>
      </extLst>
    </cacheHierarchy>
    <cacheHierarchy uniqueName="[Measures].[Count of Pre-Booking Date]" caption="Count of Pre-Booking Date" measure="1" displayFolder="" measureGroup="Sheet1" count="0" hidden="1">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Sheet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Sheet1" count="0" hidden="1">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Sheet1" count="0" hidden="1">
      <extLst>
        <ext xmlns:x15="http://schemas.microsoft.com/office/spreadsheetml/2010/11/main" uri="{B97F6D7D-B522-45F9-BDA1-12C45D357490}">
          <x15:cacheHierarchy aggregatedColumn="0"/>
        </ext>
      </extLst>
    </cacheHierarchy>
    <cacheHierarchy uniqueName="[Measures].[Sum of TAT Pre-Booking (Days)]" caption="Sum of TAT Pre-Booking (Days)" measure="1" displayFolder="" measureGroup="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Sheet1"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Sheet1"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Sheet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Cancellation Status]" caption="Count of Cancellation Status" measure="1" displayFolder="" measureGroup="Sheet1" count="0" hidden="1">
      <extLst>
        <ext xmlns:x15="http://schemas.microsoft.com/office/spreadsheetml/2010/11/main" uri="{B97F6D7D-B522-45F9-BDA1-12C45D357490}">
          <x15:cacheHierarchy aggregatedColumn="7"/>
        </ext>
      </extLst>
    </cacheHierarchy>
    <cacheHierarchy uniqueName="[Measures].[Count of NPS Category]" caption="Count of NPS Category" measure="1" displayFolder="" measureGroup="Sheet1 1" count="0" hidden="1">
      <extLst>
        <ext xmlns:x15="http://schemas.microsoft.com/office/spreadsheetml/2010/11/main" uri="{B97F6D7D-B522-45F9-BDA1-12C45D357490}">
          <x15:cacheHierarchy aggregatedColumn="31"/>
        </ext>
      </extLst>
    </cacheHierarchy>
    <cacheHierarchy uniqueName="[Measures].[Sum of Customer Rating]" caption="Sum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Customer Rating]" caption="Count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Lead ID 2]" caption="Count of Lead ID 2" measure="1" displayFolder="" measureGroup="Sheet1 1"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2.971736111111" backgroundQuery="1" createdVersion="8" refreshedVersion="8" minRefreshableVersion="3" recordCount="0" supportSubquery="1" supportAdvancedDrill="1" xr:uid="{34ACCA9C-FB45-46A6-B918-45C820215765}">
  <cacheSource type="external" connectionId="3"/>
  <cacheFields count="4">
    <cacheField name="[Sheet1].[Store Name].[Store Name]" caption="Store Name" numFmtId="0" hierarchy="1" level="1">
      <sharedItems count="4">
        <s v="Bangalore MBC"/>
        <s v="Chennai MBC"/>
        <s v="Delhi MBC"/>
        <s v="Mumbai MBC"/>
      </sharedItems>
    </cacheField>
    <cacheField name="[Sheet1].[Lead Type].[Lead Type]" caption="Lead Type" numFmtId="0" hierarchy="2" level="1">
      <sharedItems count="3">
        <s v="Cold"/>
        <s v="Hot"/>
        <s v="Warm"/>
      </sharedItems>
    </cacheField>
    <cacheField name="[Measures].[Count of Lead ID]" caption="Count of Lead ID" numFmtId="0" hierarchy="46" level="32767"/>
    <cacheField name="[Sheet1].[Cancellation Reason].[Cancellation Reason]" caption="Cancellation Reason" numFmtId="0" hierarchy="8" level="1">
      <sharedItems containsSemiMixedTypes="0" containsNonDate="0" containsString="0"/>
    </cacheField>
  </cacheFields>
  <cacheHierarchies count="58">
    <cacheHierarchy uniqueName="[Sheet1].[Lead ID]" caption="Lead ID" attribute="1" defaultMemberUniqueName="[Sheet1].[Lead ID].[All]" allUniqueName="[Sheet1].[Lead ID].[All]" dimensionUniqueName="[Sheet1]" displayFolder="" count="2" memberValueDatatype="130" unbalanced="0"/>
    <cacheHierarchy uniqueName="[Sheet1].[Store Name]" caption="Store Name" attribute="1" defaultMemberUniqueName="[Sheet1].[Store Name].[All]" allUniqueName="[Sheet1].[Store Name].[All]" dimensionUniqueName="[Sheet1]" displayFolder="" count="2" memberValueDatatype="130" unbalanced="0">
      <fieldsUsage count="2">
        <fieldUsage x="-1"/>
        <fieldUsage x="0"/>
      </fieldsUsage>
    </cacheHierarchy>
    <cacheHierarchy uniqueName="[Sheet1].[Lead Type]" caption="Lead Type" attribute="1" defaultMemberUniqueName="[Sheet1].[Lead Type].[All]" allUniqueName="[Sheet1].[Lead Type].[All]" dimensionUniqueName="[Sheet1]" displayFolder="" count="2" memberValueDatatype="130" unbalanced="0">
      <fieldsUsage count="2">
        <fieldUsage x="-1"/>
        <fieldUsage x="1"/>
      </fieldsUsage>
    </cacheHierarchy>
    <cacheHierarchy uniqueName="[Sheet1].[Lead Date]" caption="Lead Date" attribute="1" time="1" defaultMemberUniqueName="[Sheet1].[Lead Date].[All]" allUniqueName="[Sheet1].[Lead Date].[All]" dimensionUniqueName="[Sheet1]" displayFolder="" count="2" memberValueDatatype="7" unbalanced="0"/>
    <cacheHierarchy uniqueName="[Sheet1].[Pre-Booking Date]" caption="Pre-Booking Date" attribute="1" time="1" defaultMemberUniqueName="[Sheet1].[Pre-Booking Date].[All]" allUniqueName="[Sheet1].[Pre-Booking Date].[All]" dimensionUniqueName="[Sheet1]" displayFolder="" count="2" memberValueDatatype="7" unbalanced="0"/>
    <cacheHierarchy uniqueName="[Sheet1].[Booking Date]" caption="Booking Date" attribute="1" time="1" defaultMemberUniqueName="[Sheet1].[Booking Date].[All]" allUniqueName="[Sheet1].[Booking Date].[All]" dimensionUniqueName="[Sheet1]" displayFolder="" count="2" memberValueDatatype="7" unbalanced="0"/>
    <cacheHierarchy uniqueName="[Sheet1].[Delivery Date]" caption="Delivery Date" attribute="1" time="1" defaultMemberUniqueName="[Sheet1].[Delivery Date].[All]" allUniqueName="[Sheet1].[Delivery Date].[All]" dimensionUniqueName="[Sheet1]" displayFolder="" count="2" memberValueDatatype="7" unbalanced="0"/>
    <cacheHierarchy uniqueName="[Sheet1].[Cancellation Status]" caption="Cancellation Status" attribute="1" defaultMemberUniqueName="[Sheet1].[Cancellation Status].[All]" allUniqueName="[Sheet1].[Cancellation Status].[All]" dimensionUniqueName="[Sheet1]" displayFolder="" count="2" memberValueDatatype="130" unbalanced="0"/>
    <cacheHierarchy uniqueName="[Sheet1].[Cancellation Reason]" caption="Cancellation Reason" attribute="1" defaultMemberUniqueName="[Sheet1].[Cancellation Reason].[All]" allUniqueName="[Sheet1].[Cancellation Reason].[All]" dimensionUniqueName="[Sheet1]" displayFolder="" count="2" memberValueDatatype="130" unbalanced="0">
      <fieldsUsage count="2">
        <fieldUsage x="-1"/>
        <fieldUsage x="3"/>
      </fieldsUsage>
    </cacheHierarchy>
    <cacheHierarchy uniqueName="[Sheet1].[Service Follow-up Date]" caption="Service Follow-up Date" attribute="1" time="1" defaultMemberUniqueName="[Sheet1].[Service Follow-up Date].[All]" allUniqueName="[Sheet1].[Service Follow-up Date].[All]" dimensionUniqueName="[Sheet1]" displayFolder="" count="2" memberValueDatatype="7" unbalanced="0"/>
    <cacheHierarchy uniqueName="[Sheet1].[TAT Pre-Booking (Days)]" caption="TAT Pre-Booking (Days)" attribute="1" defaultMemberUniqueName="[Sheet1].[TAT Pre-Booking (Days)].[All]" allUniqueName="[Sheet1].[TAT Pre-Booking (Days)].[All]" dimensionUniqueName="[Sheet1]" displayFolder="" count="2" memberValueDatatype="20" unbalanced="0"/>
    <cacheHierarchy uniqueName="[Sheet1].[TAT Booking (Days)]" caption="TAT Booking (Days)" attribute="1" defaultMemberUniqueName="[Sheet1].[TAT Booking (Days)].[All]" allUniqueName="[Sheet1].[TAT Booking (Days)].[All]" dimensionUniqueName="[Sheet1]" displayFolder="" count="2" memberValueDatatype="20" unbalanced="0"/>
    <cacheHierarchy uniqueName="[Sheet1].[TAT Delivery (Days)]" caption="TAT Delivery (Days)" attribute="1" defaultMemberUniqueName="[Sheet1].[TAT Delivery (Days)].[All]" allUniqueName="[Sheet1].[TAT Delivery (Days)].[All]" dimensionUniqueName="[Sheet1]" displayFolder="" count="2" memberValueDatatype="20" unbalanced="0"/>
    <cacheHierarchy uniqueName="[Sheet1].[Customer Rating]" caption="Customer Rating" attribute="1" defaultMemberUniqueName="[Sheet1].[Customer Rating].[All]" allUniqueName="[Sheet1].[Customer Rating].[All]" dimensionUniqueName="[Sheet1]" displayFolder="" count="2" memberValueDatatype="20" unbalanced="0"/>
    <cacheHierarchy uniqueName="[Sheet1].[Pre-Booking Date (Month)]" caption="Pre-Booking Date (Month)" attribute="1" defaultMemberUniqueName="[Sheet1].[Pre-Booking Date (Month)].[All]" allUniqueName="[Sheet1].[Pre-Booking Date (Month)].[All]" dimensionUniqueName="[Sheet1]" displayFolder="" count="2" memberValueDatatype="130" unbalanced="0"/>
    <cacheHierarchy uniqueName="[Sheet1].[Delivery Date (Month)]" caption="Delivery Date (Month)" attribute="1" defaultMemberUniqueName="[Sheet1].[Delivery Date (Month)].[All]" allUniqueName="[Sheet1].[Delivery Date (Month)].[All]" dimensionUniqueName="[Sheet1]" displayFolder="" count="2" memberValueDatatype="130" unbalanced="0"/>
    <cacheHierarchy uniqueName="[Sheet1 1].[Lead ID]" caption="Lead ID" attribute="1" defaultMemberUniqueName="[Sheet1 1].[Lead ID].[All]" allUniqueName="[Sheet1 1].[Lead ID].[All]" dimensionUniqueName="[Sheet1 1]" displayFolder="" count="2" memberValueDatatype="130" unbalanced="0"/>
    <cacheHierarchy uniqueName="[Sheet1 1].[Store Name]" caption="Store Name" attribute="1" defaultMemberUniqueName="[Sheet1 1].[Store Name].[All]" allUniqueName="[Sheet1 1].[Store Name].[All]" dimensionUniqueName="[Sheet1 1]" displayFolder="" count="2" memberValueDatatype="130" unbalanced="0"/>
    <cacheHierarchy uniqueName="[Sheet1 1].[Lead Type]" caption="Lead Type" attribute="1" defaultMemberUniqueName="[Sheet1 1].[Lead Type].[All]" allUniqueName="[Sheet1 1].[Lead Type].[All]" dimensionUniqueName="[Sheet1 1]" displayFolder="" count="2" memberValueDatatype="130" unbalanced="0"/>
    <cacheHierarchy uniqueName="[Sheet1 1].[Lead Date]" caption="Lead Date" attribute="1" time="1" defaultMemberUniqueName="[Sheet1 1].[Lead Date].[All]" allUniqueName="[Sheet1 1].[Lead Date].[All]" dimensionUniqueName="[Sheet1 1]" displayFolder="" count="2" memberValueDatatype="7" unbalanced="0"/>
    <cacheHierarchy uniqueName="[Sheet1 1].[Pre-Booking Date]" caption="Pre-Booking Date" attribute="1" time="1" defaultMemberUniqueName="[Sheet1 1].[Pre-Booking Date].[All]" allUniqueName="[Sheet1 1].[Pre-Booking Date].[All]" dimensionUniqueName="[Sheet1 1]" displayFolder="" count="2" memberValueDatatype="7" unbalanced="0"/>
    <cacheHierarchy uniqueName="[Sheet1 1].[Booking Date]" caption="Booking Date" attribute="1" time="1" defaultMemberUniqueName="[Sheet1 1].[Booking Date].[All]" allUniqueName="[Sheet1 1].[Booking Date].[All]" dimensionUniqueName="[Sheet1 1]" displayFolder="" count="2" memberValueDatatype="7" unbalanced="0"/>
    <cacheHierarchy uniqueName="[Sheet1 1].[Delivery Date]" caption="Delivery Date" attribute="1" time="1" defaultMemberUniqueName="[Sheet1 1].[Delivery Date].[All]" allUniqueName="[Sheet1 1].[Delivery Date].[All]" dimensionUniqueName="[Sheet1 1]" displayFolder="" count="2" memberValueDatatype="7" unbalanced="0"/>
    <cacheHierarchy uniqueName="[Sheet1 1].[Cancellation Status]" caption="Cancellation Status" attribute="1" defaultMemberUniqueName="[Sheet1 1].[Cancellation Status].[All]" allUniqueName="[Sheet1 1].[Cancellation Status].[All]" dimensionUniqueName="[Sheet1 1]" displayFolder="" count="2" memberValueDatatype="130" unbalanced="0"/>
    <cacheHierarchy uniqueName="[Sheet1 1].[Cancellation update]" caption="Cancellation update" attribute="1" defaultMemberUniqueName="[Sheet1 1].[Cancellation update].[All]" allUniqueName="[Sheet1 1].[Cancellation update].[All]" dimensionUniqueName="[Sheet1 1]" displayFolder="" count="2" memberValueDatatype="20" unbalanced="0"/>
    <cacheHierarchy uniqueName="[Sheet1 1].[Cancellation Reason]" caption="Cancellation Reason" attribute="1" defaultMemberUniqueName="[Sheet1 1].[Cancellation Reason].[All]" allUniqueName="[Sheet1 1].[Cancellation Reason].[All]" dimensionUniqueName="[Sheet1 1]" displayFolder="" count="2" memberValueDatatype="130" unbalanced="0"/>
    <cacheHierarchy uniqueName="[Sheet1 1].[Service Follow-up Date]" caption="Service Follow-up Date" attribute="1" time="1" defaultMemberUniqueName="[Sheet1 1].[Service Follow-up Date].[All]" allUniqueName="[Sheet1 1].[Service Follow-up Date].[All]" dimensionUniqueName="[Sheet1 1]" displayFolder="" count="2" memberValueDatatype="7" unbalanced="0"/>
    <cacheHierarchy uniqueName="[Sheet1 1].[TAT Pre-Booking (Days)]" caption="TAT Pre-Booking (Days)" attribute="1" defaultMemberUniqueName="[Sheet1 1].[TAT Pre-Booking (Days)].[All]" allUniqueName="[Sheet1 1].[TAT Pre-Booking (Days)].[All]" dimensionUniqueName="[Sheet1 1]" displayFolder="" count="2" memberValueDatatype="20" unbalanced="0"/>
    <cacheHierarchy uniqueName="[Sheet1 1].[TAT Booking (Days)]" caption="TAT Booking (Days)" attribute="1" defaultMemberUniqueName="[Sheet1 1].[TAT Booking (Days)].[All]" allUniqueName="[Sheet1 1].[TAT Booking (Days)].[All]" dimensionUniqueName="[Sheet1 1]" displayFolder="" count="2" memberValueDatatype="20" unbalanced="0"/>
    <cacheHierarchy uniqueName="[Sheet1 1].[TAT Delivery (Days)]" caption="TAT Delivery (Days)" attribute="1" defaultMemberUniqueName="[Sheet1 1].[TAT Delivery (Days)].[All]" allUniqueName="[Sheet1 1].[TAT Delivery (Days)].[All]" dimensionUniqueName="[Sheet1 1]" displayFolder="" count="2" memberValueDatatype="20" unbalanced="0"/>
    <cacheHierarchy uniqueName="[Sheet1 1].[Customer Rating]" caption="Customer Rating" attribute="1" defaultMemberUniqueName="[Sheet1 1].[Customer Rating].[All]" allUniqueName="[Sheet1 1].[Customer Rating].[All]" dimensionUniqueName="[Sheet1 1]" displayFolder="" count="2" memberValueDatatype="20" unbalanced="0"/>
    <cacheHierarchy uniqueName="[Sheet1 1].[NPS Category]" caption="NPS Category" attribute="1" defaultMemberUniqueName="[Sheet1 1].[NPS Category].[All]" allUniqueName="[Sheet1 1].[NPS Category].[All]" dimensionUniqueName="[Sheet1 1]" displayFolder="" count="2" memberValueDatatype="130" unbalanced="0"/>
    <cacheHierarchy uniqueName="[Sheet1 1].[Pre-Booking Date (Month Index)]" caption="Pre-Booking Date (Month Index)" attribute="1" defaultMemberUniqueName="[Sheet1 1].[Pre-Booking Date (Month Index)].[All]" allUniqueName="[Sheet1 1].[Pre-Booking Date (Month Index)].[All]" dimensionUniqueName="[Sheet1 1]" displayFolder="" count="2" memberValueDatatype="20" unbalanced="0"/>
    <cacheHierarchy uniqueName="[Sheet1 1].[Pre-Booking Date (Month)]" caption="Pre-Booking Date (Month)" attribute="1" defaultMemberUniqueName="[Sheet1 1].[Pre-Booking Date (Month)].[All]" allUniqueName="[Sheet1 1].[Pre-Booking Date (Month)].[All]" dimensionUniqueName="[Sheet1 1]" displayFolder="" count="2" memberValueDatatype="130" unbalanced="0"/>
    <cacheHierarchy uniqueName="[Sheet1 1].[Delivery Date (Month Index)]" caption="Delivery Date (Month Index)" attribute="1" defaultMemberUniqueName="[Sheet1 1].[Delivery Date (Month Index)].[All]" allUniqueName="[Sheet1 1].[Delivery Date (Month Index)].[All]" dimensionUniqueName="[Sheet1 1]" displayFolder="" count="2" memberValueDatatype="20" unbalanced="0"/>
    <cacheHierarchy uniqueName="[Sheet1 1].[Delivery Date (Month)]" caption="Delivery Date (Month)" attribute="1" defaultMemberUniqueName="[Sheet1 1].[Delivery Date (Month)].[All]" allUniqueName="[Sheet1 1].[Delivery Date (Month)].[All]" dimensionUniqueName="[Sheet1 1]" displayFolder="" count="2" memberValueDatatype="130" unbalanced="0"/>
    <cacheHierarchy uniqueName="[Sheet1].[Delivery Date (Month Index)]" caption="Delivery Date (Month Index)" attribute="1" defaultMemberUniqueName="[Sheet1].[Delivery Date (Month Index)].[All]" allUniqueName="[Sheet1].[Delivery Date (Month Index)].[All]" dimensionUniqueName="[Sheet1]" displayFolder="" count="2" memberValueDatatype="20" unbalanced="0" hidden="1"/>
    <cacheHierarchy uniqueName="[Sheet1].[Pre-Booking Date (Month Index)]" caption="Pre-Booking Date (Month Index)" attribute="1" defaultMemberUniqueName="[Sheet1].[Pre-Booking Date (Month Index)].[All]" allUniqueName="[Sheet1].[Pre-Booking Date (Month Index)].[All]" dimensionUniqueName="[Sheet1]" displayFolder="" count="2" memberValueDatatype="20" unbalanced="0" hidden="1"/>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Count of Lead Date]" caption="Count of Lead Date" measure="1" displayFolder="" measureGroup="Sheet1" count="0" hidden="1">
      <extLst>
        <ext xmlns:x15="http://schemas.microsoft.com/office/spreadsheetml/2010/11/main" uri="{B97F6D7D-B522-45F9-BDA1-12C45D357490}">
          <x15:cacheHierarchy aggregatedColumn="3"/>
        </ext>
      </extLst>
    </cacheHierarchy>
    <cacheHierarchy uniqueName="[Measures].[Count of Pre-Booking Date (Month)]" caption="Count of Pre-Booking Date (Month)" measure="1" displayFolder="" measureGroup="Sheet1" count="0" hidden="1">
      <extLst>
        <ext xmlns:x15="http://schemas.microsoft.com/office/spreadsheetml/2010/11/main" uri="{B97F6D7D-B522-45F9-BDA1-12C45D357490}">
          <x15:cacheHierarchy aggregatedColumn="14"/>
        </ext>
      </extLst>
    </cacheHierarchy>
    <cacheHierarchy uniqueName="[Measures].[Count of Pre-Booking Date]" caption="Count of Pre-Booking Date" measure="1" displayFolder="" measureGroup="Sheet1" count="0" hidden="1">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Sheet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Sheet1" count="0" hidden="1">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Sheet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AT Pre-Booking (Days)]" caption="Sum of TAT Pre-Booking (Days)" measure="1" displayFolder="" measureGroup="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Sheet1" count="0" hidden="1">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Sheet1" count="0" hidden="1">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Sheet1" count="0" hidden="1">
      <extLst>
        <ext xmlns:x15="http://schemas.microsoft.com/office/spreadsheetml/2010/11/main" uri="{B97F6D7D-B522-45F9-BDA1-12C45D357490}">
          <x15:cacheHierarchy aggregatedColumn="12"/>
        </ext>
      </extLst>
    </cacheHierarchy>
    <cacheHierarchy uniqueName="[Measures].[Count of Cancellation Status]" caption="Count of Cancellation Status" measure="1" displayFolder="" measureGroup="Sheet1" count="0" hidden="1">
      <extLst>
        <ext xmlns:x15="http://schemas.microsoft.com/office/spreadsheetml/2010/11/main" uri="{B97F6D7D-B522-45F9-BDA1-12C45D357490}">
          <x15:cacheHierarchy aggregatedColumn="7"/>
        </ext>
      </extLst>
    </cacheHierarchy>
    <cacheHierarchy uniqueName="[Measures].[Count of NPS Category]" caption="Count of NPS Category" measure="1" displayFolder="" measureGroup="Sheet1 1" count="0" hidden="1">
      <extLst>
        <ext xmlns:x15="http://schemas.microsoft.com/office/spreadsheetml/2010/11/main" uri="{B97F6D7D-B522-45F9-BDA1-12C45D357490}">
          <x15:cacheHierarchy aggregatedColumn="31"/>
        </ext>
      </extLst>
    </cacheHierarchy>
    <cacheHierarchy uniqueName="[Measures].[Sum of Customer Rating]" caption="Sum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Customer Rating]" caption="Count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Lead ID 2]" caption="Count of Lead ID 2" measure="1" displayFolder="" measureGroup="Sheet1 1"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0.396695023148" backgroundQuery="1" createdVersion="3" refreshedVersion="8" minRefreshableVersion="3" recordCount="0" supportSubquery="1" supportAdvancedDrill="1" xr:uid="{6E33EFF8-99D8-4D52-85D8-ECBDBDDA2EE1}">
  <cacheSource type="external" connectionId="3">
    <extLst>
      <ext xmlns:x14="http://schemas.microsoft.com/office/spreadsheetml/2009/9/main" uri="{F057638F-6D5F-4e77-A914-E7F072B9BCA8}">
        <x14:sourceConnection name="ThisWorkbookDataModel"/>
      </ext>
    </extLst>
  </cacheSource>
  <cacheFields count="0"/>
  <cacheHierarchies count="58">
    <cacheHierarchy uniqueName="[Sheet1].[Lead ID]" caption="Lead ID" attribute="1" defaultMemberUniqueName="[Sheet1].[Lead ID].[All]" allUniqueName="[Sheet1].[Lead ID].[All]" dimensionUniqueName="[Sheet1]" displayFolder="" count="0" memberValueDatatype="130" unbalanced="0"/>
    <cacheHierarchy uniqueName="[Sheet1].[Store Name]" caption="Store Name" attribute="1" defaultMemberUniqueName="[Sheet1].[Store Name].[All]" allUniqueName="[Sheet1].[Store Name].[All]" dimensionUniqueName="[Sheet1]" displayFolder="" count="2" memberValueDatatype="130" unbalanced="0"/>
    <cacheHierarchy uniqueName="[Sheet1].[Lead Type]" caption="Lead Type" attribute="1" defaultMemberUniqueName="[Sheet1].[Lead Type].[All]" allUniqueName="[Sheet1].[Lead Type].[All]" dimensionUniqueName="[Sheet1]" displayFolder="" count="2" memberValueDatatype="130" unbalanced="0"/>
    <cacheHierarchy uniqueName="[Sheet1].[Lead Date]" caption="Lead Date" attribute="1" time="1" defaultMemberUniqueName="[Sheet1].[Lead Date].[All]" allUniqueName="[Sheet1].[Lead Date].[All]" dimensionUniqueName="[Sheet1]" displayFolder="" count="0" memberValueDatatype="7" unbalanced="0"/>
    <cacheHierarchy uniqueName="[Sheet1].[Pre-Booking Date]" caption="Pre-Booking Date" attribute="1" time="1" defaultMemberUniqueName="[Sheet1].[Pre-Booking Date].[All]" allUniqueName="[Sheet1].[Pre-Booking Date].[All]" dimensionUniqueName="[Sheet1]" displayFolder="" count="0" memberValueDatatype="7" unbalanced="0"/>
    <cacheHierarchy uniqueName="[Sheet1].[Booking Date]" caption="Booking Date" attribute="1" time="1" defaultMemberUniqueName="[Sheet1].[Booking Date].[All]" allUniqueName="[Sheet1].[Booking Date].[All]" dimensionUniqueName="[Sheet1]" displayFolder="" count="0" memberValueDatatype="7" unbalanced="0"/>
    <cacheHierarchy uniqueName="[Sheet1].[Delivery Date]" caption="Delivery Date" attribute="1" time="1" defaultMemberUniqueName="[Sheet1].[Delivery Date].[All]" allUniqueName="[Sheet1].[Delivery Date].[All]" dimensionUniqueName="[Sheet1]" displayFolder="" count="0" memberValueDatatype="7" unbalanced="0"/>
    <cacheHierarchy uniqueName="[Sheet1].[Cancellation Status]" caption="Cancellation Status" attribute="1" defaultMemberUniqueName="[Sheet1].[Cancellation Status].[All]" allUniqueName="[Sheet1].[Cancellation Status].[All]" dimensionUniqueName="[Sheet1]" displayFolder="" count="0" memberValueDatatype="130" unbalanced="0"/>
    <cacheHierarchy uniqueName="[Sheet1].[Cancellation Reason]" caption="Cancellation Reason" attribute="1" defaultMemberUniqueName="[Sheet1].[Cancellation Reason].[All]" allUniqueName="[Sheet1].[Cancellation Reason].[All]" dimensionUniqueName="[Sheet1]" displayFolder="" count="2" memberValueDatatype="130" unbalanced="0"/>
    <cacheHierarchy uniqueName="[Sheet1].[Service Follow-up Date]" caption="Service Follow-up Date" attribute="1" time="1" defaultMemberUniqueName="[Sheet1].[Service Follow-up Date].[All]" allUniqueName="[Sheet1].[Service Follow-up Date].[All]" dimensionUniqueName="[Sheet1]" displayFolder="" count="0" memberValueDatatype="7" unbalanced="0"/>
    <cacheHierarchy uniqueName="[Sheet1].[TAT Pre-Booking (Days)]" caption="TAT Pre-Booking (Days)" attribute="1" defaultMemberUniqueName="[Sheet1].[TAT Pre-Booking (Days)].[All]" allUniqueName="[Sheet1].[TAT Pre-Booking (Days)].[All]" dimensionUniqueName="[Sheet1]" displayFolder="" count="0" memberValueDatatype="20" unbalanced="0"/>
    <cacheHierarchy uniqueName="[Sheet1].[TAT Booking (Days)]" caption="TAT Booking (Days)" attribute="1" defaultMemberUniqueName="[Sheet1].[TAT Booking (Days)].[All]" allUniqueName="[Sheet1].[TAT Booking (Days)].[All]" dimensionUniqueName="[Sheet1]" displayFolder="" count="0" memberValueDatatype="20" unbalanced="0"/>
    <cacheHierarchy uniqueName="[Sheet1].[TAT Delivery (Days)]" caption="TAT Delivery (Days)" attribute="1" defaultMemberUniqueName="[Sheet1].[TAT Delivery (Days)].[All]" allUniqueName="[Sheet1].[TAT Delivery (Days)].[All]" dimensionUniqueName="[Sheet1]" displayFolder="" count="0" memberValueDatatype="20" unbalanced="0"/>
    <cacheHierarchy uniqueName="[Sheet1].[Customer Rating]" caption="Customer Rating" attribute="1" defaultMemberUniqueName="[Sheet1].[Customer Rating].[All]" allUniqueName="[Sheet1].[Customer Rating].[All]" dimensionUniqueName="[Sheet1]" displayFolder="" count="0" memberValueDatatype="20" unbalanced="0"/>
    <cacheHierarchy uniqueName="[Sheet1].[Pre-Booking Date (Month)]" caption="Pre-Booking Date (Month)" attribute="1" defaultMemberUniqueName="[Sheet1].[Pre-Booking Date (Month)].[All]" allUniqueName="[Sheet1].[Pre-Booking Date (Month)].[All]" dimensionUniqueName="[Sheet1]" displayFolder="" count="0" memberValueDatatype="130" unbalanced="0"/>
    <cacheHierarchy uniqueName="[Sheet1].[Delivery Date (Month)]" caption="Delivery Date (Month)" attribute="1" defaultMemberUniqueName="[Sheet1].[Delivery Date (Month)].[All]" allUniqueName="[Sheet1].[Delivery Date (Month)].[All]" dimensionUniqueName="[Sheet1]" displayFolder="" count="0" memberValueDatatype="130" unbalanced="0"/>
    <cacheHierarchy uniqueName="[Sheet1 1].[Lead ID]" caption="Lead ID" attribute="1" defaultMemberUniqueName="[Sheet1 1].[Lead ID].[All]" allUniqueName="[Sheet1 1].[Lead ID].[All]" dimensionUniqueName="[Sheet1 1]" displayFolder="" count="0" memberValueDatatype="130" unbalanced="0"/>
    <cacheHierarchy uniqueName="[Sheet1 1].[Store Name]" caption="Store Name" attribute="1" defaultMemberUniqueName="[Sheet1 1].[Store Name].[All]" allUniqueName="[Sheet1 1].[Store Name].[All]" dimensionUniqueName="[Sheet1 1]" displayFolder="" count="0" memberValueDatatype="130" unbalanced="0"/>
    <cacheHierarchy uniqueName="[Sheet1 1].[Lead Type]" caption="Lead Type" attribute="1" defaultMemberUniqueName="[Sheet1 1].[Lead Type].[All]" allUniqueName="[Sheet1 1].[Lead Type].[All]" dimensionUniqueName="[Sheet1 1]" displayFolder="" count="0" memberValueDatatype="130" unbalanced="0"/>
    <cacheHierarchy uniqueName="[Sheet1 1].[Lead Date]" caption="Lead Date" attribute="1" time="1" defaultMemberUniqueName="[Sheet1 1].[Lead Date].[All]" allUniqueName="[Sheet1 1].[Lead Date].[All]" dimensionUniqueName="[Sheet1 1]" displayFolder="" count="0" memberValueDatatype="7" unbalanced="0"/>
    <cacheHierarchy uniqueName="[Sheet1 1].[Pre-Booking Date]" caption="Pre-Booking Date" attribute="1" time="1" defaultMemberUniqueName="[Sheet1 1].[Pre-Booking Date].[All]" allUniqueName="[Sheet1 1].[Pre-Booking Date].[All]" dimensionUniqueName="[Sheet1 1]" displayFolder="" count="0" memberValueDatatype="7" unbalanced="0"/>
    <cacheHierarchy uniqueName="[Sheet1 1].[Booking Date]" caption="Booking Date" attribute="1" time="1" defaultMemberUniqueName="[Sheet1 1].[Booking Date].[All]" allUniqueName="[Sheet1 1].[Booking Date].[All]" dimensionUniqueName="[Sheet1 1]" displayFolder="" count="0" memberValueDatatype="7" unbalanced="0"/>
    <cacheHierarchy uniqueName="[Sheet1 1].[Delivery Date]" caption="Delivery Date" attribute="1" time="1" defaultMemberUniqueName="[Sheet1 1].[Delivery Date].[All]" allUniqueName="[Sheet1 1].[Delivery Date].[All]" dimensionUniqueName="[Sheet1 1]" displayFolder="" count="0" memberValueDatatype="7" unbalanced="0"/>
    <cacheHierarchy uniqueName="[Sheet1 1].[Cancellation Status]" caption="Cancellation Status" attribute="1" defaultMemberUniqueName="[Sheet1 1].[Cancellation Status].[All]" allUniqueName="[Sheet1 1].[Cancellation Status].[All]" dimensionUniqueName="[Sheet1 1]" displayFolder="" count="0" memberValueDatatype="130" unbalanced="0"/>
    <cacheHierarchy uniqueName="[Sheet1 1].[Cancellation update]" caption="Cancellation update" attribute="1" defaultMemberUniqueName="[Sheet1 1].[Cancellation update].[All]" allUniqueName="[Sheet1 1].[Cancellation update].[All]" dimensionUniqueName="[Sheet1 1]" displayFolder="" count="0" memberValueDatatype="20" unbalanced="0"/>
    <cacheHierarchy uniqueName="[Sheet1 1].[Cancellation Reason]" caption="Cancellation Reason" attribute="1" defaultMemberUniqueName="[Sheet1 1].[Cancellation Reason].[All]" allUniqueName="[Sheet1 1].[Cancellation Reason].[All]" dimensionUniqueName="[Sheet1 1]" displayFolder="" count="0" memberValueDatatype="130" unbalanced="0"/>
    <cacheHierarchy uniqueName="[Sheet1 1].[Service Follow-up Date]" caption="Service Follow-up Date" attribute="1" time="1" defaultMemberUniqueName="[Sheet1 1].[Service Follow-up Date].[All]" allUniqueName="[Sheet1 1].[Service Follow-up Date].[All]" dimensionUniqueName="[Sheet1 1]" displayFolder="" count="0" memberValueDatatype="7" unbalanced="0"/>
    <cacheHierarchy uniqueName="[Sheet1 1].[TAT Pre-Booking (Days)]" caption="TAT Pre-Booking (Days)" attribute="1" defaultMemberUniqueName="[Sheet1 1].[TAT Pre-Booking (Days)].[All]" allUniqueName="[Sheet1 1].[TAT Pre-Booking (Days)].[All]" dimensionUniqueName="[Sheet1 1]" displayFolder="" count="0" memberValueDatatype="20" unbalanced="0"/>
    <cacheHierarchy uniqueName="[Sheet1 1].[TAT Booking (Days)]" caption="TAT Booking (Days)" attribute="1" defaultMemberUniqueName="[Sheet1 1].[TAT Booking (Days)].[All]" allUniqueName="[Sheet1 1].[TAT Booking (Days)].[All]" dimensionUniqueName="[Sheet1 1]" displayFolder="" count="0" memberValueDatatype="20" unbalanced="0"/>
    <cacheHierarchy uniqueName="[Sheet1 1].[TAT Delivery (Days)]" caption="TAT Delivery (Days)" attribute="1" defaultMemberUniqueName="[Sheet1 1].[TAT Delivery (Days)].[All]" allUniqueName="[Sheet1 1].[TAT Delivery (Days)].[All]" dimensionUniqueName="[Sheet1 1]" displayFolder="" count="0" memberValueDatatype="20" unbalanced="0"/>
    <cacheHierarchy uniqueName="[Sheet1 1].[Customer Rating]" caption="Customer Rating" attribute="1" defaultMemberUniqueName="[Sheet1 1].[Customer Rating].[All]" allUniqueName="[Sheet1 1].[Customer Rating].[All]" dimensionUniqueName="[Sheet1 1]" displayFolder="" count="0" memberValueDatatype="20" unbalanced="0"/>
    <cacheHierarchy uniqueName="[Sheet1 1].[NPS Category]" caption="NPS Category" attribute="1" defaultMemberUniqueName="[Sheet1 1].[NPS Category].[All]" allUniqueName="[Sheet1 1].[NPS Category].[All]" dimensionUniqueName="[Sheet1 1]" displayFolder="" count="0" memberValueDatatype="130" unbalanced="0"/>
    <cacheHierarchy uniqueName="[Sheet1 1].[Pre-Booking Date (Month Index)]" caption="Pre-Booking Date (Month Index)" attribute="1" defaultMemberUniqueName="[Sheet1 1].[Pre-Booking Date (Month Index)].[All]" allUniqueName="[Sheet1 1].[Pre-Booking Date (Month Index)].[All]" dimensionUniqueName="[Sheet1 1]" displayFolder="" count="0" memberValueDatatype="20" unbalanced="0"/>
    <cacheHierarchy uniqueName="[Sheet1 1].[Pre-Booking Date (Month)]" caption="Pre-Booking Date (Month)" attribute="1" defaultMemberUniqueName="[Sheet1 1].[Pre-Booking Date (Month)].[All]" allUniqueName="[Sheet1 1].[Pre-Booking Date (Month)].[All]" dimensionUniqueName="[Sheet1 1]" displayFolder="" count="0" memberValueDatatype="130" unbalanced="0"/>
    <cacheHierarchy uniqueName="[Sheet1 1].[Delivery Date (Month Index)]" caption="Delivery Date (Month Index)" attribute="1" defaultMemberUniqueName="[Sheet1 1].[Delivery Date (Month Index)].[All]" allUniqueName="[Sheet1 1].[Delivery Date (Month Index)].[All]" dimensionUniqueName="[Sheet1 1]" displayFolder="" count="0" memberValueDatatype="20" unbalanced="0"/>
    <cacheHierarchy uniqueName="[Sheet1 1].[Delivery Date (Month)]" caption="Delivery Date (Month)" attribute="1" defaultMemberUniqueName="[Sheet1 1].[Delivery Date (Month)].[All]" allUniqueName="[Sheet1 1].[Delivery Date (Month)].[All]" dimensionUniqueName="[Sheet1 1]" displayFolder="" count="0" memberValueDatatype="130" unbalanced="0"/>
    <cacheHierarchy uniqueName="[Sheet1].[Delivery Date (Month Index)]" caption="Delivery Date (Month Index)" attribute="1" defaultMemberUniqueName="[Sheet1].[Delivery Date (Month Index)].[All]" allUniqueName="[Sheet1].[Delivery Date (Month Index)].[All]" dimensionUniqueName="[Sheet1]" displayFolder="" count="0" memberValueDatatype="20" unbalanced="0" hidden="1"/>
    <cacheHierarchy uniqueName="[Sheet1].[Pre-Booking Date (Month Index)]" caption="Pre-Booking Date (Month Index)" attribute="1" defaultMemberUniqueName="[Sheet1].[Pre-Booking Date (Month Index)].[All]" allUniqueName="[Sheet1].[Pre-Booking 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Count of Lead Date]" caption="Count of Lead Date" measure="1" displayFolder="" measureGroup="Sheet1" count="0" hidden="1">
      <extLst>
        <ext xmlns:x15="http://schemas.microsoft.com/office/spreadsheetml/2010/11/main" uri="{B97F6D7D-B522-45F9-BDA1-12C45D357490}">
          <x15:cacheHierarchy aggregatedColumn="3"/>
        </ext>
      </extLst>
    </cacheHierarchy>
    <cacheHierarchy uniqueName="[Measures].[Count of Pre-Booking Date (Month)]" caption="Count of Pre-Booking Date (Month)" measure="1" displayFolder="" measureGroup="Sheet1" count="0" hidden="1">
      <extLst>
        <ext xmlns:x15="http://schemas.microsoft.com/office/spreadsheetml/2010/11/main" uri="{B97F6D7D-B522-45F9-BDA1-12C45D357490}">
          <x15:cacheHierarchy aggregatedColumn="14"/>
        </ext>
      </extLst>
    </cacheHierarchy>
    <cacheHierarchy uniqueName="[Measures].[Count of Pre-Booking Date]" caption="Count of Pre-Booking Date" measure="1" displayFolder="" measureGroup="Sheet1" count="0" hidden="1">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Sheet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Sheet1" count="0" hidden="1">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Sheet1" count="0" hidden="1">
      <extLst>
        <ext xmlns:x15="http://schemas.microsoft.com/office/spreadsheetml/2010/11/main" uri="{B97F6D7D-B522-45F9-BDA1-12C45D357490}">
          <x15:cacheHierarchy aggregatedColumn="0"/>
        </ext>
      </extLst>
    </cacheHierarchy>
    <cacheHierarchy uniqueName="[Measures].[Sum of TAT Pre-Booking (Days)]" caption="Sum of TAT Pre-Booking (Days)" measure="1" displayFolder="" measureGroup="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Sheet1" count="0" hidden="1">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Sheet1" count="0" hidden="1">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Sheet1" count="0" hidden="1">
      <extLst>
        <ext xmlns:x15="http://schemas.microsoft.com/office/spreadsheetml/2010/11/main" uri="{B97F6D7D-B522-45F9-BDA1-12C45D357490}">
          <x15:cacheHierarchy aggregatedColumn="12"/>
        </ext>
      </extLst>
    </cacheHierarchy>
    <cacheHierarchy uniqueName="[Measures].[Count of Cancellation Status]" caption="Count of Cancellation Status" measure="1" displayFolder="" measureGroup="Sheet1" count="0" hidden="1">
      <extLst>
        <ext xmlns:x15="http://schemas.microsoft.com/office/spreadsheetml/2010/11/main" uri="{B97F6D7D-B522-45F9-BDA1-12C45D357490}">
          <x15:cacheHierarchy aggregatedColumn="7"/>
        </ext>
      </extLst>
    </cacheHierarchy>
    <cacheHierarchy uniqueName="[Measures].[Count of NPS Category]" caption="Count of NPS Category" measure="1" displayFolder="" measureGroup="Sheet1 1" count="0" hidden="1">
      <extLst>
        <ext xmlns:x15="http://schemas.microsoft.com/office/spreadsheetml/2010/11/main" uri="{B97F6D7D-B522-45F9-BDA1-12C45D357490}">
          <x15:cacheHierarchy aggregatedColumn="31"/>
        </ext>
      </extLst>
    </cacheHierarchy>
    <cacheHierarchy uniqueName="[Measures].[Sum of Customer Rating]" caption="Sum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Customer Rating]" caption="Count of Customer Rating" measure="1" displayFolder="" measureGroup="Sheet1" count="0" hidden="1">
      <extLst>
        <ext xmlns:x15="http://schemas.microsoft.com/office/spreadsheetml/2010/11/main" uri="{B97F6D7D-B522-45F9-BDA1-12C45D357490}">
          <x15:cacheHierarchy aggregatedColumn="13"/>
        </ext>
      </extLst>
    </cacheHierarchy>
    <cacheHierarchy uniqueName="[Measures].[Count of Lead ID 2]" caption="Count of Lead ID 2" measure="1" displayFolder="" measureGroup="Sheet1 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6430920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07F3CF-B6EA-4E4C-9111-D064790F7B59}" name="PivotTable10"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27:L33" firstHeaderRow="1" firstDataRow="2"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Count of Lead ID" fld="2" subtotal="count" baseField="0" baseItem="0"/>
  </dataFields>
  <chartFormats count="3">
    <chartFormat chart="16" format="12" series="1">
      <pivotArea type="data" outline="0" fieldPosition="0">
        <references count="2">
          <reference field="4294967294" count="1" selected="0">
            <x v="0"/>
          </reference>
          <reference field="1" count="1" selected="0">
            <x v="0"/>
          </reference>
        </references>
      </pivotArea>
    </chartFormat>
    <chartFormat chart="16" format="13" series="1">
      <pivotArea type="data" outline="0" fieldPosition="0">
        <references count="2">
          <reference field="4294967294" count="1" selected="0">
            <x v="0"/>
          </reference>
          <reference field="1" count="1" selected="0">
            <x v="1"/>
          </reference>
        </references>
      </pivotArea>
    </chartFormat>
    <chartFormat chart="16" format="14" series="1">
      <pivotArea type="data" outline="0" fieldPosition="0">
        <references count="2">
          <reference field="4294967294" count="1" selected="0">
            <x v="0"/>
          </reference>
          <reference field="1" count="1" selected="0">
            <x v="2"/>
          </reference>
        </references>
      </pivotArea>
    </chartFormat>
  </chartFormats>
  <pivotHierarchies count="58">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Sheet1].[Cancellation Reason].&amp;[Changed Mind]"/>
        <member name="[Sheet1].[Cancellation Reason].&amp;[Financing Issue]"/>
        <member name="[Sheet1].[Cancellation Reason].&amp;[Pri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49247B-FB21-4F6D-ADFB-A5F9C6AFA164}" name="PivotTable4"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7:E33"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Count of Lead ID" fld="2" subtotal="count" baseField="0" baseItem="0"/>
  </dataFields>
  <chartFormats count="15">
    <chartFormat chart="21" format="48" series="1">
      <pivotArea type="data" outline="0" fieldPosition="0">
        <references count="2">
          <reference field="4294967294" count="1" selected="0">
            <x v="0"/>
          </reference>
          <reference field="1" count="1" selected="0">
            <x v="0"/>
          </reference>
        </references>
      </pivotArea>
    </chartFormat>
    <chartFormat chart="21" format="49">
      <pivotArea type="data" outline="0" fieldPosition="0">
        <references count="3">
          <reference field="4294967294" count="1" selected="0">
            <x v="0"/>
          </reference>
          <reference field="0" count="1" selected="0">
            <x v="0"/>
          </reference>
          <reference field="1" count="1" selected="0">
            <x v="0"/>
          </reference>
        </references>
      </pivotArea>
    </chartFormat>
    <chartFormat chart="21" format="50">
      <pivotArea type="data" outline="0" fieldPosition="0">
        <references count="3">
          <reference field="4294967294" count="1" selected="0">
            <x v="0"/>
          </reference>
          <reference field="0" count="1" selected="0">
            <x v="1"/>
          </reference>
          <reference field="1" count="1" selected="0">
            <x v="0"/>
          </reference>
        </references>
      </pivotArea>
    </chartFormat>
    <chartFormat chart="21" format="51">
      <pivotArea type="data" outline="0" fieldPosition="0">
        <references count="3">
          <reference field="4294967294" count="1" selected="0">
            <x v="0"/>
          </reference>
          <reference field="0" count="1" selected="0">
            <x v="2"/>
          </reference>
          <reference field="1" count="1" selected="0">
            <x v="0"/>
          </reference>
        </references>
      </pivotArea>
    </chartFormat>
    <chartFormat chart="21" format="52">
      <pivotArea type="data" outline="0" fieldPosition="0">
        <references count="3">
          <reference field="4294967294" count="1" selected="0">
            <x v="0"/>
          </reference>
          <reference field="0" count="1" selected="0">
            <x v="3"/>
          </reference>
          <reference field="1" count="1" selected="0">
            <x v="0"/>
          </reference>
        </references>
      </pivotArea>
    </chartFormat>
    <chartFormat chart="21" format="53" series="1">
      <pivotArea type="data" outline="0" fieldPosition="0">
        <references count="2">
          <reference field="4294967294" count="1" selected="0">
            <x v="0"/>
          </reference>
          <reference field="1" count="1" selected="0">
            <x v="1"/>
          </reference>
        </references>
      </pivotArea>
    </chartFormat>
    <chartFormat chart="21" format="54">
      <pivotArea type="data" outline="0" fieldPosition="0">
        <references count="3">
          <reference field="4294967294" count="1" selected="0">
            <x v="0"/>
          </reference>
          <reference field="0" count="1" selected="0">
            <x v="0"/>
          </reference>
          <reference field="1" count="1" selected="0">
            <x v="1"/>
          </reference>
        </references>
      </pivotArea>
    </chartFormat>
    <chartFormat chart="21" format="55">
      <pivotArea type="data" outline="0" fieldPosition="0">
        <references count="3">
          <reference field="4294967294" count="1" selected="0">
            <x v="0"/>
          </reference>
          <reference field="0" count="1" selected="0">
            <x v="1"/>
          </reference>
          <reference field="1" count="1" selected="0">
            <x v="1"/>
          </reference>
        </references>
      </pivotArea>
    </chartFormat>
    <chartFormat chart="21" format="56">
      <pivotArea type="data" outline="0" fieldPosition="0">
        <references count="3">
          <reference field="4294967294" count="1" selected="0">
            <x v="0"/>
          </reference>
          <reference field="0" count="1" selected="0">
            <x v="2"/>
          </reference>
          <reference field="1" count="1" selected="0">
            <x v="1"/>
          </reference>
        </references>
      </pivotArea>
    </chartFormat>
    <chartFormat chart="21" format="57">
      <pivotArea type="data" outline="0" fieldPosition="0">
        <references count="3">
          <reference field="4294967294" count="1" selected="0">
            <x v="0"/>
          </reference>
          <reference field="0" count="1" selected="0">
            <x v="3"/>
          </reference>
          <reference field="1" count="1" selected="0">
            <x v="1"/>
          </reference>
        </references>
      </pivotArea>
    </chartFormat>
    <chartFormat chart="21" format="58" series="1">
      <pivotArea type="data" outline="0" fieldPosition="0">
        <references count="2">
          <reference field="4294967294" count="1" selected="0">
            <x v="0"/>
          </reference>
          <reference field="1" count="1" selected="0">
            <x v="2"/>
          </reference>
        </references>
      </pivotArea>
    </chartFormat>
    <chartFormat chart="21" format="59">
      <pivotArea type="data" outline="0" fieldPosition="0">
        <references count="3">
          <reference field="4294967294" count="1" selected="0">
            <x v="0"/>
          </reference>
          <reference field="0" count="1" selected="0">
            <x v="0"/>
          </reference>
          <reference field="1" count="1" selected="0">
            <x v="2"/>
          </reference>
        </references>
      </pivotArea>
    </chartFormat>
    <chartFormat chart="21" format="60">
      <pivotArea type="data" outline="0" fieldPosition="0">
        <references count="3">
          <reference field="4294967294" count="1" selected="0">
            <x v="0"/>
          </reference>
          <reference field="0" count="1" selected="0">
            <x v="1"/>
          </reference>
          <reference field="1" count="1" selected="0">
            <x v="2"/>
          </reference>
        </references>
      </pivotArea>
    </chartFormat>
    <chartFormat chart="21" format="61">
      <pivotArea type="data" outline="0" fieldPosition="0">
        <references count="3">
          <reference field="4294967294" count="1" selected="0">
            <x v="0"/>
          </reference>
          <reference field="0" count="1" selected="0">
            <x v="2"/>
          </reference>
          <reference field="1" count="1" selected="0">
            <x v="2"/>
          </reference>
        </references>
      </pivotArea>
    </chartFormat>
    <chartFormat chart="21" format="62">
      <pivotArea type="data" outline="0" fieldPosition="0">
        <references count="3">
          <reference field="4294967294" count="1" selected="0">
            <x v="0"/>
          </reference>
          <reference field="0" count="1" selected="0">
            <x v="3"/>
          </reference>
          <reference field="1" count="1" selected="0">
            <x v="2"/>
          </reference>
        </references>
      </pivotArea>
    </chartFormat>
  </chartFormats>
  <pivotHierarchies count="58">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Sheet1].[Cancellation Reason].&amp;[Changed Mind]"/>
        <member name="[Sheet1].[Cancellation Reason].&amp;[Financing Issue]"/>
        <member name="[Sheet1].[Cancellation Reason].&amp;[Pri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94CE93-4E5D-4CC1-A86A-1C4C6851E84C}" name="PivotTable3"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H15:O21"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5">
    <i>
      <x/>
    </i>
    <i>
      <x v="1"/>
    </i>
    <i>
      <x v="2"/>
    </i>
    <i>
      <x v="3"/>
    </i>
    <i t="grand">
      <x/>
    </i>
  </rowItems>
  <colFields count="1">
    <field x="1"/>
  </colFields>
  <colItems count="7">
    <i>
      <x/>
    </i>
    <i>
      <x v="1"/>
    </i>
    <i>
      <x v="2"/>
    </i>
    <i>
      <x v="3"/>
    </i>
    <i>
      <x v="4"/>
    </i>
    <i>
      <x v="5"/>
    </i>
    <i t="grand">
      <x/>
    </i>
  </colItems>
  <dataFields count="1">
    <dataField name="Count of Cancellation Status" fld="2" subtotal="count" baseField="0" baseItem="0"/>
  </dataFields>
  <chartFormats count="30">
    <chartFormat chart="36" format="190" series="1">
      <pivotArea type="data" outline="0" fieldPosition="0">
        <references count="2">
          <reference field="4294967294" count="1" selected="0">
            <x v="0"/>
          </reference>
          <reference field="1" count="1" selected="0">
            <x v="0"/>
          </reference>
        </references>
      </pivotArea>
    </chartFormat>
    <chartFormat chart="36" format="191">
      <pivotArea type="data" outline="0" fieldPosition="0">
        <references count="3">
          <reference field="4294967294" count="1" selected="0">
            <x v="0"/>
          </reference>
          <reference field="0" count="1" selected="0">
            <x v="0"/>
          </reference>
          <reference field="1" count="1" selected="0">
            <x v="0"/>
          </reference>
        </references>
      </pivotArea>
    </chartFormat>
    <chartFormat chart="36" format="192">
      <pivotArea type="data" outline="0" fieldPosition="0">
        <references count="3">
          <reference field="4294967294" count="1" selected="0">
            <x v="0"/>
          </reference>
          <reference field="0" count="1" selected="0">
            <x v="1"/>
          </reference>
          <reference field="1" count="1" selected="0">
            <x v="0"/>
          </reference>
        </references>
      </pivotArea>
    </chartFormat>
    <chartFormat chart="36" format="193">
      <pivotArea type="data" outline="0" fieldPosition="0">
        <references count="3">
          <reference field="4294967294" count="1" selected="0">
            <x v="0"/>
          </reference>
          <reference field="0" count="1" selected="0">
            <x v="2"/>
          </reference>
          <reference field="1" count="1" selected="0">
            <x v="0"/>
          </reference>
        </references>
      </pivotArea>
    </chartFormat>
    <chartFormat chart="36" format="194">
      <pivotArea type="data" outline="0" fieldPosition="0">
        <references count="3">
          <reference field="4294967294" count="1" selected="0">
            <x v="0"/>
          </reference>
          <reference field="0" count="1" selected="0">
            <x v="3"/>
          </reference>
          <reference field="1" count="1" selected="0">
            <x v="0"/>
          </reference>
        </references>
      </pivotArea>
    </chartFormat>
    <chartFormat chart="36" format="195" series="1">
      <pivotArea type="data" outline="0" fieldPosition="0">
        <references count="2">
          <reference field="4294967294" count="1" selected="0">
            <x v="0"/>
          </reference>
          <reference field="1" count="1" selected="0">
            <x v="1"/>
          </reference>
        </references>
      </pivotArea>
    </chartFormat>
    <chartFormat chart="36" format="196">
      <pivotArea type="data" outline="0" fieldPosition="0">
        <references count="3">
          <reference field="4294967294" count="1" selected="0">
            <x v="0"/>
          </reference>
          <reference field="0" count="1" selected="0">
            <x v="0"/>
          </reference>
          <reference field="1" count="1" selected="0">
            <x v="1"/>
          </reference>
        </references>
      </pivotArea>
    </chartFormat>
    <chartFormat chart="36" format="197">
      <pivotArea type="data" outline="0" fieldPosition="0">
        <references count="3">
          <reference field="4294967294" count="1" selected="0">
            <x v="0"/>
          </reference>
          <reference field="0" count="1" selected="0">
            <x v="1"/>
          </reference>
          <reference field="1" count="1" selected="0">
            <x v="1"/>
          </reference>
        </references>
      </pivotArea>
    </chartFormat>
    <chartFormat chart="36" format="198">
      <pivotArea type="data" outline="0" fieldPosition="0">
        <references count="3">
          <reference field="4294967294" count="1" selected="0">
            <x v="0"/>
          </reference>
          <reference field="0" count="1" selected="0">
            <x v="2"/>
          </reference>
          <reference field="1" count="1" selected="0">
            <x v="1"/>
          </reference>
        </references>
      </pivotArea>
    </chartFormat>
    <chartFormat chart="36" format="199">
      <pivotArea type="data" outline="0" fieldPosition="0">
        <references count="3">
          <reference field="4294967294" count="1" selected="0">
            <x v="0"/>
          </reference>
          <reference field="0" count="1" selected="0">
            <x v="3"/>
          </reference>
          <reference field="1" count="1" selected="0">
            <x v="1"/>
          </reference>
        </references>
      </pivotArea>
    </chartFormat>
    <chartFormat chart="36" format="200" series="1">
      <pivotArea type="data" outline="0" fieldPosition="0">
        <references count="2">
          <reference field="4294967294" count="1" selected="0">
            <x v="0"/>
          </reference>
          <reference field="1" count="1" selected="0">
            <x v="2"/>
          </reference>
        </references>
      </pivotArea>
    </chartFormat>
    <chartFormat chart="36" format="201">
      <pivotArea type="data" outline="0" fieldPosition="0">
        <references count="3">
          <reference field="4294967294" count="1" selected="0">
            <x v="0"/>
          </reference>
          <reference field="0" count="1" selected="0">
            <x v="0"/>
          </reference>
          <reference field="1" count="1" selected="0">
            <x v="2"/>
          </reference>
        </references>
      </pivotArea>
    </chartFormat>
    <chartFormat chart="36" format="202">
      <pivotArea type="data" outline="0" fieldPosition="0">
        <references count="3">
          <reference field="4294967294" count="1" selected="0">
            <x v="0"/>
          </reference>
          <reference field="0" count="1" selected="0">
            <x v="1"/>
          </reference>
          <reference field="1" count="1" selected="0">
            <x v="2"/>
          </reference>
        </references>
      </pivotArea>
    </chartFormat>
    <chartFormat chart="36" format="203">
      <pivotArea type="data" outline="0" fieldPosition="0">
        <references count="3">
          <reference field="4294967294" count="1" selected="0">
            <x v="0"/>
          </reference>
          <reference field="0" count="1" selected="0">
            <x v="2"/>
          </reference>
          <reference field="1" count="1" selected="0">
            <x v="2"/>
          </reference>
        </references>
      </pivotArea>
    </chartFormat>
    <chartFormat chart="36" format="204">
      <pivotArea type="data" outline="0" fieldPosition="0">
        <references count="3">
          <reference field="4294967294" count="1" selected="0">
            <x v="0"/>
          </reference>
          <reference field="0" count="1" selected="0">
            <x v="3"/>
          </reference>
          <reference field="1" count="1" selected="0">
            <x v="2"/>
          </reference>
        </references>
      </pivotArea>
    </chartFormat>
    <chartFormat chart="36" format="205" series="1">
      <pivotArea type="data" outline="0" fieldPosition="0">
        <references count="2">
          <reference field="4294967294" count="1" selected="0">
            <x v="0"/>
          </reference>
          <reference field="1" count="1" selected="0">
            <x v="3"/>
          </reference>
        </references>
      </pivotArea>
    </chartFormat>
    <chartFormat chart="36" format="206">
      <pivotArea type="data" outline="0" fieldPosition="0">
        <references count="3">
          <reference field="4294967294" count="1" selected="0">
            <x v="0"/>
          </reference>
          <reference field="0" count="1" selected="0">
            <x v="0"/>
          </reference>
          <reference field="1" count="1" selected="0">
            <x v="3"/>
          </reference>
        </references>
      </pivotArea>
    </chartFormat>
    <chartFormat chart="36" format="207">
      <pivotArea type="data" outline="0" fieldPosition="0">
        <references count="3">
          <reference field="4294967294" count="1" selected="0">
            <x v="0"/>
          </reference>
          <reference field="0" count="1" selected="0">
            <x v="1"/>
          </reference>
          <reference field="1" count="1" selected="0">
            <x v="3"/>
          </reference>
        </references>
      </pivotArea>
    </chartFormat>
    <chartFormat chart="36" format="208">
      <pivotArea type="data" outline="0" fieldPosition="0">
        <references count="3">
          <reference field="4294967294" count="1" selected="0">
            <x v="0"/>
          </reference>
          <reference field="0" count="1" selected="0">
            <x v="2"/>
          </reference>
          <reference field="1" count="1" selected="0">
            <x v="3"/>
          </reference>
        </references>
      </pivotArea>
    </chartFormat>
    <chartFormat chart="36" format="209">
      <pivotArea type="data" outline="0" fieldPosition="0">
        <references count="3">
          <reference field="4294967294" count="1" selected="0">
            <x v="0"/>
          </reference>
          <reference field="0" count="1" selected="0">
            <x v="3"/>
          </reference>
          <reference field="1" count="1" selected="0">
            <x v="3"/>
          </reference>
        </references>
      </pivotArea>
    </chartFormat>
    <chartFormat chart="36" format="210" series="1">
      <pivotArea type="data" outline="0" fieldPosition="0">
        <references count="2">
          <reference field="4294967294" count="1" selected="0">
            <x v="0"/>
          </reference>
          <reference field="1" count="1" selected="0">
            <x v="4"/>
          </reference>
        </references>
      </pivotArea>
    </chartFormat>
    <chartFormat chart="36" format="211">
      <pivotArea type="data" outline="0" fieldPosition="0">
        <references count="3">
          <reference field="4294967294" count="1" selected="0">
            <x v="0"/>
          </reference>
          <reference field="0" count="1" selected="0">
            <x v="0"/>
          </reference>
          <reference field="1" count="1" selected="0">
            <x v="4"/>
          </reference>
        </references>
      </pivotArea>
    </chartFormat>
    <chartFormat chart="36" format="212">
      <pivotArea type="data" outline="0" fieldPosition="0">
        <references count="3">
          <reference field="4294967294" count="1" selected="0">
            <x v="0"/>
          </reference>
          <reference field="0" count="1" selected="0">
            <x v="1"/>
          </reference>
          <reference field="1" count="1" selected="0">
            <x v="4"/>
          </reference>
        </references>
      </pivotArea>
    </chartFormat>
    <chartFormat chart="36" format="213">
      <pivotArea type="data" outline="0" fieldPosition="0">
        <references count="3">
          <reference field="4294967294" count="1" selected="0">
            <x v="0"/>
          </reference>
          <reference field="0" count="1" selected="0">
            <x v="2"/>
          </reference>
          <reference field="1" count="1" selected="0">
            <x v="4"/>
          </reference>
        </references>
      </pivotArea>
    </chartFormat>
    <chartFormat chart="36" format="214">
      <pivotArea type="data" outline="0" fieldPosition="0">
        <references count="3">
          <reference field="4294967294" count="1" selected="0">
            <x v="0"/>
          </reference>
          <reference field="0" count="1" selected="0">
            <x v="3"/>
          </reference>
          <reference field="1" count="1" selected="0">
            <x v="4"/>
          </reference>
        </references>
      </pivotArea>
    </chartFormat>
    <chartFormat chart="36" format="215" series="1">
      <pivotArea type="data" outline="0" fieldPosition="0">
        <references count="2">
          <reference field="4294967294" count="1" selected="0">
            <x v="0"/>
          </reference>
          <reference field="1" count="1" selected="0">
            <x v="5"/>
          </reference>
        </references>
      </pivotArea>
    </chartFormat>
    <chartFormat chart="36" format="216">
      <pivotArea type="data" outline="0" fieldPosition="0">
        <references count="3">
          <reference field="4294967294" count="1" selected="0">
            <x v="0"/>
          </reference>
          <reference field="0" count="1" selected="0">
            <x v="0"/>
          </reference>
          <reference field="1" count="1" selected="0">
            <x v="5"/>
          </reference>
        </references>
      </pivotArea>
    </chartFormat>
    <chartFormat chart="36" format="217">
      <pivotArea type="data" outline="0" fieldPosition="0">
        <references count="3">
          <reference field="4294967294" count="1" selected="0">
            <x v="0"/>
          </reference>
          <reference field="0" count="1" selected="0">
            <x v="1"/>
          </reference>
          <reference field="1" count="1" selected="0">
            <x v="5"/>
          </reference>
        </references>
      </pivotArea>
    </chartFormat>
    <chartFormat chart="36" format="218">
      <pivotArea type="data" outline="0" fieldPosition="0">
        <references count="3">
          <reference field="4294967294" count="1" selected="0">
            <x v="0"/>
          </reference>
          <reference field="0" count="1" selected="0">
            <x v="2"/>
          </reference>
          <reference field="1" count="1" selected="0">
            <x v="5"/>
          </reference>
        </references>
      </pivotArea>
    </chartFormat>
    <chartFormat chart="36" format="219">
      <pivotArea type="data" outline="0" fieldPosition="0">
        <references count="3">
          <reference field="4294967294" count="1" selected="0">
            <x v="0"/>
          </reference>
          <reference field="0" count="1" selected="0">
            <x v="3"/>
          </reference>
          <reference field="1" count="1" selected="0">
            <x v="5"/>
          </reference>
        </references>
      </pivotArea>
    </chartFormat>
  </chartFormats>
  <pivotHierarchies count="58">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B1E008-863C-4C65-8B67-746C4F688540}" name="PivotTable2" cacheId="1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9">
  <location ref="A15:D20"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Average of TAT Pre-Booking (Days)" fld="1" subtotal="average" baseField="0" baseItem="0" numFmtId="1"/>
    <dataField name="Average of TAT Booking (Days)" fld="2" subtotal="average" baseField="0" baseItem="0" numFmtId="1"/>
    <dataField name="Average of TAT Delivery (Days)" fld="3" subtotal="average" baseField="0" baseItem="0" numFmtId="1"/>
  </dataFields>
  <chartFormats count="3">
    <chartFormat chart="58" format="12" series="1">
      <pivotArea type="data" outline="0" fieldPosition="0">
        <references count="1">
          <reference field="4294967294" count="1" selected="0">
            <x v="0"/>
          </reference>
        </references>
      </pivotArea>
    </chartFormat>
    <chartFormat chart="58" format="13" series="1">
      <pivotArea type="data" outline="0" fieldPosition="0">
        <references count="1">
          <reference field="4294967294" count="1" selected="0">
            <x v="1"/>
          </reference>
        </references>
      </pivotArea>
    </chartFormat>
    <chartFormat chart="58" format="14" series="1">
      <pivotArea type="data" outline="0" fieldPosition="0">
        <references count="1">
          <reference field="4294967294" count="1" selected="0">
            <x v="2"/>
          </reference>
        </references>
      </pivotArea>
    </chartFormat>
  </chartFormats>
  <pivotHierarchies count="58">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Sheet1].[Cancellation Reason].&amp;[Changed Mind]"/>
        <member name="[Sheet1].[Cancellation Reason].&amp;[Financing Issue]"/>
        <member name="[Sheet1].[Cancellation Reason].&amp;[Pri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AT Pre-Booking (Days)"/>
    <pivotHierarchy dragToData="1" caption="Average of TAT Booking (Days)"/>
    <pivotHierarchy dragToData="1" caption="Average of TAT Delivery (Day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9AFC91-4EBD-4568-96BA-99A26EC52EAB}" name="PivotTable1"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E9"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name="Count of Lead ID" fld="4" subtotal="count" baseField="0" baseItem="0"/>
    <dataField name="Count of Pre-Booking Date" fld="3" subtotal="count" baseField="0" baseItem="0"/>
    <dataField name="Count of Booking Date" fld="1" subtotal="count" baseField="0" baseItem="0"/>
    <dataField name="Count of Delivery Date" fld="2" subtotal="count" baseField="0" baseItem="0"/>
  </dataFields>
  <pivotHierarchies count="58">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Sheet1].[Cancellation Reason].&amp;[Changed Mind]"/>
        <member name="[Sheet1].[Cancellation Reason].&amp;[Financing Issue]"/>
        <member name="[Sheet1].[Cancellation Reason].&amp;[Pri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0671746-6969-43B9-8D3B-C7B8180501DE}" autoFormatId="16" applyNumberFormats="0" applyBorderFormats="0" applyFontFormats="0" applyPatternFormats="0" applyAlignmentFormats="0" applyWidthHeightFormats="0">
  <queryTableRefresh nextId="22" unboundColumnsRight="1">
    <queryTableFields count="21">
      <queryTableField id="1" name="Lead ID" tableColumnId="1"/>
      <queryTableField id="2" name="Store Name" tableColumnId="2"/>
      <queryTableField id="3" name="Lead Type" tableColumnId="3"/>
      <queryTableField id="4" name="Lead Date" tableColumnId="4"/>
      <queryTableField id="5" name="Pre-Booking Date" tableColumnId="5"/>
      <queryTableField id="6" name="Booking Date" tableColumnId="6"/>
      <queryTableField id="7" name="Delivery Date" tableColumnId="7"/>
      <queryTableField id="8" name="Cancellation Status" tableColumnId="8"/>
      <queryTableField id="17" dataBound="0" tableColumnId="19"/>
      <queryTableField id="9" name="Cancellation Reason" tableColumnId="9"/>
      <queryTableField id="10" name="Service Follow-up Date" tableColumnId="10"/>
      <queryTableField id="11" name="TAT Pre-Booking (Days)" tableColumnId="11"/>
      <queryTableField id="12" name="TAT Booking (Days)" tableColumnId="12"/>
      <queryTableField id="13" name="TAT Delivery (Days)" tableColumnId="13"/>
      <queryTableField id="14" name="Customer Rating" tableColumnId="14"/>
      <queryTableField id="20" dataBound="0" tableColumnId="22"/>
      <queryTableField id="15" name="Pre-Booking Date (Month Index)" tableColumnId="15"/>
      <queryTableField id="16" name="Pre-Booking Date (Month)" tableColumnId="16"/>
      <queryTableField id="18" name="Delivery Date (Month Index)" tableColumnId="20"/>
      <queryTableField id="19" name="Delivery Date (Month)" tableColumnId="21"/>
      <queryTableField id="21" dataBound="0" tableColumnId="17"/>
    </queryTableFields>
  </queryTableRefresh>
  <extLst>
    <ext xmlns:x15="http://schemas.microsoft.com/office/spreadsheetml/2010/11/main" uri="{883FBD77-0823-4a55-B5E3-86C4891E6966}">
      <x15:queryTable sourceDataName="Query - Sheet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7756000E-4296-47AD-AA3B-4AF3CBB34482}" sourceName="[Sheet1].[Store Name]">
  <pivotTables>
    <pivotTable tabId="3" name="PivotTable3"/>
    <pivotTable tabId="3" name="PivotTable1"/>
    <pivotTable tabId="3" name="PivotTable10"/>
    <pivotTable tabId="3" name="PivotTable2"/>
    <pivotTable tabId="3" name="PivotTable4"/>
  </pivotTables>
  <data>
    <olap pivotCacheId="1643092016">
      <levels count="2">
        <level uniqueName="[Sheet1].[Store Name].[(All)]" sourceCaption="(All)" count="0"/>
        <level uniqueName="[Sheet1].[Store Name].[Store Name]" sourceCaption="Store Name" count="4">
          <ranges>
            <range startItem="0">
              <i n="[Sheet1].[Store Name].&amp;[Bangalore MBC]" c="Bangalore MBC"/>
              <i n="[Sheet1].[Store Name].&amp;[Chennai MBC]" c="Chennai MBC"/>
              <i n="[Sheet1].[Store Name].&amp;[Delhi MBC]" c="Delhi MBC"/>
              <i n="[Sheet1].[Store Name].&amp;[Mumbai MBC]" c="Mumbai MBC"/>
            </range>
          </ranges>
        </level>
      </levels>
      <selections count="1">
        <selection n="[Sheet1].[Store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Reason" xr10:uid="{DAAA0908-8C46-4EAB-9915-8E6532751D48}" sourceName="[Sheet1].[Cancellation Reason]">
  <pivotTables>
    <pivotTable tabId="3" name="PivotTable3"/>
  </pivotTables>
  <data>
    <olap pivotCacheId="1643092016">
      <levels count="2">
        <level uniqueName="[Sheet1].[Cancellation Reason].[(All)]" sourceCaption="(All)" count="0"/>
        <level uniqueName="[Sheet1].[Cancellation Reason].[Cancellation Reason]" sourceCaption="Cancellation Reason" count="6">
          <ranges>
            <range startItem="0">
              <i n="[Sheet1].[Cancellation Reason].&amp;[Changed Mind]" c="Changed Mind"/>
              <i n="[Sheet1].[Cancellation Reason].&amp;[Financing Issue]" c="Financing Issue"/>
              <i n="[Sheet1].[Cancellation Reason].&amp;[Model Unavailable]" c="Model Unavailable"/>
              <i n="[Sheet1].[Cancellation Reason].&amp;[Not Cancelled]" c="Not Cancelled"/>
              <i n="[Sheet1].[Cancellation Reason].&amp;[Other]" c="Other"/>
              <i n="[Sheet1].[Cancellation Reason].&amp;[Price]" c="Price"/>
            </range>
          </ranges>
        </level>
      </levels>
      <selections count="1">
        <selection n="[Sheet1].[Cancellation Rea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C091C1B4-764A-4800-8416-F94D8FBE45E4}" sourceName="[Sheet1].[Lead Type]">
  <pivotTables>
    <pivotTable tabId="3" name="PivotTable4"/>
    <pivotTable tabId="3" name="PivotTable1"/>
    <pivotTable tabId="3" name="PivotTable10"/>
    <pivotTable tabId="3" name="PivotTable2"/>
    <pivotTable tabId="3" name="PivotTable3"/>
  </pivotTables>
  <data>
    <olap pivotCacheId="1643092016">
      <levels count="2">
        <level uniqueName="[Sheet1].[Lead Type].[(All)]" sourceCaption="(All)" count="0"/>
        <level uniqueName="[Sheet1].[Lead Type].[Lead Type]" sourceCaption="Lead Type" count="3">
          <ranges>
            <range startItem="0">
              <i n="[Sheet1].[Lead Type].&amp;[Cold]" c="Cold"/>
              <i n="[Sheet1].[Lead Type].&amp;[Hot]" c="Hot"/>
              <i n="[Sheet1].[Lead Type].&amp;[Warm]" c="Warm"/>
            </range>
          </ranges>
        </level>
      </levels>
      <selections count="1">
        <selection n="[Sheet1].[Lead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2" xr10:uid="{049A6640-5E1C-482B-B9AF-2E7144F7BC07}" cache="Slicer_Store_Name" caption="Store Name" level="1" style="SlicerStyleDark6" rowHeight="234950"/>
  <slicer name="Cancellation Reason 2" xr10:uid="{E7E2D0DD-A118-47F9-85E5-7E7F1C92D976}" cache="Slicer_Cancellation_Reason" caption="Cancellation Reason" level="1" style="SlicerStyleDark6" rowHeight="234950"/>
  <slicer name="Lead Type 2" xr10:uid="{A95B8FB0-8D58-467A-A8C8-105F4A4B1429}" cache="Slicer_Lead_Type" caption="Lead Type" level="1"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EC18E9-9DB0-4276-BFFE-D6250B7FE165}" name="Sheet1" displayName="Sheet1" ref="A1:U1001" tableType="queryTable" totalsRowShown="0">
  <autoFilter ref="A1:U1001" xr:uid="{B8EC18E9-9DB0-4276-BFFE-D6250B7FE165}"/>
  <sortState xmlns:xlrd2="http://schemas.microsoft.com/office/spreadsheetml/2017/richdata2" ref="A2:T1001">
    <sortCondition ref="A384:A1001"/>
  </sortState>
  <tableColumns count="21">
    <tableColumn id="1" xr3:uid="{51E5FC60-6B02-42B1-966B-ED9A64A5EFA8}" uniqueName="1" name="Lead ID" queryTableFieldId="1" dataDxfId="12"/>
    <tableColumn id="2" xr3:uid="{6B3CE785-0088-4DE4-9B54-FF7504F4D397}" uniqueName="2" name="Store Name" queryTableFieldId="2" dataDxfId="11"/>
    <tableColumn id="3" xr3:uid="{488A6EAF-B02D-4935-8D89-3FEE66BC7376}" uniqueName="3" name="Lead Type" queryTableFieldId="3" dataDxfId="10"/>
    <tableColumn id="4" xr3:uid="{999EE234-BB99-4945-A538-649B920E00DE}" uniqueName="4" name="Lead Date" queryTableFieldId="4" dataDxfId="9"/>
    <tableColumn id="5" xr3:uid="{32C76517-5AE3-4980-8113-298688460497}" uniqueName="5" name="Pre-Booking Date" queryTableFieldId="5" dataDxfId="8"/>
    <tableColumn id="6" xr3:uid="{21C92B5E-5960-47A0-BEDE-6C9CEB078C67}" uniqueName="6" name="Booking Date" queryTableFieldId="6" dataDxfId="7"/>
    <tableColumn id="7" xr3:uid="{39275FFE-4DA5-42AA-B2D9-2634BD0010F5}" uniqueName="7" name="Delivery Date" queryTableFieldId="7" dataDxfId="6"/>
    <tableColumn id="8" xr3:uid="{41FEBD51-26E9-4FA6-81D0-55CB05C108AF}" uniqueName="8" name="Cancellation Status" queryTableFieldId="8" dataDxfId="5"/>
    <tableColumn id="19" xr3:uid="{91C5ECC1-D92C-4365-88D3-3AC87A39E2F5}" uniqueName="19" name="Column1" queryTableFieldId="17" dataDxfId="4"/>
    <tableColumn id="9" xr3:uid="{397D3CCA-BA5F-4116-99D3-A4B3C55301DA}" uniqueName="9" name="Cancellation Reason" queryTableFieldId="9" dataDxfId="3"/>
    <tableColumn id="10" xr3:uid="{497AAB7D-99EC-4EA0-AB1E-53B2BF1446B2}" uniqueName="10" name="Service Follow-up Date" queryTableFieldId="10" dataDxfId="2"/>
    <tableColumn id="11" xr3:uid="{AFB4E51F-4190-4E7D-8C66-8F30F954D36B}" uniqueName="11" name="TAT Pre-Booking (Days)" queryTableFieldId="11"/>
    <tableColumn id="12" xr3:uid="{524D77C0-0423-45D8-A075-2B49310208D0}" uniqueName="12" name="TAT Booking (Days)" queryTableFieldId="12"/>
    <tableColumn id="13" xr3:uid="{285F684A-4CAC-4870-AE8D-EA658BAC1FA6}" uniqueName="13" name="TAT Delivery (Days)" queryTableFieldId="13"/>
    <tableColumn id="14" xr3:uid="{A7C9B6E1-E55D-48D6-9266-3F07AA0E3CE4}" uniqueName="14" name="Customer Rating" queryTableFieldId="14"/>
    <tableColumn id="22" xr3:uid="{C5637287-1266-423A-A65C-9E9E30B319CB}" uniqueName="22" name="NPS Category" queryTableFieldId="20" dataDxfId="1">
      <calculatedColumnFormula>IF(ISBLANK(O2), "Not Applicable", IF(O2&gt;=9, "Promoter", IF(O2&gt;=7, "Passive", "Detractor")))</calculatedColumnFormula>
    </tableColumn>
    <tableColumn id="15" xr3:uid="{6F1755B3-5FCB-43E3-BF91-76998F849831}" uniqueName="15" name="Pre-Booking Date (Month Index)" queryTableFieldId="15"/>
    <tableColumn id="16" xr3:uid="{5DC04E57-1B72-43D5-98BA-AF2FCEA856A8}" uniqueName="16" name="Pre-Booking Date (Month)" queryTableFieldId="16"/>
    <tableColumn id="20" xr3:uid="{47B576DC-CE92-47FA-AD55-4DAC5B7EA031}" uniqueName="20" name="Delivery Date (Month Index)" queryTableFieldId="18"/>
    <tableColumn id="21" xr3:uid="{CF35D21D-59AE-492B-A7D0-29133199D767}" uniqueName="21" name="Delivery Date (Month)" queryTableFieldId="19"/>
    <tableColumn id="17" xr3:uid="{21C7F9A1-2B7D-4A28-952F-972CEDA75CE7}" uniqueName="17" name="High-Potential." queryTableFieldId="21" dataDxfId="0">
      <calculatedColumnFormula>IF(
H2="Yes","No",
IF(
OR(
C2="Hot",
AND(C2="Warm",NOT(ISBLANK(E2)))
),
"Yes",
"No"
)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8886-1E8E-4F61-9FC7-F49D613A39B0}">
  <dimension ref="A1:R1001"/>
  <sheetViews>
    <sheetView workbookViewId="0">
      <selection activeCell="G5" sqref="G5"/>
    </sheetView>
  </sheetViews>
  <sheetFormatPr defaultRowHeight="14.4" x14ac:dyDescent="0.3"/>
  <cols>
    <col min="1" max="1" width="7.21875" bestFit="1" customWidth="1"/>
    <col min="2" max="2" width="13.6640625" bestFit="1" customWidth="1"/>
    <col min="3" max="3" width="9.5546875" bestFit="1" customWidth="1"/>
    <col min="4" max="4" width="10.33203125" bestFit="1" customWidth="1"/>
    <col min="5" max="5" width="15.77734375" bestFit="1" customWidth="1"/>
    <col min="6" max="6" width="12.21875" bestFit="1" customWidth="1"/>
    <col min="7" max="7" width="12.109375" bestFit="1" customWidth="1"/>
    <col min="8" max="8" width="17.21875" bestFit="1" customWidth="1"/>
    <col min="9" max="9" width="18.109375" bestFit="1" customWidth="1"/>
    <col min="10" max="10" width="20.33203125" bestFit="1" customWidth="1"/>
    <col min="11" max="11" width="21" bestFit="1" customWidth="1"/>
    <col min="12" max="12" width="17.5546875" bestFit="1" customWidth="1"/>
    <col min="13" max="13" width="17.44140625" bestFit="1" customWidth="1"/>
    <col min="14" max="14" width="15" bestFit="1" customWidth="1"/>
    <col min="15" max="15" width="12.109375" bestFit="1" customWidth="1"/>
    <col min="16" max="16" width="18.6640625" bestFit="1" customWidth="1"/>
    <col min="17" max="17" width="15" bestFit="1" customWidth="1"/>
  </cols>
  <sheetData>
    <row r="1" spans="1:18"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1045</v>
      </c>
      <c r="P1" s="6" t="s">
        <v>1046</v>
      </c>
      <c r="Q1" s="6" t="s">
        <v>1047</v>
      </c>
      <c r="R1" s="6" t="s">
        <v>1048</v>
      </c>
    </row>
    <row r="2" spans="1:18" x14ac:dyDescent="0.3">
      <c r="A2" t="s">
        <v>227</v>
      </c>
      <c r="B2" t="s">
        <v>27</v>
      </c>
      <c r="C2" t="s">
        <v>16</v>
      </c>
      <c r="D2" s="7">
        <v>45951</v>
      </c>
      <c r="E2" s="7">
        <v>45955</v>
      </c>
      <c r="F2" s="7">
        <v>45959</v>
      </c>
      <c r="G2" s="7">
        <v>45964</v>
      </c>
      <c r="H2" t="s">
        <v>17</v>
      </c>
      <c r="J2" s="7">
        <v>45989</v>
      </c>
      <c r="K2">
        <v>4</v>
      </c>
      <c r="L2">
        <v>4</v>
      </c>
      <c r="M2">
        <v>5</v>
      </c>
      <c r="N2">
        <v>2</v>
      </c>
      <c r="O2" s="7">
        <v>45951</v>
      </c>
      <c r="P2" s="7">
        <v>45955</v>
      </c>
      <c r="Q2" s="7">
        <v>45964</v>
      </c>
      <c r="R2" t="s">
        <v>1049</v>
      </c>
    </row>
    <row r="3" spans="1:18" x14ac:dyDescent="0.3">
      <c r="A3" t="s">
        <v>14</v>
      </c>
      <c r="B3" t="s">
        <v>15</v>
      </c>
      <c r="C3" t="s">
        <v>16</v>
      </c>
      <c r="D3" s="7">
        <v>45941</v>
      </c>
      <c r="E3" s="7">
        <v>45944</v>
      </c>
      <c r="F3" s="7">
        <v>45949</v>
      </c>
      <c r="G3" s="7">
        <v>45956</v>
      </c>
      <c r="H3" t="s">
        <v>17</v>
      </c>
      <c r="J3" s="7">
        <v>45983</v>
      </c>
      <c r="K3">
        <v>3</v>
      </c>
      <c r="L3">
        <v>5</v>
      </c>
      <c r="M3">
        <v>7</v>
      </c>
      <c r="N3">
        <v>8</v>
      </c>
      <c r="O3" s="7">
        <v>45941</v>
      </c>
      <c r="P3" s="7">
        <v>45944</v>
      </c>
      <c r="Q3" s="7">
        <v>45956</v>
      </c>
      <c r="R3" t="s">
        <v>1049</v>
      </c>
    </row>
    <row r="4" spans="1:18" x14ac:dyDescent="0.3">
      <c r="A4" t="s">
        <v>840</v>
      </c>
      <c r="B4" t="s">
        <v>29</v>
      </c>
      <c r="C4" t="s">
        <v>841</v>
      </c>
      <c r="D4" s="7">
        <v>45931</v>
      </c>
      <c r="H4" t="s">
        <v>752</v>
      </c>
      <c r="I4" t="s">
        <v>758</v>
      </c>
      <c r="O4" s="7">
        <v>45931</v>
      </c>
      <c r="R4" t="s">
        <v>1050</v>
      </c>
    </row>
    <row r="5" spans="1:18" x14ac:dyDescent="0.3">
      <c r="A5" t="s">
        <v>842</v>
      </c>
      <c r="B5" t="s">
        <v>27</v>
      </c>
      <c r="C5" t="s">
        <v>841</v>
      </c>
      <c r="D5" s="7">
        <v>45958</v>
      </c>
      <c r="H5" t="s">
        <v>752</v>
      </c>
      <c r="I5" t="s">
        <v>777</v>
      </c>
      <c r="O5" s="7">
        <v>45958</v>
      </c>
      <c r="R5" t="s">
        <v>1050</v>
      </c>
    </row>
    <row r="6" spans="1:18" x14ac:dyDescent="0.3">
      <c r="A6" t="s">
        <v>228</v>
      </c>
      <c r="B6" t="s">
        <v>15</v>
      </c>
      <c r="C6" t="s">
        <v>16</v>
      </c>
      <c r="D6" s="7">
        <v>45944</v>
      </c>
      <c r="E6" s="7">
        <v>45948</v>
      </c>
      <c r="F6" s="7">
        <v>45951</v>
      </c>
      <c r="G6" s="7">
        <v>45954</v>
      </c>
      <c r="H6" t="s">
        <v>17</v>
      </c>
      <c r="J6" s="7">
        <v>45973</v>
      </c>
      <c r="K6">
        <v>4</v>
      </c>
      <c r="L6">
        <v>3</v>
      </c>
      <c r="M6">
        <v>3</v>
      </c>
      <c r="N6">
        <v>8</v>
      </c>
      <c r="O6" s="7">
        <v>45944</v>
      </c>
      <c r="P6" s="7">
        <v>45948</v>
      </c>
      <c r="Q6" s="7">
        <v>45954</v>
      </c>
      <c r="R6" t="s">
        <v>1049</v>
      </c>
    </row>
    <row r="7" spans="1:18" x14ac:dyDescent="0.3">
      <c r="A7" t="s">
        <v>229</v>
      </c>
      <c r="B7" t="s">
        <v>15</v>
      </c>
      <c r="C7" t="s">
        <v>16</v>
      </c>
      <c r="D7" s="7">
        <v>45957</v>
      </c>
      <c r="E7" s="7">
        <v>45961</v>
      </c>
      <c r="F7" s="7">
        <v>45965</v>
      </c>
      <c r="G7" s="7">
        <v>45968</v>
      </c>
      <c r="H7" t="s">
        <v>17</v>
      </c>
      <c r="J7" s="7">
        <v>45983</v>
      </c>
      <c r="K7">
        <v>4</v>
      </c>
      <c r="L7">
        <v>4</v>
      </c>
      <c r="M7">
        <v>3</v>
      </c>
      <c r="N7">
        <v>9</v>
      </c>
      <c r="O7" s="7">
        <v>45957</v>
      </c>
      <c r="P7" s="7">
        <v>45961</v>
      </c>
      <c r="Q7" s="7">
        <v>45968</v>
      </c>
      <c r="R7" t="s">
        <v>1049</v>
      </c>
    </row>
    <row r="8" spans="1:18" x14ac:dyDescent="0.3">
      <c r="A8" t="s">
        <v>473</v>
      </c>
      <c r="B8" t="s">
        <v>29</v>
      </c>
      <c r="C8" t="s">
        <v>474</v>
      </c>
      <c r="D8" s="7">
        <v>45946</v>
      </c>
      <c r="E8" s="7">
        <v>45950</v>
      </c>
      <c r="F8" s="7">
        <v>45951</v>
      </c>
      <c r="G8" s="7">
        <v>45958</v>
      </c>
      <c r="H8" t="s">
        <v>17</v>
      </c>
      <c r="J8" s="7">
        <v>45983</v>
      </c>
      <c r="K8">
        <v>4</v>
      </c>
      <c r="L8">
        <v>1</v>
      </c>
      <c r="M8">
        <v>7</v>
      </c>
      <c r="N8">
        <v>10</v>
      </c>
      <c r="O8" s="7">
        <v>45946</v>
      </c>
      <c r="P8" s="7">
        <v>45950</v>
      </c>
      <c r="Q8" s="7">
        <v>45958</v>
      </c>
      <c r="R8" t="s">
        <v>1049</v>
      </c>
    </row>
    <row r="9" spans="1:18" x14ac:dyDescent="0.3">
      <c r="A9" t="s">
        <v>751</v>
      </c>
      <c r="B9" t="s">
        <v>22</v>
      </c>
      <c r="C9" t="s">
        <v>16</v>
      </c>
      <c r="D9" s="7">
        <v>45934</v>
      </c>
      <c r="E9" s="7">
        <v>45935</v>
      </c>
      <c r="F9" s="7">
        <v>45938</v>
      </c>
      <c r="G9" s="7">
        <v>45945</v>
      </c>
      <c r="H9" t="s">
        <v>752</v>
      </c>
      <c r="I9" t="s">
        <v>753</v>
      </c>
      <c r="K9">
        <v>1</v>
      </c>
      <c r="L9">
        <v>3</v>
      </c>
      <c r="M9">
        <v>7</v>
      </c>
      <c r="O9" s="7">
        <v>45934</v>
      </c>
      <c r="P9" s="7">
        <v>45935</v>
      </c>
      <c r="Q9" s="7">
        <v>45945</v>
      </c>
      <c r="R9" t="s">
        <v>1049</v>
      </c>
    </row>
    <row r="10" spans="1:18" x14ac:dyDescent="0.3">
      <c r="A10" t="s">
        <v>475</v>
      </c>
      <c r="B10" t="s">
        <v>27</v>
      </c>
      <c r="C10" t="s">
        <v>474</v>
      </c>
      <c r="D10" s="7">
        <v>45944</v>
      </c>
      <c r="E10" s="7">
        <v>45947</v>
      </c>
      <c r="F10" s="7">
        <v>45950</v>
      </c>
      <c r="G10" s="7">
        <v>45955</v>
      </c>
      <c r="H10" t="s">
        <v>17</v>
      </c>
      <c r="J10" s="7">
        <v>45966</v>
      </c>
      <c r="K10">
        <v>3</v>
      </c>
      <c r="L10">
        <v>3</v>
      </c>
      <c r="M10">
        <v>5</v>
      </c>
      <c r="N10">
        <v>8</v>
      </c>
      <c r="O10" s="7">
        <v>45944</v>
      </c>
      <c r="P10" s="7">
        <v>45947</v>
      </c>
      <c r="Q10" s="7">
        <v>45955</v>
      </c>
      <c r="R10" t="s">
        <v>1049</v>
      </c>
    </row>
    <row r="11" spans="1:18" x14ac:dyDescent="0.3">
      <c r="A11" t="s">
        <v>230</v>
      </c>
      <c r="B11" t="s">
        <v>29</v>
      </c>
      <c r="C11" t="s">
        <v>16</v>
      </c>
      <c r="D11" s="7">
        <v>45961</v>
      </c>
      <c r="E11" s="7">
        <v>45965</v>
      </c>
      <c r="F11" s="7">
        <v>45966</v>
      </c>
      <c r="G11" s="7">
        <v>45971</v>
      </c>
      <c r="H11" t="s">
        <v>17</v>
      </c>
      <c r="J11" s="7">
        <v>45983</v>
      </c>
      <c r="K11">
        <v>4</v>
      </c>
      <c r="L11">
        <v>1</v>
      </c>
      <c r="M11">
        <v>5</v>
      </c>
      <c r="N11">
        <v>6</v>
      </c>
      <c r="O11" s="7">
        <v>45961</v>
      </c>
      <c r="P11" s="7">
        <v>45965</v>
      </c>
      <c r="Q11" s="7">
        <v>45971</v>
      </c>
      <c r="R11" t="s">
        <v>1049</v>
      </c>
    </row>
    <row r="12" spans="1:18" x14ac:dyDescent="0.3">
      <c r="A12" t="s">
        <v>843</v>
      </c>
      <c r="B12" t="s">
        <v>27</v>
      </c>
      <c r="C12" t="s">
        <v>841</v>
      </c>
      <c r="D12" s="7">
        <v>45942</v>
      </c>
      <c r="H12" t="s">
        <v>752</v>
      </c>
      <c r="I12" t="s">
        <v>758</v>
      </c>
      <c r="O12" s="7">
        <v>45942</v>
      </c>
      <c r="R12" t="s">
        <v>1050</v>
      </c>
    </row>
    <row r="13" spans="1:18" x14ac:dyDescent="0.3">
      <c r="A13" t="s">
        <v>19</v>
      </c>
      <c r="B13" t="s">
        <v>15</v>
      </c>
      <c r="C13" t="s">
        <v>16</v>
      </c>
      <c r="D13" s="7">
        <v>45951</v>
      </c>
      <c r="E13" s="7">
        <v>45954</v>
      </c>
      <c r="F13" s="7">
        <v>45958</v>
      </c>
      <c r="G13" s="7">
        <v>45960</v>
      </c>
      <c r="H13" t="s">
        <v>17</v>
      </c>
      <c r="J13" s="7">
        <v>45971</v>
      </c>
      <c r="K13">
        <v>3</v>
      </c>
      <c r="L13">
        <v>4</v>
      </c>
      <c r="M13">
        <v>2</v>
      </c>
      <c r="N13">
        <v>0</v>
      </c>
      <c r="O13" s="7">
        <v>45951</v>
      </c>
      <c r="P13" s="7">
        <v>45954</v>
      </c>
      <c r="Q13" s="7">
        <v>45960</v>
      </c>
      <c r="R13" t="s">
        <v>1049</v>
      </c>
    </row>
    <row r="14" spans="1:18" x14ac:dyDescent="0.3">
      <c r="A14" t="s">
        <v>20</v>
      </c>
      <c r="B14" t="s">
        <v>15</v>
      </c>
      <c r="C14" t="s">
        <v>16</v>
      </c>
      <c r="D14" s="7">
        <v>45959</v>
      </c>
      <c r="E14" s="7">
        <v>45962</v>
      </c>
      <c r="F14" s="7">
        <v>45967</v>
      </c>
      <c r="G14" s="7">
        <v>45974</v>
      </c>
      <c r="H14" t="s">
        <v>17</v>
      </c>
      <c r="J14" s="7">
        <v>45991</v>
      </c>
      <c r="K14">
        <v>3</v>
      </c>
      <c r="L14">
        <v>5</v>
      </c>
      <c r="M14">
        <v>7</v>
      </c>
      <c r="N14">
        <v>10</v>
      </c>
      <c r="O14" s="7">
        <v>45959</v>
      </c>
      <c r="P14" s="7">
        <v>45962</v>
      </c>
      <c r="Q14" s="7">
        <v>45974</v>
      </c>
      <c r="R14" t="s">
        <v>1049</v>
      </c>
    </row>
    <row r="15" spans="1:18" x14ac:dyDescent="0.3">
      <c r="A15" t="s">
        <v>21</v>
      </c>
      <c r="B15" t="s">
        <v>22</v>
      </c>
      <c r="C15" t="s">
        <v>16</v>
      </c>
      <c r="D15" s="7">
        <v>45957</v>
      </c>
      <c r="E15" s="7">
        <v>45960</v>
      </c>
      <c r="F15" s="7">
        <v>45963</v>
      </c>
      <c r="G15" s="7">
        <v>45969</v>
      </c>
      <c r="H15" t="s">
        <v>17</v>
      </c>
      <c r="J15" s="7">
        <v>45998</v>
      </c>
      <c r="K15">
        <v>3</v>
      </c>
      <c r="L15">
        <v>3</v>
      </c>
      <c r="M15">
        <v>6</v>
      </c>
      <c r="N15">
        <v>2</v>
      </c>
      <c r="O15" s="7">
        <v>45957</v>
      </c>
      <c r="P15" s="7">
        <v>45960</v>
      </c>
      <c r="Q15" s="7">
        <v>45969</v>
      </c>
      <c r="R15" t="s">
        <v>1049</v>
      </c>
    </row>
    <row r="16" spans="1:18" x14ac:dyDescent="0.3">
      <c r="A16" t="s">
        <v>754</v>
      </c>
      <c r="B16" t="s">
        <v>15</v>
      </c>
      <c r="C16" t="s">
        <v>474</v>
      </c>
      <c r="D16" s="7">
        <v>45945</v>
      </c>
      <c r="E16" s="7">
        <v>45947</v>
      </c>
      <c r="F16" s="7">
        <v>45948</v>
      </c>
      <c r="G16" s="7">
        <v>45951</v>
      </c>
      <c r="H16" t="s">
        <v>752</v>
      </c>
      <c r="I16" t="s">
        <v>753</v>
      </c>
      <c r="K16">
        <v>2</v>
      </c>
      <c r="L16">
        <v>1</v>
      </c>
      <c r="M16">
        <v>3</v>
      </c>
      <c r="O16" s="7">
        <v>45945</v>
      </c>
      <c r="P16" s="7">
        <v>45947</v>
      </c>
      <c r="Q16" s="7">
        <v>45951</v>
      </c>
      <c r="R16" t="s">
        <v>1049</v>
      </c>
    </row>
    <row r="17" spans="1:18" x14ac:dyDescent="0.3">
      <c r="A17" t="s">
        <v>231</v>
      </c>
      <c r="B17" t="s">
        <v>15</v>
      </c>
      <c r="C17" t="s">
        <v>16</v>
      </c>
      <c r="D17" s="7">
        <v>45953</v>
      </c>
      <c r="E17" s="7">
        <v>45957</v>
      </c>
      <c r="F17" s="7">
        <v>45962</v>
      </c>
      <c r="G17" s="7">
        <v>45967</v>
      </c>
      <c r="H17" t="s">
        <v>17</v>
      </c>
      <c r="J17" s="7">
        <v>45984</v>
      </c>
      <c r="K17">
        <v>4</v>
      </c>
      <c r="L17">
        <v>5</v>
      </c>
      <c r="M17">
        <v>5</v>
      </c>
      <c r="N17">
        <v>8</v>
      </c>
      <c r="O17" s="7">
        <v>45953</v>
      </c>
      <c r="P17" s="7">
        <v>45957</v>
      </c>
      <c r="Q17" s="7">
        <v>45967</v>
      </c>
      <c r="R17" t="s">
        <v>1049</v>
      </c>
    </row>
    <row r="18" spans="1:18" x14ac:dyDescent="0.3">
      <c r="A18" t="s">
        <v>476</v>
      </c>
      <c r="B18" t="s">
        <v>29</v>
      </c>
      <c r="C18" t="s">
        <v>474</v>
      </c>
      <c r="D18" s="7">
        <v>45935</v>
      </c>
      <c r="E18" s="7">
        <v>45936</v>
      </c>
      <c r="F18" s="7">
        <v>45940</v>
      </c>
      <c r="G18" s="7">
        <v>45946</v>
      </c>
      <c r="H18" t="s">
        <v>17</v>
      </c>
      <c r="J18" s="7">
        <v>45956</v>
      </c>
      <c r="K18">
        <v>1</v>
      </c>
      <c r="L18">
        <v>4</v>
      </c>
      <c r="M18">
        <v>6</v>
      </c>
      <c r="N18">
        <v>2</v>
      </c>
      <c r="O18" s="7">
        <v>45935</v>
      </c>
      <c r="P18" s="7">
        <v>45936</v>
      </c>
      <c r="Q18" s="7">
        <v>45946</v>
      </c>
      <c r="R18" t="s">
        <v>1049</v>
      </c>
    </row>
    <row r="19" spans="1:18" x14ac:dyDescent="0.3">
      <c r="A19" t="s">
        <v>477</v>
      </c>
      <c r="B19" t="s">
        <v>27</v>
      </c>
      <c r="C19" t="s">
        <v>474</v>
      </c>
      <c r="D19" s="7">
        <v>45944</v>
      </c>
      <c r="E19" s="7">
        <v>45945</v>
      </c>
      <c r="F19" s="7">
        <v>45948</v>
      </c>
      <c r="G19" s="7">
        <v>45953</v>
      </c>
      <c r="H19" t="s">
        <v>17</v>
      </c>
      <c r="J19" s="7">
        <v>45979</v>
      </c>
      <c r="K19">
        <v>1</v>
      </c>
      <c r="L19">
        <v>3</v>
      </c>
      <c r="M19">
        <v>5</v>
      </c>
      <c r="N19">
        <v>0</v>
      </c>
      <c r="O19" s="7">
        <v>45944</v>
      </c>
      <c r="P19" s="7">
        <v>45945</v>
      </c>
      <c r="Q19" s="7">
        <v>45953</v>
      </c>
      <c r="R19" t="s">
        <v>1049</v>
      </c>
    </row>
    <row r="20" spans="1:18" x14ac:dyDescent="0.3">
      <c r="A20" t="s">
        <v>319</v>
      </c>
      <c r="B20" t="s">
        <v>27</v>
      </c>
      <c r="C20" t="s">
        <v>16</v>
      </c>
      <c r="D20" s="7">
        <v>45936</v>
      </c>
      <c r="E20" s="7">
        <v>45937</v>
      </c>
      <c r="F20" s="7">
        <v>45942</v>
      </c>
      <c r="G20" s="7">
        <v>45947</v>
      </c>
      <c r="H20" t="s">
        <v>17</v>
      </c>
      <c r="J20" s="7">
        <v>45972</v>
      </c>
      <c r="K20">
        <v>1</v>
      </c>
      <c r="L20">
        <v>5</v>
      </c>
      <c r="M20">
        <v>5</v>
      </c>
      <c r="N20">
        <v>5</v>
      </c>
      <c r="O20" s="7">
        <v>45936</v>
      </c>
      <c r="P20" s="7">
        <v>45937</v>
      </c>
      <c r="Q20" s="7">
        <v>45947</v>
      </c>
      <c r="R20" t="s">
        <v>1049</v>
      </c>
    </row>
    <row r="21" spans="1:18" x14ac:dyDescent="0.3">
      <c r="A21" t="s">
        <v>320</v>
      </c>
      <c r="B21" t="s">
        <v>29</v>
      </c>
      <c r="C21" t="s">
        <v>16</v>
      </c>
      <c r="D21" s="7">
        <v>45954</v>
      </c>
      <c r="E21" s="7">
        <v>45955</v>
      </c>
      <c r="F21" s="7">
        <v>45960</v>
      </c>
      <c r="G21" s="7">
        <v>45962</v>
      </c>
      <c r="H21" t="s">
        <v>17</v>
      </c>
      <c r="J21" s="7">
        <v>45972</v>
      </c>
      <c r="K21">
        <v>1</v>
      </c>
      <c r="L21">
        <v>5</v>
      </c>
      <c r="M21">
        <v>2</v>
      </c>
      <c r="N21">
        <v>4</v>
      </c>
      <c r="O21" s="7">
        <v>45954</v>
      </c>
      <c r="P21" s="7">
        <v>45955</v>
      </c>
      <c r="Q21" s="7">
        <v>45962</v>
      </c>
      <c r="R21" t="s">
        <v>1049</v>
      </c>
    </row>
    <row r="22" spans="1:18" x14ac:dyDescent="0.3">
      <c r="A22" t="s">
        <v>232</v>
      </c>
      <c r="B22" t="s">
        <v>22</v>
      </c>
      <c r="C22" t="s">
        <v>16</v>
      </c>
      <c r="D22" s="7">
        <v>45947</v>
      </c>
      <c r="E22" s="7">
        <v>45951</v>
      </c>
      <c r="F22" s="7">
        <v>45953</v>
      </c>
      <c r="G22" s="7">
        <v>45960</v>
      </c>
      <c r="H22" t="s">
        <v>17</v>
      </c>
      <c r="J22" s="7">
        <v>45980</v>
      </c>
      <c r="K22">
        <v>4</v>
      </c>
      <c r="L22">
        <v>2</v>
      </c>
      <c r="M22">
        <v>7</v>
      </c>
      <c r="N22">
        <v>6</v>
      </c>
      <c r="O22" s="7">
        <v>45947</v>
      </c>
      <c r="P22" s="7">
        <v>45951</v>
      </c>
      <c r="Q22" s="7">
        <v>45960</v>
      </c>
      <c r="R22" t="s">
        <v>1049</v>
      </c>
    </row>
    <row r="23" spans="1:18" x14ac:dyDescent="0.3">
      <c r="A23" t="s">
        <v>478</v>
      </c>
      <c r="B23" t="s">
        <v>27</v>
      </c>
      <c r="C23" t="s">
        <v>474</v>
      </c>
      <c r="D23" s="7">
        <v>45961</v>
      </c>
      <c r="E23" s="7">
        <v>45962</v>
      </c>
      <c r="F23" s="7">
        <v>45963</v>
      </c>
      <c r="G23" s="7">
        <v>45966</v>
      </c>
      <c r="H23" t="s">
        <v>17</v>
      </c>
      <c r="J23" s="7">
        <v>45995</v>
      </c>
      <c r="K23">
        <v>1</v>
      </c>
      <c r="L23">
        <v>1</v>
      </c>
      <c r="M23">
        <v>3</v>
      </c>
      <c r="N23">
        <v>3</v>
      </c>
      <c r="O23" s="7">
        <v>45961</v>
      </c>
      <c r="P23" s="7">
        <v>45962</v>
      </c>
      <c r="Q23" s="7">
        <v>45966</v>
      </c>
      <c r="R23" t="s">
        <v>1049</v>
      </c>
    </row>
    <row r="24" spans="1:18" x14ac:dyDescent="0.3">
      <c r="A24" t="s">
        <v>23</v>
      </c>
      <c r="B24" t="s">
        <v>15</v>
      </c>
      <c r="C24" t="s">
        <v>16</v>
      </c>
      <c r="D24" s="7">
        <v>45951</v>
      </c>
      <c r="E24" s="7">
        <v>45954</v>
      </c>
      <c r="F24" s="7">
        <v>45959</v>
      </c>
      <c r="G24" s="7">
        <v>45962</v>
      </c>
      <c r="H24" t="s">
        <v>17</v>
      </c>
      <c r="J24" s="7">
        <v>45978</v>
      </c>
      <c r="K24">
        <v>3</v>
      </c>
      <c r="L24">
        <v>5</v>
      </c>
      <c r="M24">
        <v>3</v>
      </c>
      <c r="N24">
        <v>8</v>
      </c>
      <c r="O24" s="7">
        <v>45951</v>
      </c>
      <c r="P24" s="7">
        <v>45954</v>
      </c>
      <c r="Q24" s="7">
        <v>45962</v>
      </c>
      <c r="R24" t="s">
        <v>1049</v>
      </c>
    </row>
    <row r="25" spans="1:18" x14ac:dyDescent="0.3">
      <c r="A25" t="s">
        <v>398</v>
      </c>
      <c r="B25" t="s">
        <v>27</v>
      </c>
      <c r="C25" t="s">
        <v>16</v>
      </c>
      <c r="D25" s="7">
        <v>45939</v>
      </c>
      <c r="E25" s="7">
        <v>45941</v>
      </c>
      <c r="F25" s="7">
        <v>45945</v>
      </c>
      <c r="G25" s="7">
        <v>45949</v>
      </c>
      <c r="H25" t="s">
        <v>17</v>
      </c>
      <c r="J25" s="7">
        <v>45963</v>
      </c>
      <c r="K25">
        <v>2</v>
      </c>
      <c r="L25">
        <v>4</v>
      </c>
      <c r="M25">
        <v>4</v>
      </c>
      <c r="N25">
        <v>3</v>
      </c>
      <c r="O25" s="7">
        <v>45939</v>
      </c>
      <c r="P25" s="7">
        <v>45941</v>
      </c>
      <c r="Q25" s="7">
        <v>45949</v>
      </c>
      <c r="R25" t="s">
        <v>1049</v>
      </c>
    </row>
    <row r="26" spans="1:18" x14ac:dyDescent="0.3">
      <c r="A26" t="s">
        <v>133</v>
      </c>
      <c r="B26" t="s">
        <v>15</v>
      </c>
      <c r="C26" t="s">
        <v>16</v>
      </c>
      <c r="D26" s="7">
        <v>45950</v>
      </c>
      <c r="E26" s="7">
        <v>45955</v>
      </c>
      <c r="F26" s="7">
        <v>45957</v>
      </c>
      <c r="G26" s="7">
        <v>45964</v>
      </c>
      <c r="H26" t="s">
        <v>17</v>
      </c>
      <c r="J26" s="7">
        <v>45984</v>
      </c>
      <c r="K26">
        <v>5</v>
      </c>
      <c r="L26">
        <v>2</v>
      </c>
      <c r="M26">
        <v>7</v>
      </c>
      <c r="N26">
        <v>1</v>
      </c>
      <c r="O26" s="7">
        <v>45950</v>
      </c>
      <c r="P26" s="7">
        <v>45955</v>
      </c>
      <c r="Q26" s="7">
        <v>45964</v>
      </c>
      <c r="R26" t="s">
        <v>1049</v>
      </c>
    </row>
    <row r="27" spans="1:18" x14ac:dyDescent="0.3">
      <c r="A27" t="s">
        <v>321</v>
      </c>
      <c r="B27" t="s">
        <v>22</v>
      </c>
      <c r="C27" t="s">
        <v>16</v>
      </c>
      <c r="D27" s="7">
        <v>45956</v>
      </c>
      <c r="E27" s="7">
        <v>45957</v>
      </c>
      <c r="F27" s="7">
        <v>45962</v>
      </c>
      <c r="G27" s="7">
        <v>45964</v>
      </c>
      <c r="H27" t="s">
        <v>17</v>
      </c>
      <c r="J27" s="7">
        <v>45979</v>
      </c>
      <c r="K27">
        <v>1</v>
      </c>
      <c r="L27">
        <v>5</v>
      </c>
      <c r="M27">
        <v>2</v>
      </c>
      <c r="N27">
        <v>4</v>
      </c>
      <c r="O27" s="7">
        <v>45956</v>
      </c>
      <c r="P27" s="7">
        <v>45957</v>
      </c>
      <c r="Q27" s="7">
        <v>45964</v>
      </c>
      <c r="R27" t="s">
        <v>1049</v>
      </c>
    </row>
    <row r="28" spans="1:18" x14ac:dyDescent="0.3">
      <c r="A28" t="s">
        <v>134</v>
      </c>
      <c r="B28" t="s">
        <v>29</v>
      </c>
      <c r="C28" t="s">
        <v>16</v>
      </c>
      <c r="D28" s="7">
        <v>45960</v>
      </c>
      <c r="E28" s="7">
        <v>45965</v>
      </c>
      <c r="F28" s="7">
        <v>45970</v>
      </c>
      <c r="G28" s="7">
        <v>45976</v>
      </c>
      <c r="H28" t="s">
        <v>17</v>
      </c>
      <c r="J28" s="7">
        <v>45996</v>
      </c>
      <c r="K28">
        <v>5</v>
      </c>
      <c r="L28">
        <v>5</v>
      </c>
      <c r="M28">
        <v>6</v>
      </c>
      <c r="N28">
        <v>1</v>
      </c>
      <c r="O28" s="7">
        <v>45960</v>
      </c>
      <c r="P28" s="7">
        <v>45965</v>
      </c>
      <c r="Q28" s="7">
        <v>45976</v>
      </c>
      <c r="R28" t="s">
        <v>1049</v>
      </c>
    </row>
    <row r="29" spans="1:18" x14ac:dyDescent="0.3">
      <c r="A29" t="s">
        <v>135</v>
      </c>
      <c r="B29" t="s">
        <v>27</v>
      </c>
      <c r="C29" t="s">
        <v>16</v>
      </c>
      <c r="D29" s="7">
        <v>45948</v>
      </c>
      <c r="E29" s="7">
        <v>45953</v>
      </c>
      <c r="F29" s="7">
        <v>45957</v>
      </c>
      <c r="G29" s="7">
        <v>45959</v>
      </c>
      <c r="H29" t="s">
        <v>17</v>
      </c>
      <c r="J29" s="7">
        <v>45970</v>
      </c>
      <c r="K29">
        <v>5</v>
      </c>
      <c r="L29">
        <v>4</v>
      </c>
      <c r="M29">
        <v>2</v>
      </c>
      <c r="N29">
        <v>3</v>
      </c>
      <c r="O29" s="7">
        <v>45948</v>
      </c>
      <c r="P29" s="7">
        <v>45953</v>
      </c>
      <c r="Q29" s="7">
        <v>45959</v>
      </c>
      <c r="R29" t="s">
        <v>1049</v>
      </c>
    </row>
    <row r="30" spans="1:18" x14ac:dyDescent="0.3">
      <c r="A30" t="s">
        <v>136</v>
      </c>
      <c r="B30" t="s">
        <v>29</v>
      </c>
      <c r="C30" t="s">
        <v>16</v>
      </c>
      <c r="D30" s="7">
        <v>45955</v>
      </c>
      <c r="E30" s="7">
        <v>45960</v>
      </c>
      <c r="F30" s="7">
        <v>45962</v>
      </c>
      <c r="G30" s="7">
        <v>45968</v>
      </c>
      <c r="H30" t="s">
        <v>17</v>
      </c>
      <c r="J30" s="7">
        <v>45978</v>
      </c>
      <c r="K30">
        <v>5</v>
      </c>
      <c r="L30">
        <v>2</v>
      </c>
      <c r="M30">
        <v>6</v>
      </c>
      <c r="N30">
        <v>3</v>
      </c>
      <c r="O30" s="7">
        <v>45955</v>
      </c>
      <c r="P30" s="7">
        <v>45960</v>
      </c>
      <c r="Q30" s="7">
        <v>45968</v>
      </c>
      <c r="R30" t="s">
        <v>1049</v>
      </c>
    </row>
    <row r="31" spans="1:18" x14ac:dyDescent="0.3">
      <c r="A31" t="s">
        <v>844</v>
      </c>
      <c r="B31" t="s">
        <v>27</v>
      </c>
      <c r="C31" t="s">
        <v>841</v>
      </c>
      <c r="D31" s="7">
        <v>45946</v>
      </c>
      <c r="H31" t="s">
        <v>752</v>
      </c>
      <c r="I31" t="s">
        <v>753</v>
      </c>
      <c r="O31" s="7">
        <v>45946</v>
      </c>
      <c r="R31" t="s">
        <v>1050</v>
      </c>
    </row>
    <row r="32" spans="1:18" x14ac:dyDescent="0.3">
      <c r="A32" t="s">
        <v>24</v>
      </c>
      <c r="B32" t="s">
        <v>15</v>
      </c>
      <c r="C32" t="s">
        <v>16</v>
      </c>
      <c r="D32" s="7">
        <v>45945</v>
      </c>
      <c r="E32" s="7">
        <v>45948</v>
      </c>
      <c r="F32" s="7">
        <v>45950</v>
      </c>
      <c r="G32" s="7">
        <v>45953</v>
      </c>
      <c r="H32" t="s">
        <v>17</v>
      </c>
      <c r="J32" s="7">
        <v>45967</v>
      </c>
      <c r="K32">
        <v>3</v>
      </c>
      <c r="L32">
        <v>2</v>
      </c>
      <c r="M32">
        <v>3</v>
      </c>
      <c r="N32">
        <v>3</v>
      </c>
      <c r="O32" s="7">
        <v>45945</v>
      </c>
      <c r="P32" s="7">
        <v>45948</v>
      </c>
      <c r="Q32" s="7">
        <v>45953</v>
      </c>
      <c r="R32" t="s">
        <v>1049</v>
      </c>
    </row>
    <row r="33" spans="1:18" x14ac:dyDescent="0.3">
      <c r="A33" t="s">
        <v>322</v>
      </c>
      <c r="B33" t="s">
        <v>29</v>
      </c>
      <c r="C33" t="s">
        <v>16</v>
      </c>
      <c r="D33" s="7">
        <v>45944</v>
      </c>
      <c r="E33" s="7">
        <v>45945</v>
      </c>
      <c r="F33" s="7">
        <v>45946</v>
      </c>
      <c r="G33" s="7">
        <v>45950</v>
      </c>
      <c r="H33" t="s">
        <v>17</v>
      </c>
      <c r="J33" s="7">
        <v>45978</v>
      </c>
      <c r="K33">
        <v>1</v>
      </c>
      <c r="L33">
        <v>1</v>
      </c>
      <c r="M33">
        <v>4</v>
      </c>
      <c r="N33">
        <v>5</v>
      </c>
      <c r="O33" s="7">
        <v>45944</v>
      </c>
      <c r="P33" s="7">
        <v>45945</v>
      </c>
      <c r="Q33" s="7">
        <v>45950</v>
      </c>
      <c r="R33" t="s">
        <v>1049</v>
      </c>
    </row>
    <row r="34" spans="1:18" x14ac:dyDescent="0.3">
      <c r="A34" t="s">
        <v>233</v>
      </c>
      <c r="B34" t="s">
        <v>27</v>
      </c>
      <c r="C34" t="s">
        <v>16</v>
      </c>
      <c r="D34" s="7">
        <v>45957</v>
      </c>
      <c r="E34" s="7">
        <v>45961</v>
      </c>
      <c r="F34" s="7">
        <v>45966</v>
      </c>
      <c r="G34" s="7">
        <v>45970</v>
      </c>
      <c r="H34" t="s">
        <v>17</v>
      </c>
      <c r="J34" s="7">
        <v>45984</v>
      </c>
      <c r="K34">
        <v>4</v>
      </c>
      <c r="L34">
        <v>5</v>
      </c>
      <c r="M34">
        <v>4</v>
      </c>
      <c r="N34">
        <v>3</v>
      </c>
      <c r="O34" s="7">
        <v>45957</v>
      </c>
      <c r="P34" s="7">
        <v>45961</v>
      </c>
      <c r="Q34" s="7">
        <v>45970</v>
      </c>
      <c r="R34" t="s">
        <v>1049</v>
      </c>
    </row>
    <row r="35" spans="1:18" x14ac:dyDescent="0.3">
      <c r="A35" t="s">
        <v>25</v>
      </c>
      <c r="B35" t="s">
        <v>15</v>
      </c>
      <c r="C35" t="s">
        <v>16</v>
      </c>
      <c r="D35" s="7">
        <v>45954</v>
      </c>
      <c r="E35" s="7">
        <v>45957</v>
      </c>
      <c r="F35" s="7">
        <v>45958</v>
      </c>
      <c r="G35" s="7">
        <v>45961</v>
      </c>
      <c r="H35" t="s">
        <v>17</v>
      </c>
      <c r="J35" s="7">
        <v>45974</v>
      </c>
      <c r="K35">
        <v>3</v>
      </c>
      <c r="L35">
        <v>1</v>
      </c>
      <c r="M35">
        <v>3</v>
      </c>
      <c r="N35">
        <v>3</v>
      </c>
      <c r="O35" s="7">
        <v>45954</v>
      </c>
      <c r="P35" s="7">
        <v>45957</v>
      </c>
      <c r="Q35" s="7">
        <v>45961</v>
      </c>
      <c r="R35" t="s">
        <v>1049</v>
      </c>
    </row>
    <row r="36" spans="1:18" x14ac:dyDescent="0.3">
      <c r="A36" t="s">
        <v>845</v>
      </c>
      <c r="B36" t="s">
        <v>29</v>
      </c>
      <c r="C36" t="s">
        <v>841</v>
      </c>
      <c r="D36" s="7">
        <v>45949</v>
      </c>
      <c r="H36" t="s">
        <v>752</v>
      </c>
      <c r="I36" t="s">
        <v>777</v>
      </c>
      <c r="O36" s="7">
        <v>45949</v>
      </c>
      <c r="R36" t="s">
        <v>1050</v>
      </c>
    </row>
    <row r="37" spans="1:18" x14ac:dyDescent="0.3">
      <c r="A37" t="s">
        <v>234</v>
      </c>
      <c r="B37" t="s">
        <v>29</v>
      </c>
      <c r="C37" t="s">
        <v>16</v>
      </c>
      <c r="D37" s="7">
        <v>45939</v>
      </c>
      <c r="E37" s="7">
        <v>45943</v>
      </c>
      <c r="F37" s="7">
        <v>45945</v>
      </c>
      <c r="G37" s="7">
        <v>45950</v>
      </c>
      <c r="H37" t="s">
        <v>17</v>
      </c>
      <c r="J37" s="7">
        <v>45976</v>
      </c>
      <c r="K37">
        <v>4</v>
      </c>
      <c r="L37">
        <v>2</v>
      </c>
      <c r="M37">
        <v>5</v>
      </c>
      <c r="N37">
        <v>9</v>
      </c>
      <c r="O37" s="7">
        <v>45939</v>
      </c>
      <c r="P37" s="7">
        <v>45943</v>
      </c>
      <c r="Q37" s="7">
        <v>45950</v>
      </c>
      <c r="R37" t="s">
        <v>1049</v>
      </c>
    </row>
    <row r="38" spans="1:18" x14ac:dyDescent="0.3">
      <c r="A38" t="s">
        <v>755</v>
      </c>
      <c r="B38" t="s">
        <v>27</v>
      </c>
      <c r="C38" t="s">
        <v>16</v>
      </c>
      <c r="D38" s="7">
        <v>45941</v>
      </c>
      <c r="E38" s="7">
        <v>45942</v>
      </c>
      <c r="F38" s="7">
        <v>45943</v>
      </c>
      <c r="G38" s="7">
        <v>45945</v>
      </c>
      <c r="H38" t="s">
        <v>752</v>
      </c>
      <c r="I38" t="s">
        <v>756</v>
      </c>
      <c r="K38">
        <v>1</v>
      </c>
      <c r="L38">
        <v>1</v>
      </c>
      <c r="M38">
        <v>2</v>
      </c>
      <c r="O38" s="7">
        <v>45941</v>
      </c>
      <c r="P38" s="7">
        <v>45942</v>
      </c>
      <c r="Q38" s="7">
        <v>45945</v>
      </c>
      <c r="R38" t="s">
        <v>1049</v>
      </c>
    </row>
    <row r="39" spans="1:18" x14ac:dyDescent="0.3">
      <c r="A39" t="s">
        <v>26</v>
      </c>
      <c r="B39" t="s">
        <v>27</v>
      </c>
      <c r="C39" t="s">
        <v>16</v>
      </c>
      <c r="D39" s="7">
        <v>45958</v>
      </c>
      <c r="E39" s="7">
        <v>45961</v>
      </c>
      <c r="F39" s="7">
        <v>45965</v>
      </c>
      <c r="G39" s="7">
        <v>45969</v>
      </c>
      <c r="H39" t="s">
        <v>17</v>
      </c>
      <c r="J39" s="7">
        <v>45990</v>
      </c>
      <c r="K39">
        <v>3</v>
      </c>
      <c r="L39">
        <v>4</v>
      </c>
      <c r="M39">
        <v>4</v>
      </c>
      <c r="N39">
        <v>2</v>
      </c>
      <c r="O39" s="7">
        <v>45958</v>
      </c>
      <c r="P39" s="7">
        <v>45961</v>
      </c>
      <c r="Q39" s="7">
        <v>45969</v>
      </c>
      <c r="R39" t="s">
        <v>1049</v>
      </c>
    </row>
    <row r="40" spans="1:18" x14ac:dyDescent="0.3">
      <c r="A40" t="s">
        <v>137</v>
      </c>
      <c r="B40" t="s">
        <v>27</v>
      </c>
      <c r="C40" t="s">
        <v>16</v>
      </c>
      <c r="D40" s="7">
        <v>45938</v>
      </c>
      <c r="E40" s="7">
        <v>45943</v>
      </c>
      <c r="F40" s="7">
        <v>45946</v>
      </c>
      <c r="G40" s="7">
        <v>45953</v>
      </c>
      <c r="H40" t="s">
        <v>17</v>
      </c>
      <c r="J40" s="7">
        <v>45965</v>
      </c>
      <c r="K40">
        <v>5</v>
      </c>
      <c r="L40">
        <v>3</v>
      </c>
      <c r="M40">
        <v>7</v>
      </c>
      <c r="N40">
        <v>9</v>
      </c>
      <c r="O40" s="7">
        <v>45938</v>
      </c>
      <c r="P40" s="7">
        <v>45943</v>
      </c>
      <c r="Q40" s="7">
        <v>45953</v>
      </c>
      <c r="R40" t="s">
        <v>1049</v>
      </c>
    </row>
    <row r="41" spans="1:18" x14ac:dyDescent="0.3">
      <c r="A41" t="s">
        <v>757</v>
      </c>
      <c r="B41" t="s">
        <v>15</v>
      </c>
      <c r="C41" t="s">
        <v>16</v>
      </c>
      <c r="D41" s="7">
        <v>45957</v>
      </c>
      <c r="E41" s="7">
        <v>45960</v>
      </c>
      <c r="F41" s="7">
        <v>45964</v>
      </c>
      <c r="G41" s="7">
        <v>45969</v>
      </c>
      <c r="H41" t="s">
        <v>752</v>
      </c>
      <c r="I41" t="s">
        <v>758</v>
      </c>
      <c r="K41">
        <v>3</v>
      </c>
      <c r="L41">
        <v>4</v>
      </c>
      <c r="M41">
        <v>5</v>
      </c>
      <c r="O41" s="7">
        <v>45957</v>
      </c>
      <c r="P41" s="7">
        <v>45960</v>
      </c>
      <c r="Q41" s="7">
        <v>45969</v>
      </c>
      <c r="R41" t="s">
        <v>1049</v>
      </c>
    </row>
    <row r="42" spans="1:18" x14ac:dyDescent="0.3">
      <c r="A42" t="s">
        <v>846</v>
      </c>
      <c r="B42" t="s">
        <v>27</v>
      </c>
      <c r="C42" t="s">
        <v>841</v>
      </c>
      <c r="D42" s="7">
        <v>45960</v>
      </c>
      <c r="H42" t="s">
        <v>752</v>
      </c>
      <c r="I42" t="s">
        <v>777</v>
      </c>
      <c r="O42" s="7">
        <v>45960</v>
      </c>
      <c r="R42" t="s">
        <v>1050</v>
      </c>
    </row>
    <row r="43" spans="1:18" x14ac:dyDescent="0.3">
      <c r="A43" t="s">
        <v>28</v>
      </c>
      <c r="B43" t="s">
        <v>29</v>
      </c>
      <c r="C43" t="s">
        <v>16</v>
      </c>
      <c r="D43" s="7">
        <v>45933</v>
      </c>
      <c r="E43" s="7">
        <v>45936</v>
      </c>
      <c r="F43" s="7">
        <v>45938</v>
      </c>
      <c r="G43" s="7">
        <v>45944</v>
      </c>
      <c r="H43" t="s">
        <v>17</v>
      </c>
      <c r="J43" s="7">
        <v>45965</v>
      </c>
      <c r="K43">
        <v>3</v>
      </c>
      <c r="L43">
        <v>2</v>
      </c>
      <c r="M43">
        <v>6</v>
      </c>
      <c r="N43">
        <v>6</v>
      </c>
      <c r="O43" s="7">
        <v>45933</v>
      </c>
      <c r="P43" s="7">
        <v>45936</v>
      </c>
      <c r="Q43" s="7">
        <v>45944</v>
      </c>
      <c r="R43" t="s">
        <v>1049</v>
      </c>
    </row>
    <row r="44" spans="1:18" x14ac:dyDescent="0.3">
      <c r="A44" t="s">
        <v>323</v>
      </c>
      <c r="B44" t="s">
        <v>29</v>
      </c>
      <c r="C44" t="s">
        <v>16</v>
      </c>
      <c r="D44" s="7">
        <v>45939</v>
      </c>
      <c r="E44" s="7">
        <v>45940</v>
      </c>
      <c r="F44" s="7">
        <v>45944</v>
      </c>
      <c r="G44" s="7">
        <v>45951</v>
      </c>
      <c r="H44" t="s">
        <v>17</v>
      </c>
      <c r="J44" s="7">
        <v>45973</v>
      </c>
      <c r="K44">
        <v>1</v>
      </c>
      <c r="L44">
        <v>4</v>
      </c>
      <c r="M44">
        <v>7</v>
      </c>
      <c r="N44">
        <v>7</v>
      </c>
      <c r="O44" s="7">
        <v>45939</v>
      </c>
      <c r="P44" s="7">
        <v>45940</v>
      </c>
      <c r="Q44" s="7">
        <v>45951</v>
      </c>
      <c r="R44" t="s">
        <v>1049</v>
      </c>
    </row>
    <row r="45" spans="1:18" x14ac:dyDescent="0.3">
      <c r="A45" t="s">
        <v>847</v>
      </c>
      <c r="B45" t="s">
        <v>27</v>
      </c>
      <c r="C45" t="s">
        <v>841</v>
      </c>
      <c r="D45" s="7">
        <v>45959</v>
      </c>
      <c r="H45" t="s">
        <v>752</v>
      </c>
      <c r="I45" t="s">
        <v>753</v>
      </c>
      <c r="O45" s="7">
        <v>45959</v>
      </c>
      <c r="R45" t="s">
        <v>1050</v>
      </c>
    </row>
    <row r="46" spans="1:18" x14ac:dyDescent="0.3">
      <c r="A46" t="s">
        <v>686</v>
      </c>
      <c r="B46" t="s">
        <v>27</v>
      </c>
      <c r="C46" t="s">
        <v>474</v>
      </c>
      <c r="D46" s="7">
        <v>45945</v>
      </c>
      <c r="E46" s="7">
        <v>45950</v>
      </c>
      <c r="F46" s="7">
        <v>45952</v>
      </c>
      <c r="G46" s="7">
        <v>45956</v>
      </c>
      <c r="H46" t="s">
        <v>17</v>
      </c>
      <c r="J46" s="7">
        <v>45984</v>
      </c>
      <c r="K46">
        <v>5</v>
      </c>
      <c r="L46">
        <v>2</v>
      </c>
      <c r="M46">
        <v>4</v>
      </c>
      <c r="N46">
        <v>8</v>
      </c>
      <c r="O46" s="7">
        <v>45945</v>
      </c>
      <c r="P46" s="7">
        <v>45950</v>
      </c>
      <c r="Q46" s="7">
        <v>45956</v>
      </c>
      <c r="R46" t="s">
        <v>1049</v>
      </c>
    </row>
    <row r="47" spans="1:18" x14ac:dyDescent="0.3">
      <c r="A47" t="s">
        <v>687</v>
      </c>
      <c r="B47" t="s">
        <v>22</v>
      </c>
      <c r="C47" t="s">
        <v>474</v>
      </c>
      <c r="D47" s="7">
        <v>45938</v>
      </c>
      <c r="E47" s="7">
        <v>45943</v>
      </c>
      <c r="F47" s="7">
        <v>45947</v>
      </c>
      <c r="G47" s="7">
        <v>45953</v>
      </c>
      <c r="H47" t="s">
        <v>17</v>
      </c>
      <c r="J47" s="7">
        <v>45966</v>
      </c>
      <c r="K47">
        <v>5</v>
      </c>
      <c r="L47">
        <v>4</v>
      </c>
      <c r="M47">
        <v>6</v>
      </c>
      <c r="N47">
        <v>3</v>
      </c>
      <c r="O47" s="7">
        <v>45938</v>
      </c>
      <c r="P47" s="7">
        <v>45943</v>
      </c>
      <c r="Q47" s="7">
        <v>45953</v>
      </c>
      <c r="R47" t="s">
        <v>1049</v>
      </c>
    </row>
    <row r="48" spans="1:18" x14ac:dyDescent="0.3">
      <c r="A48" t="s">
        <v>399</v>
      </c>
      <c r="B48" t="s">
        <v>29</v>
      </c>
      <c r="C48" t="s">
        <v>16</v>
      </c>
      <c r="D48" s="7">
        <v>45955</v>
      </c>
      <c r="E48" s="7">
        <v>45957</v>
      </c>
      <c r="F48" s="7">
        <v>45962</v>
      </c>
      <c r="G48" s="7">
        <v>45967</v>
      </c>
      <c r="H48" t="s">
        <v>17</v>
      </c>
      <c r="J48" s="7">
        <v>45987</v>
      </c>
      <c r="K48">
        <v>2</v>
      </c>
      <c r="L48">
        <v>5</v>
      </c>
      <c r="M48">
        <v>5</v>
      </c>
      <c r="N48">
        <v>5</v>
      </c>
      <c r="O48" s="7">
        <v>45955</v>
      </c>
      <c r="P48" s="7">
        <v>45957</v>
      </c>
      <c r="Q48" s="7">
        <v>45967</v>
      </c>
      <c r="R48" t="s">
        <v>1049</v>
      </c>
    </row>
    <row r="49" spans="1:18" x14ac:dyDescent="0.3">
      <c r="A49" t="s">
        <v>848</v>
      </c>
      <c r="B49" t="s">
        <v>15</v>
      </c>
      <c r="C49" t="s">
        <v>841</v>
      </c>
      <c r="D49" s="7">
        <v>45945</v>
      </c>
      <c r="H49" t="s">
        <v>752</v>
      </c>
      <c r="I49" t="s">
        <v>777</v>
      </c>
      <c r="O49" s="7">
        <v>45945</v>
      </c>
      <c r="R49" t="s">
        <v>1050</v>
      </c>
    </row>
    <row r="50" spans="1:18" x14ac:dyDescent="0.3">
      <c r="A50" t="s">
        <v>479</v>
      </c>
      <c r="B50" t="s">
        <v>22</v>
      </c>
      <c r="C50" t="s">
        <v>474</v>
      </c>
      <c r="D50" s="7">
        <v>45949</v>
      </c>
      <c r="E50" s="7">
        <v>45951</v>
      </c>
      <c r="F50" s="7">
        <v>45956</v>
      </c>
      <c r="G50" s="7">
        <v>45962</v>
      </c>
      <c r="H50" t="s">
        <v>17</v>
      </c>
      <c r="J50" s="7">
        <v>45981</v>
      </c>
      <c r="K50">
        <v>2</v>
      </c>
      <c r="L50">
        <v>5</v>
      </c>
      <c r="M50">
        <v>6</v>
      </c>
      <c r="N50">
        <v>0</v>
      </c>
      <c r="O50" s="7">
        <v>45949</v>
      </c>
      <c r="P50" s="7">
        <v>45951</v>
      </c>
      <c r="Q50" s="7">
        <v>45962</v>
      </c>
      <c r="R50" t="s">
        <v>1049</v>
      </c>
    </row>
    <row r="51" spans="1:18" x14ac:dyDescent="0.3">
      <c r="A51" t="s">
        <v>480</v>
      </c>
      <c r="B51" t="s">
        <v>27</v>
      </c>
      <c r="C51" t="s">
        <v>474</v>
      </c>
      <c r="D51" s="7">
        <v>45950</v>
      </c>
      <c r="E51" s="7">
        <v>45954</v>
      </c>
      <c r="F51" s="7">
        <v>45958</v>
      </c>
      <c r="G51" s="7">
        <v>45963</v>
      </c>
      <c r="H51" t="s">
        <v>17</v>
      </c>
      <c r="J51" s="7">
        <v>45983</v>
      </c>
      <c r="K51">
        <v>4</v>
      </c>
      <c r="L51">
        <v>4</v>
      </c>
      <c r="M51">
        <v>5</v>
      </c>
      <c r="N51">
        <v>6</v>
      </c>
      <c r="O51" s="7">
        <v>45950</v>
      </c>
      <c r="P51" s="7">
        <v>45954</v>
      </c>
      <c r="Q51" s="7">
        <v>45963</v>
      </c>
      <c r="R51" t="s">
        <v>1049</v>
      </c>
    </row>
    <row r="52" spans="1:18" x14ac:dyDescent="0.3">
      <c r="A52" t="s">
        <v>481</v>
      </c>
      <c r="B52" t="s">
        <v>27</v>
      </c>
      <c r="C52" t="s">
        <v>474</v>
      </c>
      <c r="D52" s="7">
        <v>45952</v>
      </c>
      <c r="E52" s="7">
        <v>45954</v>
      </c>
      <c r="F52" s="7">
        <v>45955</v>
      </c>
      <c r="G52" s="7">
        <v>45961</v>
      </c>
      <c r="H52" t="s">
        <v>17</v>
      </c>
      <c r="J52" s="7">
        <v>45975</v>
      </c>
      <c r="K52">
        <v>2</v>
      </c>
      <c r="L52">
        <v>1</v>
      </c>
      <c r="M52">
        <v>6</v>
      </c>
      <c r="N52">
        <v>6</v>
      </c>
      <c r="O52" s="7">
        <v>45952</v>
      </c>
      <c r="P52" s="7">
        <v>45954</v>
      </c>
      <c r="Q52" s="7">
        <v>45961</v>
      </c>
      <c r="R52" t="s">
        <v>1049</v>
      </c>
    </row>
    <row r="53" spans="1:18" x14ac:dyDescent="0.3">
      <c r="A53" t="s">
        <v>482</v>
      </c>
      <c r="B53" t="s">
        <v>29</v>
      </c>
      <c r="C53" t="s">
        <v>474</v>
      </c>
      <c r="D53" s="7">
        <v>45943</v>
      </c>
      <c r="E53" s="7">
        <v>45944</v>
      </c>
      <c r="F53" s="7">
        <v>45946</v>
      </c>
      <c r="G53" s="7">
        <v>45948</v>
      </c>
      <c r="H53" t="s">
        <v>17</v>
      </c>
      <c r="J53" s="7">
        <v>45963</v>
      </c>
      <c r="K53">
        <v>1</v>
      </c>
      <c r="L53">
        <v>2</v>
      </c>
      <c r="M53">
        <v>2</v>
      </c>
      <c r="N53">
        <v>6</v>
      </c>
      <c r="O53" s="7">
        <v>45943</v>
      </c>
      <c r="P53" s="7">
        <v>45944</v>
      </c>
      <c r="Q53" s="7">
        <v>45948</v>
      </c>
      <c r="R53" t="s">
        <v>1049</v>
      </c>
    </row>
    <row r="54" spans="1:18" x14ac:dyDescent="0.3">
      <c r="A54" t="s">
        <v>483</v>
      </c>
      <c r="B54" t="s">
        <v>27</v>
      </c>
      <c r="C54" t="s">
        <v>474</v>
      </c>
      <c r="D54" s="7">
        <v>45941</v>
      </c>
      <c r="E54" s="7">
        <v>45944</v>
      </c>
      <c r="F54" s="7">
        <v>45949</v>
      </c>
      <c r="G54" s="7">
        <v>45953</v>
      </c>
      <c r="H54" t="s">
        <v>17</v>
      </c>
      <c r="J54" s="7">
        <v>45976</v>
      </c>
      <c r="K54">
        <v>3</v>
      </c>
      <c r="L54">
        <v>5</v>
      </c>
      <c r="M54">
        <v>4</v>
      </c>
      <c r="N54">
        <v>4</v>
      </c>
      <c r="O54" s="7">
        <v>45941</v>
      </c>
      <c r="P54" s="7">
        <v>45944</v>
      </c>
      <c r="Q54" s="7">
        <v>45953</v>
      </c>
      <c r="R54" t="s">
        <v>1049</v>
      </c>
    </row>
    <row r="55" spans="1:18" x14ac:dyDescent="0.3">
      <c r="A55" t="s">
        <v>138</v>
      </c>
      <c r="B55" t="s">
        <v>15</v>
      </c>
      <c r="C55" t="s">
        <v>16</v>
      </c>
      <c r="D55" s="7">
        <v>45931</v>
      </c>
      <c r="E55" s="7">
        <v>45936</v>
      </c>
      <c r="F55" s="7">
        <v>45938</v>
      </c>
      <c r="G55" s="7">
        <v>45942</v>
      </c>
      <c r="H55" t="s">
        <v>17</v>
      </c>
      <c r="J55" s="7">
        <v>45972</v>
      </c>
      <c r="K55">
        <v>5</v>
      </c>
      <c r="L55">
        <v>2</v>
      </c>
      <c r="M55">
        <v>4</v>
      </c>
      <c r="N55">
        <v>4</v>
      </c>
      <c r="O55" s="7">
        <v>45931</v>
      </c>
      <c r="P55" s="7">
        <v>45936</v>
      </c>
      <c r="Q55" s="7">
        <v>45942</v>
      </c>
      <c r="R55" t="s">
        <v>1049</v>
      </c>
    </row>
    <row r="56" spans="1:18" x14ac:dyDescent="0.3">
      <c r="A56" t="s">
        <v>30</v>
      </c>
      <c r="B56" t="s">
        <v>29</v>
      </c>
      <c r="C56" t="s">
        <v>16</v>
      </c>
      <c r="D56" s="7">
        <v>45946</v>
      </c>
      <c r="E56" s="7">
        <v>45949</v>
      </c>
      <c r="F56" s="7">
        <v>45954</v>
      </c>
      <c r="G56" s="7">
        <v>45959</v>
      </c>
      <c r="H56" t="s">
        <v>17</v>
      </c>
      <c r="J56" s="7">
        <v>45984</v>
      </c>
      <c r="K56">
        <v>3</v>
      </c>
      <c r="L56">
        <v>5</v>
      </c>
      <c r="M56">
        <v>5</v>
      </c>
      <c r="N56">
        <v>8</v>
      </c>
      <c r="O56" s="7">
        <v>45946</v>
      </c>
      <c r="P56" s="7">
        <v>45949</v>
      </c>
      <c r="Q56" s="7">
        <v>45959</v>
      </c>
      <c r="R56" t="s">
        <v>1049</v>
      </c>
    </row>
    <row r="57" spans="1:18" x14ac:dyDescent="0.3">
      <c r="A57" t="s">
        <v>484</v>
      </c>
      <c r="B57" t="s">
        <v>27</v>
      </c>
      <c r="C57" t="s">
        <v>474</v>
      </c>
      <c r="D57" s="7">
        <v>45958</v>
      </c>
      <c r="E57" s="7">
        <v>45959</v>
      </c>
      <c r="F57" s="7">
        <v>45962</v>
      </c>
      <c r="G57" s="7">
        <v>45968</v>
      </c>
      <c r="H57" t="s">
        <v>17</v>
      </c>
      <c r="J57" s="7">
        <v>45998</v>
      </c>
      <c r="K57">
        <v>1</v>
      </c>
      <c r="L57">
        <v>3</v>
      </c>
      <c r="M57">
        <v>6</v>
      </c>
      <c r="N57">
        <v>3</v>
      </c>
      <c r="O57" s="7">
        <v>45958</v>
      </c>
      <c r="P57" s="7">
        <v>45959</v>
      </c>
      <c r="Q57" s="7">
        <v>45968</v>
      </c>
      <c r="R57" t="s">
        <v>1049</v>
      </c>
    </row>
    <row r="58" spans="1:18" x14ac:dyDescent="0.3">
      <c r="A58" t="s">
        <v>31</v>
      </c>
      <c r="B58" t="s">
        <v>29</v>
      </c>
      <c r="C58" t="s">
        <v>16</v>
      </c>
      <c r="D58" s="7">
        <v>45941</v>
      </c>
      <c r="E58" s="7">
        <v>45944</v>
      </c>
      <c r="F58" s="7">
        <v>45948</v>
      </c>
      <c r="G58" s="7">
        <v>45951</v>
      </c>
      <c r="H58" t="s">
        <v>17</v>
      </c>
      <c r="J58" s="7">
        <v>45971</v>
      </c>
      <c r="K58">
        <v>3</v>
      </c>
      <c r="L58">
        <v>4</v>
      </c>
      <c r="M58">
        <v>3</v>
      </c>
      <c r="N58">
        <v>6</v>
      </c>
      <c r="O58" s="7">
        <v>45941</v>
      </c>
      <c r="P58" s="7">
        <v>45944</v>
      </c>
      <c r="Q58" s="7">
        <v>45951</v>
      </c>
      <c r="R58" t="s">
        <v>1049</v>
      </c>
    </row>
    <row r="59" spans="1:18" x14ac:dyDescent="0.3">
      <c r="A59" t="s">
        <v>688</v>
      </c>
      <c r="B59" t="s">
        <v>27</v>
      </c>
      <c r="C59" t="s">
        <v>474</v>
      </c>
      <c r="D59" s="7">
        <v>45936</v>
      </c>
      <c r="E59" s="7">
        <v>45941</v>
      </c>
      <c r="F59" s="7">
        <v>45946</v>
      </c>
      <c r="G59" s="7">
        <v>45953</v>
      </c>
      <c r="H59" t="s">
        <v>17</v>
      </c>
      <c r="J59" s="7">
        <v>45968</v>
      </c>
      <c r="K59">
        <v>5</v>
      </c>
      <c r="L59">
        <v>5</v>
      </c>
      <c r="M59">
        <v>7</v>
      </c>
      <c r="N59">
        <v>1</v>
      </c>
      <c r="O59" s="7">
        <v>45936</v>
      </c>
      <c r="P59" s="7">
        <v>45941</v>
      </c>
      <c r="Q59" s="7">
        <v>45953</v>
      </c>
      <c r="R59" t="s">
        <v>1049</v>
      </c>
    </row>
    <row r="60" spans="1:18" x14ac:dyDescent="0.3">
      <c r="A60" t="s">
        <v>759</v>
      </c>
      <c r="B60" t="s">
        <v>27</v>
      </c>
      <c r="C60" t="s">
        <v>16</v>
      </c>
      <c r="D60" s="7">
        <v>45946</v>
      </c>
      <c r="E60" s="7">
        <v>45948</v>
      </c>
      <c r="F60" s="7">
        <v>45952</v>
      </c>
      <c r="G60" s="7">
        <v>45959</v>
      </c>
      <c r="H60" t="s">
        <v>752</v>
      </c>
      <c r="I60" t="s">
        <v>756</v>
      </c>
      <c r="K60">
        <v>2</v>
      </c>
      <c r="L60">
        <v>4</v>
      </c>
      <c r="M60">
        <v>7</v>
      </c>
      <c r="O60" s="7">
        <v>45946</v>
      </c>
      <c r="P60" s="7">
        <v>45948</v>
      </c>
      <c r="Q60" s="7">
        <v>45959</v>
      </c>
      <c r="R60" t="s">
        <v>1049</v>
      </c>
    </row>
    <row r="61" spans="1:18" x14ac:dyDescent="0.3">
      <c r="A61" t="s">
        <v>235</v>
      </c>
      <c r="B61" t="s">
        <v>27</v>
      </c>
      <c r="C61" t="s">
        <v>16</v>
      </c>
      <c r="D61" s="7">
        <v>45937</v>
      </c>
      <c r="E61" s="7">
        <v>45941</v>
      </c>
      <c r="F61" s="7">
        <v>45944</v>
      </c>
      <c r="G61" s="7">
        <v>45948</v>
      </c>
      <c r="H61" t="s">
        <v>17</v>
      </c>
      <c r="J61" s="7">
        <v>45975</v>
      </c>
      <c r="K61">
        <v>4</v>
      </c>
      <c r="L61">
        <v>3</v>
      </c>
      <c r="M61">
        <v>4</v>
      </c>
      <c r="N61">
        <v>2</v>
      </c>
      <c r="O61" s="7">
        <v>45937</v>
      </c>
      <c r="P61" s="7">
        <v>45941</v>
      </c>
      <c r="Q61" s="7">
        <v>45948</v>
      </c>
      <c r="R61" t="s">
        <v>1049</v>
      </c>
    </row>
    <row r="62" spans="1:18" x14ac:dyDescent="0.3">
      <c r="A62" t="s">
        <v>139</v>
      </c>
      <c r="B62" t="s">
        <v>15</v>
      </c>
      <c r="C62" t="s">
        <v>16</v>
      </c>
      <c r="D62" s="7">
        <v>45942</v>
      </c>
      <c r="E62" s="7">
        <v>45947</v>
      </c>
      <c r="F62" s="7">
        <v>45949</v>
      </c>
      <c r="G62" s="7">
        <v>45955</v>
      </c>
      <c r="H62" t="s">
        <v>17</v>
      </c>
      <c r="J62" s="7">
        <v>45984</v>
      </c>
      <c r="K62">
        <v>5</v>
      </c>
      <c r="L62">
        <v>2</v>
      </c>
      <c r="M62">
        <v>6</v>
      </c>
      <c r="N62">
        <v>7</v>
      </c>
      <c r="O62" s="7">
        <v>45942</v>
      </c>
      <c r="P62" s="7">
        <v>45947</v>
      </c>
      <c r="Q62" s="7">
        <v>45955</v>
      </c>
      <c r="R62" t="s">
        <v>1049</v>
      </c>
    </row>
    <row r="63" spans="1:18" x14ac:dyDescent="0.3">
      <c r="A63" t="s">
        <v>689</v>
      </c>
      <c r="B63" t="s">
        <v>15</v>
      </c>
      <c r="C63" t="s">
        <v>474</v>
      </c>
      <c r="D63" s="7">
        <v>45956</v>
      </c>
      <c r="E63" s="7">
        <v>45961</v>
      </c>
      <c r="F63" s="7">
        <v>45965</v>
      </c>
      <c r="G63" s="7">
        <v>45971</v>
      </c>
      <c r="H63" t="s">
        <v>17</v>
      </c>
      <c r="J63" s="7">
        <v>45992</v>
      </c>
      <c r="K63">
        <v>5</v>
      </c>
      <c r="L63">
        <v>4</v>
      </c>
      <c r="M63">
        <v>6</v>
      </c>
      <c r="N63">
        <v>9</v>
      </c>
      <c r="O63" s="7">
        <v>45956</v>
      </c>
      <c r="P63" s="7">
        <v>45961</v>
      </c>
      <c r="Q63" s="7">
        <v>45971</v>
      </c>
      <c r="R63" t="s">
        <v>1049</v>
      </c>
    </row>
    <row r="64" spans="1:18" x14ac:dyDescent="0.3">
      <c r="A64" t="s">
        <v>140</v>
      </c>
      <c r="B64" t="s">
        <v>29</v>
      </c>
      <c r="C64" t="s">
        <v>16</v>
      </c>
      <c r="D64" s="7">
        <v>45939</v>
      </c>
      <c r="E64" s="7">
        <v>45944</v>
      </c>
      <c r="F64" s="7">
        <v>45949</v>
      </c>
      <c r="G64" s="7">
        <v>45951</v>
      </c>
      <c r="H64" t="s">
        <v>17</v>
      </c>
      <c r="J64" s="7">
        <v>45968</v>
      </c>
      <c r="K64">
        <v>5</v>
      </c>
      <c r="L64">
        <v>5</v>
      </c>
      <c r="M64">
        <v>2</v>
      </c>
      <c r="N64">
        <v>3</v>
      </c>
      <c r="O64" s="7">
        <v>45939</v>
      </c>
      <c r="P64" s="7">
        <v>45944</v>
      </c>
      <c r="Q64" s="7">
        <v>45951</v>
      </c>
      <c r="R64" t="s">
        <v>1049</v>
      </c>
    </row>
    <row r="65" spans="1:18" x14ac:dyDescent="0.3">
      <c r="A65" t="s">
        <v>690</v>
      </c>
      <c r="B65" t="s">
        <v>27</v>
      </c>
      <c r="C65" t="s">
        <v>474</v>
      </c>
      <c r="D65" s="7">
        <v>45941</v>
      </c>
      <c r="E65" s="7">
        <v>45946</v>
      </c>
      <c r="F65" s="7">
        <v>45949</v>
      </c>
      <c r="G65" s="7">
        <v>45956</v>
      </c>
      <c r="H65" t="s">
        <v>17</v>
      </c>
      <c r="J65" s="7">
        <v>45984</v>
      </c>
      <c r="K65">
        <v>5</v>
      </c>
      <c r="L65">
        <v>3</v>
      </c>
      <c r="M65">
        <v>7</v>
      </c>
      <c r="N65">
        <v>3</v>
      </c>
      <c r="O65" s="7">
        <v>45941</v>
      </c>
      <c r="P65" s="7">
        <v>45946</v>
      </c>
      <c r="Q65" s="7">
        <v>45956</v>
      </c>
      <c r="R65" t="s">
        <v>1049</v>
      </c>
    </row>
    <row r="66" spans="1:18" x14ac:dyDescent="0.3">
      <c r="A66" t="s">
        <v>849</v>
      </c>
      <c r="B66" t="s">
        <v>27</v>
      </c>
      <c r="C66" t="s">
        <v>841</v>
      </c>
      <c r="D66" s="7">
        <v>45939</v>
      </c>
      <c r="H66" t="s">
        <v>752</v>
      </c>
      <c r="I66" t="s">
        <v>758</v>
      </c>
      <c r="O66" s="7">
        <v>45939</v>
      </c>
      <c r="R66" t="s">
        <v>1050</v>
      </c>
    </row>
    <row r="67" spans="1:18" x14ac:dyDescent="0.3">
      <c r="A67" t="s">
        <v>324</v>
      </c>
      <c r="B67" t="s">
        <v>15</v>
      </c>
      <c r="C67" t="s">
        <v>16</v>
      </c>
      <c r="D67" s="7">
        <v>45959</v>
      </c>
      <c r="E67" s="7">
        <v>45960</v>
      </c>
      <c r="F67" s="7">
        <v>45965</v>
      </c>
      <c r="G67" s="7">
        <v>45968</v>
      </c>
      <c r="H67" t="s">
        <v>17</v>
      </c>
      <c r="J67" s="7">
        <v>45983</v>
      </c>
      <c r="K67">
        <v>1</v>
      </c>
      <c r="L67">
        <v>5</v>
      </c>
      <c r="M67">
        <v>3</v>
      </c>
      <c r="N67">
        <v>10</v>
      </c>
      <c r="O67" s="7">
        <v>45959</v>
      </c>
      <c r="P67" s="7">
        <v>45960</v>
      </c>
      <c r="Q67" s="7">
        <v>45968</v>
      </c>
      <c r="R67" t="s">
        <v>1049</v>
      </c>
    </row>
    <row r="68" spans="1:18" x14ac:dyDescent="0.3">
      <c r="A68" t="s">
        <v>141</v>
      </c>
      <c r="B68" t="s">
        <v>27</v>
      </c>
      <c r="C68" t="s">
        <v>16</v>
      </c>
      <c r="D68" s="7">
        <v>45950</v>
      </c>
      <c r="E68" s="7">
        <v>45955</v>
      </c>
      <c r="F68" s="7">
        <v>45958</v>
      </c>
      <c r="G68" s="7">
        <v>45962</v>
      </c>
      <c r="H68" t="s">
        <v>17</v>
      </c>
      <c r="J68" s="7">
        <v>45984</v>
      </c>
      <c r="K68">
        <v>5</v>
      </c>
      <c r="L68">
        <v>3</v>
      </c>
      <c r="M68">
        <v>4</v>
      </c>
      <c r="N68">
        <v>4</v>
      </c>
      <c r="O68" s="7">
        <v>45950</v>
      </c>
      <c r="P68" s="7">
        <v>45955</v>
      </c>
      <c r="Q68" s="7">
        <v>45962</v>
      </c>
      <c r="R68" t="s">
        <v>1049</v>
      </c>
    </row>
    <row r="69" spans="1:18" x14ac:dyDescent="0.3">
      <c r="A69" t="s">
        <v>485</v>
      </c>
      <c r="B69" t="s">
        <v>15</v>
      </c>
      <c r="C69" t="s">
        <v>474</v>
      </c>
      <c r="D69" s="7">
        <v>45953</v>
      </c>
      <c r="E69" s="7">
        <v>45956</v>
      </c>
      <c r="F69" s="7">
        <v>45959</v>
      </c>
      <c r="G69" s="7">
        <v>45961</v>
      </c>
      <c r="H69" t="s">
        <v>17</v>
      </c>
      <c r="J69" s="7">
        <v>45980</v>
      </c>
      <c r="K69">
        <v>3</v>
      </c>
      <c r="L69">
        <v>3</v>
      </c>
      <c r="M69">
        <v>2</v>
      </c>
      <c r="N69">
        <v>5</v>
      </c>
      <c r="O69" s="7">
        <v>45953</v>
      </c>
      <c r="P69" s="7">
        <v>45956</v>
      </c>
      <c r="Q69" s="7">
        <v>45961</v>
      </c>
      <c r="R69" t="s">
        <v>1049</v>
      </c>
    </row>
    <row r="70" spans="1:18" x14ac:dyDescent="0.3">
      <c r="A70" t="s">
        <v>850</v>
      </c>
      <c r="B70" t="s">
        <v>27</v>
      </c>
      <c r="C70" t="s">
        <v>841</v>
      </c>
      <c r="D70" s="7">
        <v>45959</v>
      </c>
      <c r="H70" t="s">
        <v>752</v>
      </c>
      <c r="I70" t="s">
        <v>756</v>
      </c>
      <c r="O70" s="7">
        <v>45959</v>
      </c>
      <c r="R70" t="s">
        <v>1050</v>
      </c>
    </row>
    <row r="71" spans="1:18" x14ac:dyDescent="0.3">
      <c r="A71" t="s">
        <v>486</v>
      </c>
      <c r="B71" t="s">
        <v>29</v>
      </c>
      <c r="C71" t="s">
        <v>474</v>
      </c>
      <c r="D71" s="7">
        <v>45939</v>
      </c>
      <c r="E71" s="7">
        <v>45940</v>
      </c>
      <c r="F71" s="7">
        <v>45945</v>
      </c>
      <c r="G71" s="7">
        <v>45948</v>
      </c>
      <c r="H71" t="s">
        <v>17</v>
      </c>
      <c r="J71" s="7">
        <v>45967</v>
      </c>
      <c r="K71">
        <v>1</v>
      </c>
      <c r="L71">
        <v>5</v>
      </c>
      <c r="M71">
        <v>3</v>
      </c>
      <c r="N71">
        <v>1</v>
      </c>
      <c r="O71" s="7">
        <v>45939</v>
      </c>
      <c r="P71" s="7">
        <v>45940</v>
      </c>
      <c r="Q71" s="7">
        <v>45948</v>
      </c>
      <c r="R71" t="s">
        <v>1049</v>
      </c>
    </row>
    <row r="72" spans="1:18" x14ac:dyDescent="0.3">
      <c r="A72" t="s">
        <v>487</v>
      </c>
      <c r="B72" t="s">
        <v>27</v>
      </c>
      <c r="C72" t="s">
        <v>474</v>
      </c>
      <c r="D72" s="7">
        <v>45948</v>
      </c>
      <c r="E72" s="7">
        <v>45950</v>
      </c>
      <c r="F72" s="7">
        <v>45954</v>
      </c>
      <c r="G72" s="7">
        <v>45958</v>
      </c>
      <c r="H72" t="s">
        <v>17</v>
      </c>
      <c r="J72" s="7">
        <v>45972</v>
      </c>
      <c r="K72">
        <v>2</v>
      </c>
      <c r="L72">
        <v>4</v>
      </c>
      <c r="M72">
        <v>4</v>
      </c>
      <c r="N72">
        <v>10</v>
      </c>
      <c r="O72" s="7">
        <v>45948</v>
      </c>
      <c r="P72" s="7">
        <v>45950</v>
      </c>
      <c r="Q72" s="7">
        <v>45958</v>
      </c>
      <c r="R72" t="s">
        <v>1049</v>
      </c>
    </row>
    <row r="73" spans="1:18" x14ac:dyDescent="0.3">
      <c r="A73" t="s">
        <v>32</v>
      </c>
      <c r="B73" t="s">
        <v>27</v>
      </c>
      <c r="C73" t="s">
        <v>16</v>
      </c>
      <c r="D73" s="7">
        <v>45931</v>
      </c>
      <c r="E73" s="7">
        <v>45934</v>
      </c>
      <c r="F73" s="7">
        <v>45936</v>
      </c>
      <c r="G73" s="7">
        <v>45938</v>
      </c>
      <c r="H73" t="s">
        <v>17</v>
      </c>
      <c r="J73" s="7">
        <v>45953</v>
      </c>
      <c r="K73">
        <v>3</v>
      </c>
      <c r="L73">
        <v>2</v>
      </c>
      <c r="M73">
        <v>2</v>
      </c>
      <c r="N73">
        <v>7</v>
      </c>
      <c r="O73" s="7">
        <v>45931</v>
      </c>
      <c r="P73" s="7">
        <v>45934</v>
      </c>
      <c r="Q73" s="7">
        <v>45938</v>
      </c>
      <c r="R73" t="s">
        <v>1049</v>
      </c>
    </row>
    <row r="74" spans="1:18" x14ac:dyDescent="0.3">
      <c r="A74" t="s">
        <v>488</v>
      </c>
      <c r="B74" t="s">
        <v>22</v>
      </c>
      <c r="C74" t="s">
        <v>474</v>
      </c>
      <c r="D74" s="7">
        <v>45947</v>
      </c>
      <c r="E74" s="7">
        <v>45950</v>
      </c>
      <c r="F74" s="7">
        <v>45952</v>
      </c>
      <c r="G74" s="7">
        <v>45955</v>
      </c>
      <c r="H74" t="s">
        <v>17</v>
      </c>
      <c r="J74" s="7">
        <v>45965</v>
      </c>
      <c r="K74">
        <v>3</v>
      </c>
      <c r="L74">
        <v>2</v>
      </c>
      <c r="M74">
        <v>3</v>
      </c>
      <c r="N74">
        <v>6</v>
      </c>
      <c r="O74" s="7">
        <v>45947</v>
      </c>
      <c r="P74" s="7">
        <v>45950</v>
      </c>
      <c r="Q74" s="7">
        <v>45955</v>
      </c>
      <c r="R74" t="s">
        <v>1049</v>
      </c>
    </row>
    <row r="75" spans="1:18" x14ac:dyDescent="0.3">
      <c r="A75" t="s">
        <v>851</v>
      </c>
      <c r="B75" t="s">
        <v>15</v>
      </c>
      <c r="C75" t="s">
        <v>841</v>
      </c>
      <c r="D75" s="7">
        <v>45961</v>
      </c>
      <c r="H75" t="s">
        <v>752</v>
      </c>
      <c r="I75" t="s">
        <v>765</v>
      </c>
      <c r="O75" s="7">
        <v>45961</v>
      </c>
      <c r="R75" t="s">
        <v>1050</v>
      </c>
    </row>
    <row r="76" spans="1:18" x14ac:dyDescent="0.3">
      <c r="A76" t="s">
        <v>33</v>
      </c>
      <c r="B76" t="s">
        <v>27</v>
      </c>
      <c r="C76" t="s">
        <v>16</v>
      </c>
      <c r="D76" s="7">
        <v>45937</v>
      </c>
      <c r="E76" s="7">
        <v>45940</v>
      </c>
      <c r="F76" s="7">
        <v>45943</v>
      </c>
      <c r="G76" s="7">
        <v>45947</v>
      </c>
      <c r="H76" t="s">
        <v>17</v>
      </c>
      <c r="J76" s="7">
        <v>45975</v>
      </c>
      <c r="K76">
        <v>3</v>
      </c>
      <c r="L76">
        <v>3</v>
      </c>
      <c r="M76">
        <v>4</v>
      </c>
      <c r="N76">
        <v>0</v>
      </c>
      <c r="O76" s="7">
        <v>45937</v>
      </c>
      <c r="P76" s="7">
        <v>45940</v>
      </c>
      <c r="Q76" s="7">
        <v>45947</v>
      </c>
      <c r="R76" t="s">
        <v>1049</v>
      </c>
    </row>
    <row r="77" spans="1:18" x14ac:dyDescent="0.3">
      <c r="A77" t="s">
        <v>489</v>
      </c>
      <c r="B77" t="s">
        <v>27</v>
      </c>
      <c r="C77" t="s">
        <v>474</v>
      </c>
      <c r="D77" s="7">
        <v>45933</v>
      </c>
      <c r="E77" s="7">
        <v>45936</v>
      </c>
      <c r="F77" s="7">
        <v>45941</v>
      </c>
      <c r="G77" s="7">
        <v>45948</v>
      </c>
      <c r="H77" t="s">
        <v>17</v>
      </c>
      <c r="J77" s="7">
        <v>45970</v>
      </c>
      <c r="K77">
        <v>3</v>
      </c>
      <c r="L77">
        <v>5</v>
      </c>
      <c r="M77">
        <v>7</v>
      </c>
      <c r="N77">
        <v>1</v>
      </c>
      <c r="O77" s="7">
        <v>45933</v>
      </c>
      <c r="P77" s="7">
        <v>45936</v>
      </c>
      <c r="Q77" s="7">
        <v>45948</v>
      </c>
      <c r="R77" t="s">
        <v>1049</v>
      </c>
    </row>
    <row r="78" spans="1:18" x14ac:dyDescent="0.3">
      <c r="A78" t="s">
        <v>325</v>
      </c>
      <c r="B78" t="s">
        <v>22</v>
      </c>
      <c r="C78" t="s">
        <v>16</v>
      </c>
      <c r="D78" s="7">
        <v>45938</v>
      </c>
      <c r="E78" s="7">
        <v>45939</v>
      </c>
      <c r="F78" s="7">
        <v>45942</v>
      </c>
      <c r="G78" s="7">
        <v>45945</v>
      </c>
      <c r="H78" t="s">
        <v>17</v>
      </c>
      <c r="J78" s="7">
        <v>45973</v>
      </c>
      <c r="K78">
        <v>1</v>
      </c>
      <c r="L78">
        <v>3</v>
      </c>
      <c r="M78">
        <v>3</v>
      </c>
      <c r="N78">
        <v>8</v>
      </c>
      <c r="O78" s="7">
        <v>45938</v>
      </c>
      <c r="P78" s="7">
        <v>45939</v>
      </c>
      <c r="Q78" s="7">
        <v>45945</v>
      </c>
      <c r="R78" t="s">
        <v>1049</v>
      </c>
    </row>
    <row r="79" spans="1:18" x14ac:dyDescent="0.3">
      <c r="A79" t="s">
        <v>852</v>
      </c>
      <c r="B79" t="s">
        <v>22</v>
      </c>
      <c r="C79" t="s">
        <v>841</v>
      </c>
      <c r="D79" s="7">
        <v>45954</v>
      </c>
      <c r="H79" t="s">
        <v>752</v>
      </c>
      <c r="I79" t="s">
        <v>758</v>
      </c>
      <c r="O79" s="7">
        <v>45954</v>
      </c>
      <c r="R79" t="s">
        <v>1050</v>
      </c>
    </row>
    <row r="80" spans="1:18" x14ac:dyDescent="0.3">
      <c r="A80" t="s">
        <v>853</v>
      </c>
      <c r="B80" t="s">
        <v>15</v>
      </c>
      <c r="C80" t="s">
        <v>841</v>
      </c>
      <c r="D80" s="7">
        <v>45944</v>
      </c>
      <c r="H80" t="s">
        <v>752</v>
      </c>
      <c r="I80" t="s">
        <v>756</v>
      </c>
      <c r="O80" s="7">
        <v>45944</v>
      </c>
      <c r="R80" t="s">
        <v>1050</v>
      </c>
    </row>
    <row r="81" spans="1:18" x14ac:dyDescent="0.3">
      <c r="A81" t="s">
        <v>760</v>
      </c>
      <c r="B81" t="s">
        <v>22</v>
      </c>
      <c r="C81" t="s">
        <v>16</v>
      </c>
      <c r="D81" s="7">
        <v>45946</v>
      </c>
      <c r="E81" s="7">
        <v>45948</v>
      </c>
      <c r="F81" s="7">
        <v>45950</v>
      </c>
      <c r="G81" s="7">
        <v>45956</v>
      </c>
      <c r="H81" t="s">
        <v>752</v>
      </c>
      <c r="I81" t="s">
        <v>753</v>
      </c>
      <c r="K81">
        <v>2</v>
      </c>
      <c r="L81">
        <v>2</v>
      </c>
      <c r="M81">
        <v>6</v>
      </c>
      <c r="O81" s="7">
        <v>45946</v>
      </c>
      <c r="P81" s="7">
        <v>45948</v>
      </c>
      <c r="Q81" s="7">
        <v>45956</v>
      </c>
      <c r="R81" t="s">
        <v>1049</v>
      </c>
    </row>
    <row r="82" spans="1:18" x14ac:dyDescent="0.3">
      <c r="A82" t="s">
        <v>854</v>
      </c>
      <c r="B82" t="s">
        <v>29</v>
      </c>
      <c r="C82" t="s">
        <v>841</v>
      </c>
      <c r="D82" s="7">
        <v>45948</v>
      </c>
      <c r="H82" t="s">
        <v>752</v>
      </c>
      <c r="I82" t="s">
        <v>758</v>
      </c>
      <c r="O82" s="7">
        <v>45948</v>
      </c>
      <c r="R82" t="s">
        <v>1050</v>
      </c>
    </row>
    <row r="83" spans="1:18" x14ac:dyDescent="0.3">
      <c r="A83" t="s">
        <v>855</v>
      </c>
      <c r="B83" t="s">
        <v>22</v>
      </c>
      <c r="C83" t="s">
        <v>841</v>
      </c>
      <c r="D83" s="7">
        <v>45955</v>
      </c>
      <c r="H83" t="s">
        <v>752</v>
      </c>
      <c r="I83" t="s">
        <v>758</v>
      </c>
      <c r="O83" s="7">
        <v>45955</v>
      </c>
      <c r="R83" t="s">
        <v>1050</v>
      </c>
    </row>
    <row r="84" spans="1:18" x14ac:dyDescent="0.3">
      <c r="A84" t="s">
        <v>400</v>
      </c>
      <c r="B84" t="s">
        <v>29</v>
      </c>
      <c r="C84" t="s">
        <v>16</v>
      </c>
      <c r="D84" s="7">
        <v>45938</v>
      </c>
      <c r="E84" s="7">
        <v>45940</v>
      </c>
      <c r="F84" s="7">
        <v>45943</v>
      </c>
      <c r="G84" s="7">
        <v>45948</v>
      </c>
      <c r="H84" t="s">
        <v>17</v>
      </c>
      <c r="J84" s="7">
        <v>45959</v>
      </c>
      <c r="K84">
        <v>2</v>
      </c>
      <c r="L84">
        <v>3</v>
      </c>
      <c r="M84">
        <v>5</v>
      </c>
      <c r="N84">
        <v>5</v>
      </c>
      <c r="O84" s="7">
        <v>45938</v>
      </c>
      <c r="P84" s="7">
        <v>45940</v>
      </c>
      <c r="Q84" s="7">
        <v>45948</v>
      </c>
      <c r="R84" t="s">
        <v>1049</v>
      </c>
    </row>
    <row r="85" spans="1:18" x14ac:dyDescent="0.3">
      <c r="A85" t="s">
        <v>691</v>
      </c>
      <c r="B85" t="s">
        <v>15</v>
      </c>
      <c r="C85" t="s">
        <v>474</v>
      </c>
      <c r="D85" s="7">
        <v>45953</v>
      </c>
      <c r="E85" s="7">
        <v>45958</v>
      </c>
      <c r="F85" s="7">
        <v>45961</v>
      </c>
      <c r="G85" s="7">
        <v>45966</v>
      </c>
      <c r="H85" t="s">
        <v>17</v>
      </c>
      <c r="J85" s="7">
        <v>45981</v>
      </c>
      <c r="K85">
        <v>5</v>
      </c>
      <c r="L85">
        <v>3</v>
      </c>
      <c r="M85">
        <v>5</v>
      </c>
      <c r="N85">
        <v>5</v>
      </c>
      <c r="O85" s="7">
        <v>45953</v>
      </c>
      <c r="P85" s="7">
        <v>45958</v>
      </c>
      <c r="Q85" s="7">
        <v>45966</v>
      </c>
      <c r="R85" t="s">
        <v>1049</v>
      </c>
    </row>
    <row r="86" spans="1:18" x14ac:dyDescent="0.3">
      <c r="A86" t="s">
        <v>236</v>
      </c>
      <c r="B86" t="s">
        <v>15</v>
      </c>
      <c r="C86" t="s">
        <v>16</v>
      </c>
      <c r="D86" s="7">
        <v>45946</v>
      </c>
      <c r="E86" s="7">
        <v>45950</v>
      </c>
      <c r="F86" s="7">
        <v>45952</v>
      </c>
      <c r="G86" s="7">
        <v>45958</v>
      </c>
      <c r="H86" t="s">
        <v>17</v>
      </c>
      <c r="J86" s="7">
        <v>45987</v>
      </c>
      <c r="K86">
        <v>4</v>
      </c>
      <c r="L86">
        <v>2</v>
      </c>
      <c r="M86">
        <v>6</v>
      </c>
      <c r="N86">
        <v>4</v>
      </c>
      <c r="O86" s="7">
        <v>45946</v>
      </c>
      <c r="P86" s="7">
        <v>45950</v>
      </c>
      <c r="Q86" s="7">
        <v>45958</v>
      </c>
      <c r="R86" t="s">
        <v>1049</v>
      </c>
    </row>
    <row r="87" spans="1:18" x14ac:dyDescent="0.3">
      <c r="A87" t="s">
        <v>856</v>
      </c>
      <c r="B87" t="s">
        <v>15</v>
      </c>
      <c r="C87" t="s">
        <v>841</v>
      </c>
      <c r="D87" s="7">
        <v>45951</v>
      </c>
      <c r="H87" t="s">
        <v>752</v>
      </c>
      <c r="I87" t="s">
        <v>777</v>
      </c>
      <c r="O87" s="7">
        <v>45951</v>
      </c>
      <c r="R87" t="s">
        <v>1050</v>
      </c>
    </row>
    <row r="88" spans="1:18" x14ac:dyDescent="0.3">
      <c r="A88" t="s">
        <v>490</v>
      </c>
      <c r="B88" t="s">
        <v>15</v>
      </c>
      <c r="C88" t="s">
        <v>474</v>
      </c>
      <c r="D88" s="7">
        <v>45953</v>
      </c>
      <c r="E88" s="7">
        <v>45954</v>
      </c>
      <c r="F88" s="7">
        <v>45958</v>
      </c>
      <c r="G88" s="7">
        <v>45961</v>
      </c>
      <c r="H88" t="s">
        <v>17</v>
      </c>
      <c r="J88" s="7">
        <v>45981</v>
      </c>
      <c r="K88">
        <v>1</v>
      </c>
      <c r="L88">
        <v>4</v>
      </c>
      <c r="M88">
        <v>3</v>
      </c>
      <c r="N88">
        <v>7</v>
      </c>
      <c r="O88" s="7">
        <v>45953</v>
      </c>
      <c r="P88" s="7">
        <v>45954</v>
      </c>
      <c r="Q88" s="7">
        <v>45961</v>
      </c>
      <c r="R88" t="s">
        <v>1049</v>
      </c>
    </row>
    <row r="89" spans="1:18" x14ac:dyDescent="0.3">
      <c r="A89" t="s">
        <v>857</v>
      </c>
      <c r="B89" t="s">
        <v>15</v>
      </c>
      <c r="C89" t="s">
        <v>841</v>
      </c>
      <c r="D89" s="7">
        <v>45946</v>
      </c>
      <c r="H89" t="s">
        <v>752</v>
      </c>
      <c r="I89" t="s">
        <v>753</v>
      </c>
      <c r="O89" s="7">
        <v>45946</v>
      </c>
      <c r="R89" t="s">
        <v>1050</v>
      </c>
    </row>
    <row r="90" spans="1:18" x14ac:dyDescent="0.3">
      <c r="A90" t="s">
        <v>491</v>
      </c>
      <c r="B90" t="s">
        <v>29</v>
      </c>
      <c r="C90" t="s">
        <v>474</v>
      </c>
      <c r="D90" s="7">
        <v>45945</v>
      </c>
      <c r="E90" s="7">
        <v>45947</v>
      </c>
      <c r="F90" s="7">
        <v>45950</v>
      </c>
      <c r="G90" s="7">
        <v>45956</v>
      </c>
      <c r="H90" t="s">
        <v>17</v>
      </c>
      <c r="J90" s="7">
        <v>45985</v>
      </c>
      <c r="K90">
        <v>2</v>
      </c>
      <c r="L90">
        <v>3</v>
      </c>
      <c r="M90">
        <v>6</v>
      </c>
      <c r="N90">
        <v>5</v>
      </c>
      <c r="O90" s="7">
        <v>45945</v>
      </c>
      <c r="P90" s="7">
        <v>45947</v>
      </c>
      <c r="Q90" s="7">
        <v>45956</v>
      </c>
      <c r="R90" t="s">
        <v>1049</v>
      </c>
    </row>
    <row r="91" spans="1:18" x14ac:dyDescent="0.3">
      <c r="A91" t="s">
        <v>492</v>
      </c>
      <c r="B91" t="s">
        <v>29</v>
      </c>
      <c r="C91" t="s">
        <v>474</v>
      </c>
      <c r="D91" s="7">
        <v>45956</v>
      </c>
      <c r="E91" s="7">
        <v>45957</v>
      </c>
      <c r="F91" s="7">
        <v>45961</v>
      </c>
      <c r="G91" s="7">
        <v>45966</v>
      </c>
      <c r="H91" t="s">
        <v>17</v>
      </c>
      <c r="J91" s="7">
        <v>45983</v>
      </c>
      <c r="K91">
        <v>1</v>
      </c>
      <c r="L91">
        <v>4</v>
      </c>
      <c r="M91">
        <v>5</v>
      </c>
      <c r="N91">
        <v>8</v>
      </c>
      <c r="O91" s="7">
        <v>45956</v>
      </c>
      <c r="P91" s="7">
        <v>45957</v>
      </c>
      <c r="Q91" s="7">
        <v>45966</v>
      </c>
      <c r="R91" t="s">
        <v>1049</v>
      </c>
    </row>
    <row r="92" spans="1:18" x14ac:dyDescent="0.3">
      <c r="A92" t="s">
        <v>326</v>
      </c>
      <c r="B92" t="s">
        <v>15</v>
      </c>
      <c r="C92" t="s">
        <v>16</v>
      </c>
      <c r="D92" s="7">
        <v>45931</v>
      </c>
      <c r="E92" s="7">
        <v>45932</v>
      </c>
      <c r="F92" s="7">
        <v>45935</v>
      </c>
      <c r="G92" s="7">
        <v>45940</v>
      </c>
      <c r="H92" t="s">
        <v>17</v>
      </c>
      <c r="J92" s="7">
        <v>45970</v>
      </c>
      <c r="K92">
        <v>1</v>
      </c>
      <c r="L92">
        <v>3</v>
      </c>
      <c r="M92">
        <v>5</v>
      </c>
      <c r="N92">
        <v>0</v>
      </c>
      <c r="O92" s="7">
        <v>45931</v>
      </c>
      <c r="P92" s="7">
        <v>45932</v>
      </c>
      <c r="Q92" s="7">
        <v>45940</v>
      </c>
      <c r="R92" t="s">
        <v>1049</v>
      </c>
    </row>
    <row r="93" spans="1:18" x14ac:dyDescent="0.3">
      <c r="A93" t="s">
        <v>692</v>
      </c>
      <c r="B93" t="s">
        <v>22</v>
      </c>
      <c r="C93" t="s">
        <v>474</v>
      </c>
      <c r="D93" s="7">
        <v>45933</v>
      </c>
      <c r="E93" s="7">
        <v>45938</v>
      </c>
      <c r="F93" s="7">
        <v>45943</v>
      </c>
      <c r="G93" s="7">
        <v>45946</v>
      </c>
      <c r="H93" t="s">
        <v>17</v>
      </c>
      <c r="J93" s="7">
        <v>45974</v>
      </c>
      <c r="K93">
        <v>5</v>
      </c>
      <c r="L93">
        <v>5</v>
      </c>
      <c r="M93">
        <v>3</v>
      </c>
      <c r="N93">
        <v>9</v>
      </c>
      <c r="O93" s="7">
        <v>45933</v>
      </c>
      <c r="P93" s="7">
        <v>45938</v>
      </c>
      <c r="Q93" s="7">
        <v>45946</v>
      </c>
      <c r="R93" t="s">
        <v>1049</v>
      </c>
    </row>
    <row r="94" spans="1:18" x14ac:dyDescent="0.3">
      <c r="A94" t="s">
        <v>858</v>
      </c>
      <c r="B94" t="s">
        <v>27</v>
      </c>
      <c r="C94" t="s">
        <v>841</v>
      </c>
      <c r="D94" s="7">
        <v>45940</v>
      </c>
      <c r="H94" t="s">
        <v>752</v>
      </c>
      <c r="I94" t="s">
        <v>765</v>
      </c>
      <c r="O94" s="7">
        <v>45940</v>
      </c>
      <c r="R94" t="s">
        <v>1050</v>
      </c>
    </row>
    <row r="95" spans="1:18" x14ac:dyDescent="0.3">
      <c r="A95" t="s">
        <v>859</v>
      </c>
      <c r="B95" t="s">
        <v>15</v>
      </c>
      <c r="C95" t="s">
        <v>841</v>
      </c>
      <c r="D95" s="7">
        <v>45938</v>
      </c>
      <c r="H95" t="s">
        <v>752</v>
      </c>
      <c r="I95" t="s">
        <v>756</v>
      </c>
      <c r="O95" s="7">
        <v>45938</v>
      </c>
      <c r="R95" t="s">
        <v>1050</v>
      </c>
    </row>
    <row r="96" spans="1:18" x14ac:dyDescent="0.3">
      <c r="A96" t="s">
        <v>860</v>
      </c>
      <c r="B96" t="s">
        <v>22</v>
      </c>
      <c r="C96" t="s">
        <v>841</v>
      </c>
      <c r="D96" s="7">
        <v>45943</v>
      </c>
      <c r="H96" t="s">
        <v>752</v>
      </c>
      <c r="I96" t="s">
        <v>777</v>
      </c>
      <c r="O96" s="7">
        <v>45943</v>
      </c>
      <c r="R96" t="s">
        <v>1050</v>
      </c>
    </row>
    <row r="97" spans="1:18" x14ac:dyDescent="0.3">
      <c r="A97" t="s">
        <v>401</v>
      </c>
      <c r="B97" t="s">
        <v>27</v>
      </c>
      <c r="C97" t="s">
        <v>16</v>
      </c>
      <c r="D97" s="7">
        <v>45953</v>
      </c>
      <c r="E97" s="7">
        <v>45955</v>
      </c>
      <c r="F97" s="7">
        <v>45958</v>
      </c>
      <c r="G97" s="7">
        <v>45963</v>
      </c>
      <c r="H97" t="s">
        <v>17</v>
      </c>
      <c r="J97" s="7">
        <v>45976</v>
      </c>
      <c r="K97">
        <v>2</v>
      </c>
      <c r="L97">
        <v>3</v>
      </c>
      <c r="M97">
        <v>5</v>
      </c>
      <c r="N97">
        <v>9</v>
      </c>
      <c r="O97" s="7">
        <v>45953</v>
      </c>
      <c r="P97" s="7">
        <v>45955</v>
      </c>
      <c r="Q97" s="7">
        <v>45963</v>
      </c>
      <c r="R97" t="s">
        <v>1049</v>
      </c>
    </row>
    <row r="98" spans="1:18" x14ac:dyDescent="0.3">
      <c r="A98" t="s">
        <v>761</v>
      </c>
      <c r="B98" t="s">
        <v>15</v>
      </c>
      <c r="C98" t="s">
        <v>474</v>
      </c>
      <c r="D98" s="7">
        <v>45938</v>
      </c>
      <c r="E98" s="7">
        <v>45942</v>
      </c>
      <c r="F98" s="7">
        <v>45945</v>
      </c>
      <c r="G98" s="7">
        <v>45952</v>
      </c>
      <c r="H98" t="s">
        <v>752</v>
      </c>
      <c r="I98" t="s">
        <v>756</v>
      </c>
      <c r="K98">
        <v>4</v>
      </c>
      <c r="L98">
        <v>3</v>
      </c>
      <c r="M98">
        <v>7</v>
      </c>
      <c r="O98" s="7">
        <v>45938</v>
      </c>
      <c r="P98" s="7">
        <v>45942</v>
      </c>
      <c r="Q98" s="7">
        <v>45952</v>
      </c>
      <c r="R98" t="s">
        <v>1049</v>
      </c>
    </row>
    <row r="99" spans="1:18" x14ac:dyDescent="0.3">
      <c r="A99" t="s">
        <v>237</v>
      </c>
      <c r="B99" t="s">
        <v>15</v>
      </c>
      <c r="C99" t="s">
        <v>16</v>
      </c>
      <c r="D99" s="7">
        <v>45940</v>
      </c>
      <c r="E99" s="7">
        <v>45944</v>
      </c>
      <c r="F99" s="7">
        <v>45945</v>
      </c>
      <c r="G99" s="7">
        <v>45951</v>
      </c>
      <c r="H99" t="s">
        <v>17</v>
      </c>
      <c r="J99" s="7">
        <v>45976</v>
      </c>
      <c r="K99">
        <v>4</v>
      </c>
      <c r="L99">
        <v>1</v>
      </c>
      <c r="M99">
        <v>6</v>
      </c>
      <c r="N99">
        <v>6</v>
      </c>
      <c r="O99" s="7">
        <v>45940</v>
      </c>
      <c r="P99" s="7">
        <v>45944</v>
      </c>
      <c r="Q99" s="7">
        <v>45951</v>
      </c>
      <c r="R99" t="s">
        <v>1049</v>
      </c>
    </row>
    <row r="100" spans="1:18" x14ac:dyDescent="0.3">
      <c r="A100" t="s">
        <v>238</v>
      </c>
      <c r="B100" t="s">
        <v>29</v>
      </c>
      <c r="C100" t="s">
        <v>16</v>
      </c>
      <c r="D100" s="7">
        <v>45952</v>
      </c>
      <c r="E100" s="7">
        <v>45956</v>
      </c>
      <c r="F100" s="7">
        <v>45961</v>
      </c>
      <c r="G100" s="7">
        <v>45968</v>
      </c>
      <c r="H100" t="s">
        <v>17</v>
      </c>
      <c r="J100" s="7">
        <v>45982</v>
      </c>
      <c r="K100">
        <v>4</v>
      </c>
      <c r="L100">
        <v>5</v>
      </c>
      <c r="M100">
        <v>7</v>
      </c>
      <c r="N100">
        <v>0</v>
      </c>
      <c r="O100" s="7">
        <v>45952</v>
      </c>
      <c r="P100" s="7">
        <v>45956</v>
      </c>
      <c r="Q100" s="7">
        <v>45968</v>
      </c>
      <c r="R100" t="s">
        <v>1049</v>
      </c>
    </row>
    <row r="101" spans="1:18" x14ac:dyDescent="0.3">
      <c r="A101" t="s">
        <v>34</v>
      </c>
      <c r="B101" t="s">
        <v>27</v>
      </c>
      <c r="C101" t="s">
        <v>16</v>
      </c>
      <c r="D101" s="7">
        <v>45949</v>
      </c>
      <c r="E101" s="7">
        <v>45952</v>
      </c>
      <c r="F101" s="7">
        <v>45957</v>
      </c>
      <c r="G101" s="7">
        <v>45964</v>
      </c>
      <c r="H101" t="s">
        <v>17</v>
      </c>
      <c r="J101" s="7">
        <v>45984</v>
      </c>
      <c r="K101">
        <v>3</v>
      </c>
      <c r="L101">
        <v>5</v>
      </c>
      <c r="M101">
        <v>7</v>
      </c>
      <c r="N101">
        <v>10</v>
      </c>
      <c r="O101" s="7">
        <v>45949</v>
      </c>
      <c r="P101" s="7">
        <v>45952</v>
      </c>
      <c r="Q101" s="7">
        <v>45964</v>
      </c>
      <c r="R101" t="s">
        <v>1049</v>
      </c>
    </row>
    <row r="102" spans="1:18" x14ac:dyDescent="0.3">
      <c r="A102" t="s">
        <v>493</v>
      </c>
      <c r="B102" t="s">
        <v>27</v>
      </c>
      <c r="C102" t="s">
        <v>474</v>
      </c>
      <c r="D102" s="7">
        <v>45942</v>
      </c>
      <c r="E102" s="7">
        <v>45944</v>
      </c>
      <c r="F102" s="7">
        <v>45948</v>
      </c>
      <c r="G102" s="7">
        <v>45951</v>
      </c>
      <c r="H102" t="s">
        <v>17</v>
      </c>
      <c r="J102" s="7">
        <v>45963</v>
      </c>
      <c r="K102">
        <v>2</v>
      </c>
      <c r="L102">
        <v>4</v>
      </c>
      <c r="M102">
        <v>3</v>
      </c>
      <c r="N102">
        <v>1</v>
      </c>
      <c r="O102" s="7">
        <v>45942</v>
      </c>
      <c r="P102" s="7">
        <v>45944</v>
      </c>
      <c r="Q102" s="7">
        <v>45951</v>
      </c>
      <c r="R102" t="s">
        <v>1049</v>
      </c>
    </row>
    <row r="103" spans="1:18" x14ac:dyDescent="0.3">
      <c r="A103" t="s">
        <v>35</v>
      </c>
      <c r="B103" t="s">
        <v>22</v>
      </c>
      <c r="C103" t="s">
        <v>16</v>
      </c>
      <c r="D103" s="7">
        <v>45946</v>
      </c>
      <c r="E103" s="7">
        <v>45949</v>
      </c>
      <c r="F103" s="7">
        <v>45953</v>
      </c>
      <c r="G103" s="7">
        <v>45959</v>
      </c>
      <c r="H103" t="s">
        <v>17</v>
      </c>
      <c r="J103" s="7">
        <v>45976</v>
      </c>
      <c r="K103">
        <v>3</v>
      </c>
      <c r="L103">
        <v>4</v>
      </c>
      <c r="M103">
        <v>6</v>
      </c>
      <c r="N103">
        <v>1</v>
      </c>
      <c r="O103" s="7">
        <v>45946</v>
      </c>
      <c r="P103" s="7">
        <v>45949</v>
      </c>
      <c r="Q103" s="7">
        <v>45959</v>
      </c>
      <c r="R103" t="s">
        <v>1049</v>
      </c>
    </row>
    <row r="104" spans="1:18" x14ac:dyDescent="0.3">
      <c r="A104" t="s">
        <v>36</v>
      </c>
      <c r="B104" t="s">
        <v>29</v>
      </c>
      <c r="C104" t="s">
        <v>16</v>
      </c>
      <c r="D104" s="7">
        <v>45948</v>
      </c>
      <c r="E104" s="7">
        <v>45951</v>
      </c>
      <c r="F104" s="7">
        <v>45954</v>
      </c>
      <c r="G104" s="7">
        <v>45957</v>
      </c>
      <c r="H104" t="s">
        <v>17</v>
      </c>
      <c r="J104" s="7">
        <v>45978</v>
      </c>
      <c r="K104">
        <v>3</v>
      </c>
      <c r="L104">
        <v>3</v>
      </c>
      <c r="M104">
        <v>3</v>
      </c>
      <c r="N104">
        <v>0</v>
      </c>
      <c r="O104" s="7">
        <v>45948</v>
      </c>
      <c r="P104" s="7">
        <v>45951</v>
      </c>
      <c r="Q104" s="7">
        <v>45957</v>
      </c>
      <c r="R104" t="s">
        <v>1049</v>
      </c>
    </row>
    <row r="105" spans="1:18" x14ac:dyDescent="0.3">
      <c r="A105" t="s">
        <v>861</v>
      </c>
      <c r="B105" t="s">
        <v>29</v>
      </c>
      <c r="C105" t="s">
        <v>841</v>
      </c>
      <c r="D105" s="7">
        <v>45947</v>
      </c>
      <c r="H105" t="s">
        <v>752</v>
      </c>
      <c r="I105" t="s">
        <v>765</v>
      </c>
      <c r="O105" s="7">
        <v>45947</v>
      </c>
      <c r="R105" t="s">
        <v>1050</v>
      </c>
    </row>
    <row r="106" spans="1:18" x14ac:dyDescent="0.3">
      <c r="A106" t="s">
        <v>862</v>
      </c>
      <c r="B106" t="s">
        <v>29</v>
      </c>
      <c r="C106" t="s">
        <v>841</v>
      </c>
      <c r="D106" s="7">
        <v>45942</v>
      </c>
      <c r="H106" t="s">
        <v>752</v>
      </c>
      <c r="I106" t="s">
        <v>765</v>
      </c>
      <c r="O106" s="7">
        <v>45942</v>
      </c>
      <c r="R106" t="s">
        <v>1050</v>
      </c>
    </row>
    <row r="107" spans="1:18" x14ac:dyDescent="0.3">
      <c r="A107" t="s">
        <v>37</v>
      </c>
      <c r="B107" t="s">
        <v>29</v>
      </c>
      <c r="C107" t="s">
        <v>16</v>
      </c>
      <c r="D107" s="7">
        <v>45944</v>
      </c>
      <c r="E107" s="7">
        <v>45947</v>
      </c>
      <c r="F107" s="7">
        <v>45949</v>
      </c>
      <c r="G107" s="7">
        <v>45954</v>
      </c>
      <c r="H107" t="s">
        <v>17</v>
      </c>
      <c r="J107" s="7">
        <v>45974</v>
      </c>
      <c r="K107">
        <v>3</v>
      </c>
      <c r="L107">
        <v>2</v>
      </c>
      <c r="M107">
        <v>5</v>
      </c>
      <c r="N107">
        <v>2</v>
      </c>
      <c r="O107" s="7">
        <v>45944</v>
      </c>
      <c r="P107" s="7">
        <v>45947</v>
      </c>
      <c r="Q107" s="7">
        <v>45954</v>
      </c>
      <c r="R107" t="s">
        <v>1049</v>
      </c>
    </row>
    <row r="108" spans="1:18" x14ac:dyDescent="0.3">
      <c r="A108" t="s">
        <v>762</v>
      </c>
      <c r="B108" t="s">
        <v>27</v>
      </c>
      <c r="C108" t="s">
        <v>16</v>
      </c>
      <c r="D108" s="7">
        <v>45954</v>
      </c>
      <c r="E108" s="7">
        <v>45959</v>
      </c>
      <c r="F108" s="7">
        <v>45962</v>
      </c>
      <c r="G108" s="7">
        <v>45966</v>
      </c>
      <c r="H108" t="s">
        <v>752</v>
      </c>
      <c r="I108" t="s">
        <v>758</v>
      </c>
      <c r="K108">
        <v>5</v>
      </c>
      <c r="L108">
        <v>3</v>
      </c>
      <c r="M108">
        <v>4</v>
      </c>
      <c r="O108" s="7">
        <v>45954</v>
      </c>
      <c r="P108" s="7">
        <v>45959</v>
      </c>
      <c r="Q108" s="7">
        <v>45966</v>
      </c>
      <c r="R108" t="s">
        <v>1049</v>
      </c>
    </row>
    <row r="109" spans="1:18" x14ac:dyDescent="0.3">
      <c r="A109" t="s">
        <v>142</v>
      </c>
      <c r="B109" t="s">
        <v>27</v>
      </c>
      <c r="C109" t="s">
        <v>16</v>
      </c>
      <c r="D109" s="7">
        <v>45948</v>
      </c>
      <c r="E109" s="7">
        <v>45953</v>
      </c>
      <c r="F109" s="7">
        <v>45954</v>
      </c>
      <c r="G109" s="7">
        <v>45957</v>
      </c>
      <c r="H109" t="s">
        <v>17</v>
      </c>
      <c r="J109" s="7">
        <v>45972</v>
      </c>
      <c r="K109">
        <v>5</v>
      </c>
      <c r="L109">
        <v>1</v>
      </c>
      <c r="M109">
        <v>3</v>
      </c>
      <c r="N109">
        <v>10</v>
      </c>
      <c r="O109" s="7">
        <v>45948</v>
      </c>
      <c r="P109" s="7">
        <v>45953</v>
      </c>
      <c r="Q109" s="7">
        <v>45957</v>
      </c>
      <c r="R109" t="s">
        <v>1049</v>
      </c>
    </row>
    <row r="110" spans="1:18" x14ac:dyDescent="0.3">
      <c r="A110" t="s">
        <v>494</v>
      </c>
      <c r="B110" t="s">
        <v>15</v>
      </c>
      <c r="C110" t="s">
        <v>474</v>
      </c>
      <c r="D110" s="7">
        <v>45941</v>
      </c>
      <c r="E110" s="7">
        <v>45942</v>
      </c>
      <c r="F110" s="7">
        <v>45945</v>
      </c>
      <c r="G110" s="7">
        <v>45948</v>
      </c>
      <c r="H110" t="s">
        <v>17</v>
      </c>
      <c r="J110" s="7">
        <v>45978</v>
      </c>
      <c r="K110">
        <v>1</v>
      </c>
      <c r="L110">
        <v>3</v>
      </c>
      <c r="M110">
        <v>3</v>
      </c>
      <c r="N110">
        <v>4</v>
      </c>
      <c r="O110" s="7">
        <v>45941</v>
      </c>
      <c r="P110" s="7">
        <v>45942</v>
      </c>
      <c r="Q110" s="7">
        <v>45948</v>
      </c>
      <c r="R110" t="s">
        <v>1049</v>
      </c>
    </row>
    <row r="111" spans="1:18" x14ac:dyDescent="0.3">
      <c r="A111" t="s">
        <v>863</v>
      </c>
      <c r="B111" t="s">
        <v>15</v>
      </c>
      <c r="C111" t="s">
        <v>841</v>
      </c>
      <c r="D111" s="7">
        <v>45942</v>
      </c>
      <c r="H111" t="s">
        <v>752</v>
      </c>
      <c r="I111" t="s">
        <v>765</v>
      </c>
      <c r="O111" s="7">
        <v>45942</v>
      </c>
      <c r="R111" t="s">
        <v>1050</v>
      </c>
    </row>
    <row r="112" spans="1:18" x14ac:dyDescent="0.3">
      <c r="A112" t="s">
        <v>864</v>
      </c>
      <c r="B112" t="s">
        <v>29</v>
      </c>
      <c r="C112" t="s">
        <v>841</v>
      </c>
      <c r="D112" s="7">
        <v>45953</v>
      </c>
      <c r="H112" t="s">
        <v>752</v>
      </c>
      <c r="I112" t="s">
        <v>756</v>
      </c>
      <c r="O112" s="7">
        <v>45953</v>
      </c>
      <c r="R112" t="s">
        <v>1050</v>
      </c>
    </row>
    <row r="113" spans="1:18" x14ac:dyDescent="0.3">
      <c r="A113" t="s">
        <v>327</v>
      </c>
      <c r="B113" t="s">
        <v>29</v>
      </c>
      <c r="C113" t="s">
        <v>16</v>
      </c>
      <c r="D113" s="7">
        <v>45945</v>
      </c>
      <c r="E113" s="7">
        <v>45946</v>
      </c>
      <c r="F113" s="7">
        <v>45947</v>
      </c>
      <c r="G113" s="7">
        <v>45951</v>
      </c>
      <c r="H113" t="s">
        <v>17</v>
      </c>
      <c r="J113" s="7">
        <v>45963</v>
      </c>
      <c r="K113">
        <v>1</v>
      </c>
      <c r="L113">
        <v>1</v>
      </c>
      <c r="M113">
        <v>4</v>
      </c>
      <c r="N113">
        <v>2</v>
      </c>
      <c r="O113" s="7">
        <v>45945</v>
      </c>
      <c r="P113" s="7">
        <v>45946</v>
      </c>
      <c r="Q113" s="7">
        <v>45951</v>
      </c>
      <c r="R113" t="s">
        <v>1049</v>
      </c>
    </row>
    <row r="114" spans="1:18" x14ac:dyDescent="0.3">
      <c r="A114" t="s">
        <v>763</v>
      </c>
      <c r="B114" t="s">
        <v>29</v>
      </c>
      <c r="C114" t="s">
        <v>16</v>
      </c>
      <c r="D114" s="7">
        <v>45939</v>
      </c>
      <c r="E114" s="7">
        <v>45941</v>
      </c>
      <c r="F114" s="7">
        <v>45944</v>
      </c>
      <c r="G114" s="7">
        <v>45949</v>
      </c>
      <c r="H114" t="s">
        <v>752</v>
      </c>
      <c r="I114" t="s">
        <v>753</v>
      </c>
      <c r="K114">
        <v>2</v>
      </c>
      <c r="L114">
        <v>3</v>
      </c>
      <c r="M114">
        <v>5</v>
      </c>
      <c r="O114" s="7">
        <v>45939</v>
      </c>
      <c r="P114" s="7">
        <v>45941</v>
      </c>
      <c r="Q114" s="7">
        <v>45949</v>
      </c>
      <c r="R114" t="s">
        <v>1049</v>
      </c>
    </row>
    <row r="115" spans="1:18" x14ac:dyDescent="0.3">
      <c r="A115" t="s">
        <v>495</v>
      </c>
      <c r="B115" t="s">
        <v>15</v>
      </c>
      <c r="C115" t="s">
        <v>474</v>
      </c>
      <c r="D115" s="7">
        <v>45940</v>
      </c>
      <c r="E115" s="7">
        <v>45942</v>
      </c>
      <c r="F115" s="7">
        <v>45946</v>
      </c>
      <c r="G115" s="7">
        <v>45952</v>
      </c>
      <c r="H115" t="s">
        <v>17</v>
      </c>
      <c r="J115" s="7">
        <v>45982</v>
      </c>
      <c r="K115">
        <v>2</v>
      </c>
      <c r="L115">
        <v>4</v>
      </c>
      <c r="M115">
        <v>6</v>
      </c>
      <c r="N115">
        <v>6</v>
      </c>
      <c r="O115" s="7">
        <v>45940</v>
      </c>
      <c r="P115" s="7">
        <v>45942</v>
      </c>
      <c r="Q115" s="7">
        <v>45952</v>
      </c>
      <c r="R115" t="s">
        <v>1049</v>
      </c>
    </row>
    <row r="116" spans="1:18" x14ac:dyDescent="0.3">
      <c r="A116" t="s">
        <v>143</v>
      </c>
      <c r="B116" t="s">
        <v>22</v>
      </c>
      <c r="C116" t="s">
        <v>16</v>
      </c>
      <c r="D116" s="7">
        <v>45939</v>
      </c>
      <c r="E116" s="7">
        <v>45944</v>
      </c>
      <c r="F116" s="7">
        <v>45947</v>
      </c>
      <c r="G116" s="7">
        <v>45949</v>
      </c>
      <c r="H116" t="s">
        <v>17</v>
      </c>
      <c r="J116" s="7">
        <v>45969</v>
      </c>
      <c r="K116">
        <v>5</v>
      </c>
      <c r="L116">
        <v>3</v>
      </c>
      <c r="M116">
        <v>2</v>
      </c>
      <c r="N116">
        <v>10</v>
      </c>
      <c r="O116" s="7">
        <v>45939</v>
      </c>
      <c r="P116" s="7">
        <v>45944</v>
      </c>
      <c r="Q116" s="7">
        <v>45949</v>
      </c>
      <c r="R116" t="s">
        <v>1049</v>
      </c>
    </row>
    <row r="117" spans="1:18" x14ac:dyDescent="0.3">
      <c r="A117" t="s">
        <v>496</v>
      </c>
      <c r="B117" t="s">
        <v>22</v>
      </c>
      <c r="C117" t="s">
        <v>474</v>
      </c>
      <c r="D117" s="7">
        <v>45938</v>
      </c>
      <c r="E117" s="7">
        <v>45939</v>
      </c>
      <c r="F117" s="7">
        <v>45943</v>
      </c>
      <c r="G117" s="7">
        <v>45947</v>
      </c>
      <c r="H117" t="s">
        <v>17</v>
      </c>
      <c r="J117" s="7">
        <v>45971</v>
      </c>
      <c r="K117">
        <v>1</v>
      </c>
      <c r="L117">
        <v>4</v>
      </c>
      <c r="M117">
        <v>4</v>
      </c>
      <c r="N117">
        <v>8</v>
      </c>
      <c r="O117" s="7">
        <v>45938</v>
      </c>
      <c r="P117" s="7">
        <v>45939</v>
      </c>
      <c r="Q117" s="7">
        <v>45947</v>
      </c>
      <c r="R117" t="s">
        <v>1049</v>
      </c>
    </row>
    <row r="118" spans="1:18" x14ac:dyDescent="0.3">
      <c r="A118" t="s">
        <v>865</v>
      </c>
      <c r="B118" t="s">
        <v>15</v>
      </c>
      <c r="C118" t="s">
        <v>841</v>
      </c>
      <c r="D118" s="7">
        <v>45934</v>
      </c>
      <c r="H118" t="s">
        <v>752</v>
      </c>
      <c r="I118" t="s">
        <v>753</v>
      </c>
      <c r="O118" s="7">
        <v>45934</v>
      </c>
      <c r="R118" t="s">
        <v>1050</v>
      </c>
    </row>
    <row r="119" spans="1:18" x14ac:dyDescent="0.3">
      <c r="A119" t="s">
        <v>497</v>
      </c>
      <c r="B119" t="s">
        <v>15</v>
      </c>
      <c r="C119" t="s">
        <v>474</v>
      </c>
      <c r="D119" s="7">
        <v>45954</v>
      </c>
      <c r="E119" s="7">
        <v>45955</v>
      </c>
      <c r="F119" s="7">
        <v>45957</v>
      </c>
      <c r="G119" s="7">
        <v>45959</v>
      </c>
      <c r="H119" t="s">
        <v>17</v>
      </c>
      <c r="J119" s="7">
        <v>45969</v>
      </c>
      <c r="K119">
        <v>1</v>
      </c>
      <c r="L119">
        <v>2</v>
      </c>
      <c r="M119">
        <v>2</v>
      </c>
      <c r="N119">
        <v>1</v>
      </c>
      <c r="O119" s="7">
        <v>45954</v>
      </c>
      <c r="P119" s="7">
        <v>45955</v>
      </c>
      <c r="Q119" s="7">
        <v>45959</v>
      </c>
      <c r="R119" t="s">
        <v>1049</v>
      </c>
    </row>
    <row r="120" spans="1:18" x14ac:dyDescent="0.3">
      <c r="A120" t="s">
        <v>38</v>
      </c>
      <c r="B120" t="s">
        <v>15</v>
      </c>
      <c r="C120" t="s">
        <v>16</v>
      </c>
      <c r="D120" s="7">
        <v>45937</v>
      </c>
      <c r="E120" s="7">
        <v>45940</v>
      </c>
      <c r="F120" s="7">
        <v>45942</v>
      </c>
      <c r="G120" s="7">
        <v>45947</v>
      </c>
      <c r="H120" t="s">
        <v>17</v>
      </c>
      <c r="J120" s="7">
        <v>45965</v>
      </c>
      <c r="K120">
        <v>3</v>
      </c>
      <c r="L120">
        <v>2</v>
      </c>
      <c r="M120">
        <v>5</v>
      </c>
      <c r="N120">
        <v>5</v>
      </c>
      <c r="O120" s="7">
        <v>45937</v>
      </c>
      <c r="P120" s="7">
        <v>45940</v>
      </c>
      <c r="Q120" s="7">
        <v>45947</v>
      </c>
      <c r="R120" t="s">
        <v>1049</v>
      </c>
    </row>
    <row r="121" spans="1:18" x14ac:dyDescent="0.3">
      <c r="A121" t="s">
        <v>866</v>
      </c>
      <c r="B121" t="s">
        <v>15</v>
      </c>
      <c r="C121" t="s">
        <v>841</v>
      </c>
      <c r="D121" s="7">
        <v>45941</v>
      </c>
      <c r="H121" t="s">
        <v>752</v>
      </c>
      <c r="I121" t="s">
        <v>758</v>
      </c>
      <c r="O121" s="7">
        <v>45941</v>
      </c>
      <c r="R121" t="s">
        <v>1050</v>
      </c>
    </row>
    <row r="122" spans="1:18" x14ac:dyDescent="0.3">
      <c r="A122" t="s">
        <v>239</v>
      </c>
      <c r="B122" t="s">
        <v>15</v>
      </c>
      <c r="C122" t="s">
        <v>16</v>
      </c>
      <c r="D122" s="7">
        <v>45934</v>
      </c>
      <c r="E122" s="7">
        <v>45938</v>
      </c>
      <c r="F122" s="7">
        <v>45943</v>
      </c>
      <c r="G122" s="7">
        <v>45946</v>
      </c>
      <c r="H122" t="s">
        <v>17</v>
      </c>
      <c r="J122" s="7">
        <v>45962</v>
      </c>
      <c r="K122">
        <v>4</v>
      </c>
      <c r="L122">
        <v>5</v>
      </c>
      <c r="M122">
        <v>3</v>
      </c>
      <c r="N122">
        <v>1</v>
      </c>
      <c r="O122" s="7">
        <v>45934</v>
      </c>
      <c r="P122" s="7">
        <v>45938</v>
      </c>
      <c r="Q122" s="7">
        <v>45946</v>
      </c>
      <c r="R122" t="s">
        <v>1049</v>
      </c>
    </row>
    <row r="123" spans="1:18" x14ac:dyDescent="0.3">
      <c r="A123" t="s">
        <v>498</v>
      </c>
      <c r="B123" t="s">
        <v>15</v>
      </c>
      <c r="C123" t="s">
        <v>474</v>
      </c>
      <c r="D123" s="7">
        <v>45954</v>
      </c>
      <c r="E123" s="7">
        <v>45958</v>
      </c>
      <c r="F123" s="7">
        <v>45961</v>
      </c>
      <c r="G123" s="7">
        <v>45964</v>
      </c>
      <c r="H123" t="s">
        <v>17</v>
      </c>
      <c r="J123" s="7">
        <v>45981</v>
      </c>
      <c r="K123">
        <v>4</v>
      </c>
      <c r="L123">
        <v>3</v>
      </c>
      <c r="M123">
        <v>3</v>
      </c>
      <c r="N123">
        <v>2</v>
      </c>
      <c r="O123" s="7">
        <v>45954</v>
      </c>
      <c r="P123" s="7">
        <v>45958</v>
      </c>
      <c r="Q123" s="7">
        <v>45964</v>
      </c>
      <c r="R123" t="s">
        <v>1049</v>
      </c>
    </row>
    <row r="124" spans="1:18" x14ac:dyDescent="0.3">
      <c r="A124" t="s">
        <v>499</v>
      </c>
      <c r="B124" t="s">
        <v>29</v>
      </c>
      <c r="C124" t="s">
        <v>474</v>
      </c>
      <c r="D124" s="7">
        <v>45948</v>
      </c>
      <c r="E124" s="7">
        <v>45952</v>
      </c>
      <c r="F124" s="7">
        <v>45957</v>
      </c>
      <c r="G124" s="7">
        <v>45962</v>
      </c>
      <c r="H124" t="s">
        <v>17</v>
      </c>
      <c r="J124" s="7">
        <v>45974</v>
      </c>
      <c r="K124">
        <v>4</v>
      </c>
      <c r="L124">
        <v>5</v>
      </c>
      <c r="M124">
        <v>5</v>
      </c>
      <c r="N124">
        <v>6</v>
      </c>
      <c r="O124" s="7">
        <v>45948</v>
      </c>
      <c r="P124" s="7">
        <v>45952</v>
      </c>
      <c r="Q124" s="7">
        <v>45962</v>
      </c>
      <c r="R124" t="s">
        <v>1049</v>
      </c>
    </row>
    <row r="125" spans="1:18" x14ac:dyDescent="0.3">
      <c r="A125" t="s">
        <v>693</v>
      </c>
      <c r="B125" t="s">
        <v>29</v>
      </c>
      <c r="C125" t="s">
        <v>474</v>
      </c>
      <c r="D125" s="7">
        <v>45961</v>
      </c>
      <c r="E125" s="7">
        <v>45966</v>
      </c>
      <c r="F125" s="7">
        <v>45969</v>
      </c>
      <c r="G125" s="7">
        <v>45975</v>
      </c>
      <c r="H125" t="s">
        <v>17</v>
      </c>
      <c r="J125" s="7">
        <v>45996</v>
      </c>
      <c r="K125">
        <v>5</v>
      </c>
      <c r="L125">
        <v>3</v>
      </c>
      <c r="M125">
        <v>6</v>
      </c>
      <c r="N125">
        <v>5</v>
      </c>
      <c r="O125" s="7">
        <v>45961</v>
      </c>
      <c r="P125" s="7">
        <v>45966</v>
      </c>
      <c r="Q125" s="7">
        <v>45975</v>
      </c>
      <c r="R125" t="s">
        <v>1049</v>
      </c>
    </row>
    <row r="126" spans="1:18" x14ac:dyDescent="0.3">
      <c r="A126" t="s">
        <v>240</v>
      </c>
      <c r="B126" t="s">
        <v>29</v>
      </c>
      <c r="C126" t="s">
        <v>16</v>
      </c>
      <c r="D126" s="7">
        <v>45955</v>
      </c>
      <c r="E126" s="7">
        <v>45959</v>
      </c>
      <c r="F126" s="7">
        <v>45961</v>
      </c>
      <c r="G126" s="7">
        <v>45967</v>
      </c>
      <c r="H126" t="s">
        <v>17</v>
      </c>
      <c r="J126" s="7">
        <v>45985</v>
      </c>
      <c r="K126">
        <v>4</v>
      </c>
      <c r="L126">
        <v>2</v>
      </c>
      <c r="M126">
        <v>6</v>
      </c>
      <c r="N126">
        <v>4</v>
      </c>
      <c r="O126" s="7">
        <v>45955</v>
      </c>
      <c r="P126" s="7">
        <v>45959</v>
      </c>
      <c r="Q126" s="7">
        <v>45967</v>
      </c>
      <c r="R126" t="s">
        <v>1049</v>
      </c>
    </row>
    <row r="127" spans="1:18" x14ac:dyDescent="0.3">
      <c r="A127" t="s">
        <v>500</v>
      </c>
      <c r="B127" t="s">
        <v>29</v>
      </c>
      <c r="C127" t="s">
        <v>474</v>
      </c>
      <c r="D127" s="7">
        <v>45953</v>
      </c>
      <c r="E127" s="7">
        <v>45957</v>
      </c>
      <c r="F127" s="7">
        <v>45958</v>
      </c>
      <c r="G127" s="7">
        <v>45965</v>
      </c>
      <c r="H127" t="s">
        <v>17</v>
      </c>
      <c r="J127" s="7">
        <v>45978</v>
      </c>
      <c r="K127">
        <v>4</v>
      </c>
      <c r="L127">
        <v>1</v>
      </c>
      <c r="M127">
        <v>7</v>
      </c>
      <c r="N127">
        <v>0</v>
      </c>
      <c r="O127" s="7">
        <v>45953</v>
      </c>
      <c r="P127" s="7">
        <v>45957</v>
      </c>
      <c r="Q127" s="7">
        <v>45965</v>
      </c>
      <c r="R127" t="s">
        <v>1049</v>
      </c>
    </row>
    <row r="128" spans="1:18" x14ac:dyDescent="0.3">
      <c r="A128" t="s">
        <v>39</v>
      </c>
      <c r="B128" t="s">
        <v>15</v>
      </c>
      <c r="C128" t="s">
        <v>16</v>
      </c>
      <c r="D128" s="7">
        <v>45936</v>
      </c>
      <c r="E128" s="7">
        <v>45939</v>
      </c>
      <c r="F128" s="7">
        <v>45944</v>
      </c>
      <c r="G128" s="7">
        <v>45949</v>
      </c>
      <c r="H128" t="s">
        <v>17</v>
      </c>
      <c r="J128" s="7">
        <v>45959</v>
      </c>
      <c r="K128">
        <v>3</v>
      </c>
      <c r="L128">
        <v>5</v>
      </c>
      <c r="M128">
        <v>5</v>
      </c>
      <c r="N128">
        <v>4</v>
      </c>
      <c r="O128" s="7">
        <v>45936</v>
      </c>
      <c r="P128" s="7">
        <v>45939</v>
      </c>
      <c r="Q128" s="7">
        <v>45949</v>
      </c>
      <c r="R128" t="s">
        <v>1049</v>
      </c>
    </row>
    <row r="129" spans="1:18" x14ac:dyDescent="0.3">
      <c r="A129" t="s">
        <v>867</v>
      </c>
      <c r="B129" t="s">
        <v>22</v>
      </c>
      <c r="C129" t="s">
        <v>841</v>
      </c>
      <c r="D129" s="7">
        <v>45937</v>
      </c>
      <c r="H129" t="s">
        <v>752</v>
      </c>
      <c r="I129" t="s">
        <v>756</v>
      </c>
      <c r="O129" s="7">
        <v>45937</v>
      </c>
      <c r="R129" t="s">
        <v>1050</v>
      </c>
    </row>
    <row r="130" spans="1:18" x14ac:dyDescent="0.3">
      <c r="A130" t="s">
        <v>501</v>
      </c>
      <c r="B130" t="s">
        <v>27</v>
      </c>
      <c r="C130" t="s">
        <v>474</v>
      </c>
      <c r="D130" s="7">
        <v>45937</v>
      </c>
      <c r="E130" s="7">
        <v>45939</v>
      </c>
      <c r="F130" s="7">
        <v>45944</v>
      </c>
      <c r="G130" s="7">
        <v>45949</v>
      </c>
      <c r="H130" t="s">
        <v>17</v>
      </c>
      <c r="J130" s="7">
        <v>45960</v>
      </c>
      <c r="K130">
        <v>2</v>
      </c>
      <c r="L130">
        <v>5</v>
      </c>
      <c r="M130">
        <v>5</v>
      </c>
      <c r="N130">
        <v>4</v>
      </c>
      <c r="O130" s="7">
        <v>45937</v>
      </c>
      <c r="P130" s="7">
        <v>45939</v>
      </c>
      <c r="Q130" s="7">
        <v>45949</v>
      </c>
      <c r="R130" t="s">
        <v>1049</v>
      </c>
    </row>
    <row r="131" spans="1:18" x14ac:dyDescent="0.3">
      <c r="A131" t="s">
        <v>868</v>
      </c>
      <c r="B131" t="s">
        <v>15</v>
      </c>
      <c r="C131" t="s">
        <v>841</v>
      </c>
      <c r="D131" s="7">
        <v>45954</v>
      </c>
      <c r="H131" t="s">
        <v>752</v>
      </c>
      <c r="I131" t="s">
        <v>756</v>
      </c>
      <c r="O131" s="7">
        <v>45954</v>
      </c>
      <c r="R131" t="s">
        <v>1050</v>
      </c>
    </row>
    <row r="132" spans="1:18" x14ac:dyDescent="0.3">
      <c r="A132" t="s">
        <v>869</v>
      </c>
      <c r="B132" t="s">
        <v>27</v>
      </c>
      <c r="C132" t="s">
        <v>841</v>
      </c>
      <c r="D132" s="7">
        <v>45946</v>
      </c>
      <c r="H132" t="s">
        <v>752</v>
      </c>
      <c r="I132" t="s">
        <v>765</v>
      </c>
      <c r="O132" s="7">
        <v>45946</v>
      </c>
      <c r="R132" t="s">
        <v>1050</v>
      </c>
    </row>
    <row r="133" spans="1:18" x14ac:dyDescent="0.3">
      <c r="A133" t="s">
        <v>694</v>
      </c>
      <c r="B133" t="s">
        <v>22</v>
      </c>
      <c r="C133" t="s">
        <v>474</v>
      </c>
      <c r="D133" s="7">
        <v>45939</v>
      </c>
      <c r="E133" s="7">
        <v>45944</v>
      </c>
      <c r="F133" s="7">
        <v>45946</v>
      </c>
      <c r="G133" s="7">
        <v>45953</v>
      </c>
      <c r="H133" t="s">
        <v>17</v>
      </c>
      <c r="J133" s="7">
        <v>45975</v>
      </c>
      <c r="K133">
        <v>5</v>
      </c>
      <c r="L133">
        <v>2</v>
      </c>
      <c r="M133">
        <v>7</v>
      </c>
      <c r="N133">
        <v>4</v>
      </c>
      <c r="O133" s="7">
        <v>45939</v>
      </c>
      <c r="P133" s="7">
        <v>45944</v>
      </c>
      <c r="Q133" s="7">
        <v>45953</v>
      </c>
      <c r="R133" t="s">
        <v>1049</v>
      </c>
    </row>
    <row r="134" spans="1:18" x14ac:dyDescent="0.3">
      <c r="A134" t="s">
        <v>870</v>
      </c>
      <c r="B134" t="s">
        <v>29</v>
      </c>
      <c r="C134" t="s">
        <v>841</v>
      </c>
      <c r="D134" s="7">
        <v>45954</v>
      </c>
      <c r="H134" t="s">
        <v>752</v>
      </c>
      <c r="I134" t="s">
        <v>756</v>
      </c>
      <c r="O134" s="7">
        <v>45954</v>
      </c>
      <c r="R134" t="s">
        <v>1050</v>
      </c>
    </row>
    <row r="135" spans="1:18" x14ac:dyDescent="0.3">
      <c r="A135" t="s">
        <v>328</v>
      </c>
      <c r="B135" t="s">
        <v>22</v>
      </c>
      <c r="C135" t="s">
        <v>16</v>
      </c>
      <c r="D135" s="7">
        <v>45949</v>
      </c>
      <c r="E135" s="7">
        <v>45950</v>
      </c>
      <c r="F135" s="7">
        <v>45952</v>
      </c>
      <c r="G135" s="7">
        <v>45957</v>
      </c>
      <c r="H135" t="s">
        <v>17</v>
      </c>
      <c r="J135" s="7">
        <v>45981</v>
      </c>
      <c r="K135">
        <v>1</v>
      </c>
      <c r="L135">
        <v>2</v>
      </c>
      <c r="M135">
        <v>5</v>
      </c>
      <c r="N135">
        <v>2</v>
      </c>
      <c r="O135" s="7">
        <v>45949</v>
      </c>
      <c r="P135" s="7">
        <v>45950</v>
      </c>
      <c r="Q135" s="7">
        <v>45957</v>
      </c>
      <c r="R135" t="s">
        <v>1049</v>
      </c>
    </row>
    <row r="136" spans="1:18" x14ac:dyDescent="0.3">
      <c r="A136" t="s">
        <v>871</v>
      </c>
      <c r="B136" t="s">
        <v>15</v>
      </c>
      <c r="C136" t="s">
        <v>841</v>
      </c>
      <c r="D136" s="7">
        <v>45955</v>
      </c>
      <c r="H136" t="s">
        <v>752</v>
      </c>
      <c r="I136" t="s">
        <v>777</v>
      </c>
      <c r="O136" s="7">
        <v>45955</v>
      </c>
      <c r="R136" t="s">
        <v>1050</v>
      </c>
    </row>
    <row r="137" spans="1:18" x14ac:dyDescent="0.3">
      <c r="A137" t="s">
        <v>40</v>
      </c>
      <c r="B137" t="s">
        <v>29</v>
      </c>
      <c r="C137" t="s">
        <v>16</v>
      </c>
      <c r="D137" s="7">
        <v>45947</v>
      </c>
      <c r="E137" s="7">
        <v>45950</v>
      </c>
      <c r="F137" s="7">
        <v>45951</v>
      </c>
      <c r="G137" s="7">
        <v>45956</v>
      </c>
      <c r="H137" t="s">
        <v>17</v>
      </c>
      <c r="J137" s="7">
        <v>45979</v>
      </c>
      <c r="K137">
        <v>3</v>
      </c>
      <c r="L137">
        <v>1</v>
      </c>
      <c r="M137">
        <v>5</v>
      </c>
      <c r="N137">
        <v>3</v>
      </c>
      <c r="O137" s="7">
        <v>45947</v>
      </c>
      <c r="P137" s="7">
        <v>45950</v>
      </c>
      <c r="Q137" s="7">
        <v>45956</v>
      </c>
      <c r="R137" t="s">
        <v>1049</v>
      </c>
    </row>
    <row r="138" spans="1:18" x14ac:dyDescent="0.3">
      <c r="A138" t="s">
        <v>241</v>
      </c>
      <c r="B138" t="s">
        <v>15</v>
      </c>
      <c r="C138" t="s">
        <v>16</v>
      </c>
      <c r="D138" s="7">
        <v>45950</v>
      </c>
      <c r="E138" s="7">
        <v>45954</v>
      </c>
      <c r="F138" s="7">
        <v>45959</v>
      </c>
      <c r="G138" s="7">
        <v>45966</v>
      </c>
      <c r="H138" t="s">
        <v>17</v>
      </c>
      <c r="J138" s="7">
        <v>45981</v>
      </c>
      <c r="K138">
        <v>4</v>
      </c>
      <c r="L138">
        <v>5</v>
      </c>
      <c r="M138">
        <v>7</v>
      </c>
      <c r="N138">
        <v>0</v>
      </c>
      <c r="O138" s="7">
        <v>45950</v>
      </c>
      <c r="P138" s="7">
        <v>45954</v>
      </c>
      <c r="Q138" s="7">
        <v>45966</v>
      </c>
      <c r="R138" t="s">
        <v>1049</v>
      </c>
    </row>
    <row r="139" spans="1:18" x14ac:dyDescent="0.3">
      <c r="A139" t="s">
        <v>764</v>
      </c>
      <c r="B139" t="s">
        <v>29</v>
      </c>
      <c r="C139" t="s">
        <v>16</v>
      </c>
      <c r="D139" s="7">
        <v>45940</v>
      </c>
      <c r="E139" s="7">
        <v>45941</v>
      </c>
      <c r="F139" s="7">
        <v>45943</v>
      </c>
      <c r="G139" s="7">
        <v>45948</v>
      </c>
      <c r="H139" t="s">
        <v>752</v>
      </c>
      <c r="I139" t="s">
        <v>765</v>
      </c>
      <c r="K139">
        <v>1</v>
      </c>
      <c r="L139">
        <v>2</v>
      </c>
      <c r="M139">
        <v>5</v>
      </c>
      <c r="O139" s="7">
        <v>45940</v>
      </c>
      <c r="P139" s="7">
        <v>45941</v>
      </c>
      <c r="Q139" s="7">
        <v>45948</v>
      </c>
      <c r="R139" t="s">
        <v>1049</v>
      </c>
    </row>
    <row r="140" spans="1:18" x14ac:dyDescent="0.3">
      <c r="A140" t="s">
        <v>872</v>
      </c>
      <c r="B140" t="s">
        <v>27</v>
      </c>
      <c r="C140" t="s">
        <v>841</v>
      </c>
      <c r="D140" s="7">
        <v>45934</v>
      </c>
      <c r="H140" t="s">
        <v>752</v>
      </c>
      <c r="I140" t="s">
        <v>777</v>
      </c>
      <c r="O140" s="7">
        <v>45934</v>
      </c>
      <c r="R140" t="s">
        <v>1050</v>
      </c>
    </row>
    <row r="141" spans="1:18" x14ac:dyDescent="0.3">
      <c r="A141" t="s">
        <v>41</v>
      </c>
      <c r="B141" t="s">
        <v>27</v>
      </c>
      <c r="C141" t="s">
        <v>16</v>
      </c>
      <c r="D141" s="7">
        <v>45957</v>
      </c>
      <c r="E141" s="7">
        <v>45960</v>
      </c>
      <c r="F141" s="7">
        <v>45962</v>
      </c>
      <c r="G141" s="7">
        <v>45967</v>
      </c>
      <c r="H141" t="s">
        <v>17</v>
      </c>
      <c r="J141" s="7">
        <v>45990</v>
      </c>
      <c r="K141">
        <v>3</v>
      </c>
      <c r="L141">
        <v>2</v>
      </c>
      <c r="M141">
        <v>5</v>
      </c>
      <c r="N141">
        <v>5</v>
      </c>
      <c r="O141" s="7">
        <v>45957</v>
      </c>
      <c r="P141" s="7">
        <v>45960</v>
      </c>
      <c r="Q141" s="7">
        <v>45967</v>
      </c>
      <c r="R141" t="s">
        <v>1049</v>
      </c>
    </row>
    <row r="142" spans="1:18" x14ac:dyDescent="0.3">
      <c r="A142" t="s">
        <v>144</v>
      </c>
      <c r="B142" t="s">
        <v>27</v>
      </c>
      <c r="C142" t="s">
        <v>16</v>
      </c>
      <c r="D142" s="7">
        <v>45937</v>
      </c>
      <c r="E142" s="7">
        <v>45942</v>
      </c>
      <c r="F142" s="7">
        <v>45943</v>
      </c>
      <c r="G142" s="7">
        <v>45946</v>
      </c>
      <c r="H142" t="s">
        <v>17</v>
      </c>
      <c r="J142" s="7">
        <v>45971</v>
      </c>
      <c r="K142">
        <v>5</v>
      </c>
      <c r="L142">
        <v>1</v>
      </c>
      <c r="M142">
        <v>3</v>
      </c>
      <c r="N142">
        <v>0</v>
      </c>
      <c r="O142" s="7">
        <v>45937</v>
      </c>
      <c r="P142" s="7">
        <v>45942</v>
      </c>
      <c r="Q142" s="7">
        <v>45946</v>
      </c>
      <c r="R142" t="s">
        <v>1049</v>
      </c>
    </row>
    <row r="143" spans="1:18" x14ac:dyDescent="0.3">
      <c r="A143" t="s">
        <v>873</v>
      </c>
      <c r="B143" t="s">
        <v>22</v>
      </c>
      <c r="C143" t="s">
        <v>841</v>
      </c>
      <c r="D143" s="7">
        <v>45940</v>
      </c>
      <c r="H143" t="s">
        <v>752</v>
      </c>
      <c r="I143" t="s">
        <v>758</v>
      </c>
      <c r="O143" s="7">
        <v>45940</v>
      </c>
      <c r="R143" t="s">
        <v>1050</v>
      </c>
    </row>
    <row r="144" spans="1:18" x14ac:dyDescent="0.3">
      <c r="A144" t="s">
        <v>502</v>
      </c>
      <c r="B144" t="s">
        <v>15</v>
      </c>
      <c r="C144" t="s">
        <v>474</v>
      </c>
      <c r="D144" s="7">
        <v>45938</v>
      </c>
      <c r="E144" s="7">
        <v>45942</v>
      </c>
      <c r="F144" s="7">
        <v>45943</v>
      </c>
      <c r="G144" s="7">
        <v>45945</v>
      </c>
      <c r="H144" t="s">
        <v>17</v>
      </c>
      <c r="J144" s="7">
        <v>45967</v>
      </c>
      <c r="K144">
        <v>4</v>
      </c>
      <c r="L144">
        <v>1</v>
      </c>
      <c r="M144">
        <v>2</v>
      </c>
      <c r="N144">
        <v>4</v>
      </c>
      <c r="O144" s="7">
        <v>45938</v>
      </c>
      <c r="P144" s="7">
        <v>45942</v>
      </c>
      <c r="Q144" s="7">
        <v>45945</v>
      </c>
      <c r="R144" t="s">
        <v>1049</v>
      </c>
    </row>
    <row r="145" spans="1:18" x14ac:dyDescent="0.3">
      <c r="A145" t="s">
        <v>695</v>
      </c>
      <c r="B145" t="s">
        <v>22</v>
      </c>
      <c r="C145" t="s">
        <v>474</v>
      </c>
      <c r="D145" s="7">
        <v>45942</v>
      </c>
      <c r="E145" s="7">
        <v>45947</v>
      </c>
      <c r="F145" s="7">
        <v>45951</v>
      </c>
      <c r="G145" s="7">
        <v>45957</v>
      </c>
      <c r="H145" t="s">
        <v>17</v>
      </c>
      <c r="J145" s="7">
        <v>45978</v>
      </c>
      <c r="K145">
        <v>5</v>
      </c>
      <c r="L145">
        <v>4</v>
      </c>
      <c r="M145">
        <v>6</v>
      </c>
      <c r="N145">
        <v>1</v>
      </c>
      <c r="O145" s="7">
        <v>45942</v>
      </c>
      <c r="P145" s="7">
        <v>45947</v>
      </c>
      <c r="Q145" s="7">
        <v>45957</v>
      </c>
      <c r="R145" t="s">
        <v>1049</v>
      </c>
    </row>
    <row r="146" spans="1:18" x14ac:dyDescent="0.3">
      <c r="A146" t="s">
        <v>503</v>
      </c>
      <c r="B146" t="s">
        <v>27</v>
      </c>
      <c r="C146" t="s">
        <v>474</v>
      </c>
      <c r="D146" s="7">
        <v>45936</v>
      </c>
      <c r="E146" s="7">
        <v>45939</v>
      </c>
      <c r="F146" s="7">
        <v>45942</v>
      </c>
      <c r="G146" s="7">
        <v>45944</v>
      </c>
      <c r="H146" t="s">
        <v>17</v>
      </c>
      <c r="J146" s="7">
        <v>45971</v>
      </c>
      <c r="K146">
        <v>3</v>
      </c>
      <c r="L146">
        <v>3</v>
      </c>
      <c r="M146">
        <v>2</v>
      </c>
      <c r="N146">
        <v>6</v>
      </c>
      <c r="O146" s="7">
        <v>45936</v>
      </c>
      <c r="P146" s="7">
        <v>45939</v>
      </c>
      <c r="Q146" s="7">
        <v>45944</v>
      </c>
      <c r="R146" t="s">
        <v>1049</v>
      </c>
    </row>
    <row r="147" spans="1:18" x14ac:dyDescent="0.3">
      <c r="A147" t="s">
        <v>329</v>
      </c>
      <c r="B147" t="s">
        <v>15</v>
      </c>
      <c r="C147" t="s">
        <v>16</v>
      </c>
      <c r="D147" s="7">
        <v>45940</v>
      </c>
      <c r="E147" s="7">
        <v>45941</v>
      </c>
      <c r="F147" s="7">
        <v>45945</v>
      </c>
      <c r="G147" s="7">
        <v>45948</v>
      </c>
      <c r="H147" t="s">
        <v>17</v>
      </c>
      <c r="J147" s="7">
        <v>45970</v>
      </c>
      <c r="K147">
        <v>1</v>
      </c>
      <c r="L147">
        <v>4</v>
      </c>
      <c r="M147">
        <v>3</v>
      </c>
      <c r="N147">
        <v>1</v>
      </c>
      <c r="O147" s="7">
        <v>45940</v>
      </c>
      <c r="P147" s="7">
        <v>45941</v>
      </c>
      <c r="Q147" s="7">
        <v>45948</v>
      </c>
      <c r="R147" t="s">
        <v>1049</v>
      </c>
    </row>
    <row r="148" spans="1:18" x14ac:dyDescent="0.3">
      <c r="A148" t="s">
        <v>504</v>
      </c>
      <c r="B148" t="s">
        <v>27</v>
      </c>
      <c r="C148" t="s">
        <v>474</v>
      </c>
      <c r="D148" s="7">
        <v>45931</v>
      </c>
      <c r="E148" s="7">
        <v>45933</v>
      </c>
      <c r="F148" s="7">
        <v>45934</v>
      </c>
      <c r="G148" s="7">
        <v>45938</v>
      </c>
      <c r="H148" t="s">
        <v>17</v>
      </c>
      <c r="J148" s="7">
        <v>45951</v>
      </c>
      <c r="K148">
        <v>2</v>
      </c>
      <c r="L148">
        <v>1</v>
      </c>
      <c r="M148">
        <v>4</v>
      </c>
      <c r="N148">
        <v>6</v>
      </c>
      <c r="O148" s="7">
        <v>45931</v>
      </c>
      <c r="P148" s="7">
        <v>45933</v>
      </c>
      <c r="Q148" s="7">
        <v>45938</v>
      </c>
      <c r="R148" t="s">
        <v>1049</v>
      </c>
    </row>
    <row r="149" spans="1:18" x14ac:dyDescent="0.3">
      <c r="A149" t="s">
        <v>874</v>
      </c>
      <c r="B149" t="s">
        <v>22</v>
      </c>
      <c r="C149" t="s">
        <v>841</v>
      </c>
      <c r="D149" s="7">
        <v>45953</v>
      </c>
      <c r="H149" t="s">
        <v>752</v>
      </c>
      <c r="I149" t="s">
        <v>753</v>
      </c>
      <c r="O149" s="7">
        <v>45953</v>
      </c>
      <c r="R149" t="s">
        <v>1050</v>
      </c>
    </row>
    <row r="150" spans="1:18" x14ac:dyDescent="0.3">
      <c r="A150" t="s">
        <v>505</v>
      </c>
      <c r="B150" t="s">
        <v>22</v>
      </c>
      <c r="C150" t="s">
        <v>474</v>
      </c>
      <c r="D150" s="7">
        <v>45948</v>
      </c>
      <c r="E150" s="7">
        <v>45952</v>
      </c>
      <c r="F150" s="7">
        <v>45954</v>
      </c>
      <c r="G150" s="7">
        <v>45956</v>
      </c>
      <c r="H150" t="s">
        <v>17</v>
      </c>
      <c r="J150" s="7">
        <v>45981</v>
      </c>
      <c r="K150">
        <v>4</v>
      </c>
      <c r="L150">
        <v>2</v>
      </c>
      <c r="M150">
        <v>2</v>
      </c>
      <c r="N150">
        <v>5</v>
      </c>
      <c r="O150" s="7">
        <v>45948</v>
      </c>
      <c r="P150" s="7">
        <v>45952</v>
      </c>
      <c r="Q150" s="7">
        <v>45956</v>
      </c>
      <c r="R150" t="s">
        <v>1049</v>
      </c>
    </row>
    <row r="151" spans="1:18" x14ac:dyDescent="0.3">
      <c r="A151" t="s">
        <v>145</v>
      </c>
      <c r="B151" t="s">
        <v>22</v>
      </c>
      <c r="C151" t="s">
        <v>16</v>
      </c>
      <c r="D151" s="7">
        <v>45935</v>
      </c>
      <c r="E151" s="7">
        <v>45940</v>
      </c>
      <c r="F151" s="7">
        <v>45941</v>
      </c>
      <c r="G151" s="7">
        <v>45945</v>
      </c>
      <c r="H151" t="s">
        <v>17</v>
      </c>
      <c r="J151" s="7">
        <v>45973</v>
      </c>
      <c r="K151">
        <v>5</v>
      </c>
      <c r="L151">
        <v>1</v>
      </c>
      <c r="M151">
        <v>4</v>
      </c>
      <c r="N151">
        <v>4</v>
      </c>
      <c r="O151" s="7">
        <v>45935</v>
      </c>
      <c r="P151" s="7">
        <v>45940</v>
      </c>
      <c r="Q151" s="7">
        <v>45945</v>
      </c>
      <c r="R151" t="s">
        <v>1049</v>
      </c>
    </row>
    <row r="152" spans="1:18" x14ac:dyDescent="0.3">
      <c r="A152" t="s">
        <v>506</v>
      </c>
      <c r="B152" t="s">
        <v>27</v>
      </c>
      <c r="C152" t="s">
        <v>474</v>
      </c>
      <c r="D152" s="7">
        <v>45939</v>
      </c>
      <c r="E152" s="7">
        <v>45940</v>
      </c>
      <c r="F152" s="7">
        <v>45945</v>
      </c>
      <c r="G152" s="7">
        <v>45948</v>
      </c>
      <c r="H152" t="s">
        <v>17</v>
      </c>
      <c r="J152" s="7">
        <v>45978</v>
      </c>
      <c r="K152">
        <v>1</v>
      </c>
      <c r="L152">
        <v>5</v>
      </c>
      <c r="M152">
        <v>3</v>
      </c>
      <c r="N152">
        <v>2</v>
      </c>
      <c r="O152" s="7">
        <v>45939</v>
      </c>
      <c r="P152" s="7">
        <v>45940</v>
      </c>
      <c r="Q152" s="7">
        <v>45948</v>
      </c>
      <c r="R152" t="s">
        <v>1049</v>
      </c>
    </row>
    <row r="153" spans="1:18" x14ac:dyDescent="0.3">
      <c r="A153" t="s">
        <v>875</v>
      </c>
      <c r="B153" t="s">
        <v>15</v>
      </c>
      <c r="C153" t="s">
        <v>841</v>
      </c>
      <c r="D153" s="7">
        <v>45932</v>
      </c>
      <c r="H153" t="s">
        <v>752</v>
      </c>
      <c r="I153" t="s">
        <v>758</v>
      </c>
      <c r="O153" s="7">
        <v>45932</v>
      </c>
      <c r="R153" t="s">
        <v>1050</v>
      </c>
    </row>
    <row r="154" spans="1:18" x14ac:dyDescent="0.3">
      <c r="A154" t="s">
        <v>876</v>
      </c>
      <c r="B154" t="s">
        <v>15</v>
      </c>
      <c r="C154" t="s">
        <v>841</v>
      </c>
      <c r="D154" s="7">
        <v>45932</v>
      </c>
      <c r="H154" t="s">
        <v>752</v>
      </c>
      <c r="I154" t="s">
        <v>753</v>
      </c>
      <c r="O154" s="7">
        <v>45932</v>
      </c>
      <c r="R154" t="s">
        <v>1050</v>
      </c>
    </row>
    <row r="155" spans="1:18" x14ac:dyDescent="0.3">
      <c r="A155" t="s">
        <v>330</v>
      </c>
      <c r="B155" t="s">
        <v>27</v>
      </c>
      <c r="C155" t="s">
        <v>16</v>
      </c>
      <c r="D155" s="7">
        <v>45948</v>
      </c>
      <c r="E155" s="7">
        <v>45949</v>
      </c>
      <c r="F155" s="7">
        <v>45951</v>
      </c>
      <c r="G155" s="7">
        <v>45957</v>
      </c>
      <c r="H155" t="s">
        <v>17</v>
      </c>
      <c r="J155" s="7">
        <v>45974</v>
      </c>
      <c r="K155">
        <v>1</v>
      </c>
      <c r="L155">
        <v>2</v>
      </c>
      <c r="M155">
        <v>6</v>
      </c>
      <c r="N155">
        <v>7</v>
      </c>
      <c r="O155" s="7">
        <v>45948</v>
      </c>
      <c r="P155" s="7">
        <v>45949</v>
      </c>
      <c r="Q155" s="7">
        <v>45957</v>
      </c>
      <c r="R155" t="s">
        <v>1049</v>
      </c>
    </row>
    <row r="156" spans="1:18" x14ac:dyDescent="0.3">
      <c r="A156" t="s">
        <v>877</v>
      </c>
      <c r="B156" t="s">
        <v>15</v>
      </c>
      <c r="C156" t="s">
        <v>841</v>
      </c>
      <c r="D156" s="7">
        <v>45940</v>
      </c>
      <c r="H156" t="s">
        <v>752</v>
      </c>
      <c r="I156" t="s">
        <v>758</v>
      </c>
      <c r="O156" s="7">
        <v>45940</v>
      </c>
      <c r="R156" t="s">
        <v>1050</v>
      </c>
    </row>
    <row r="157" spans="1:18" x14ac:dyDescent="0.3">
      <c r="A157" t="s">
        <v>507</v>
      </c>
      <c r="B157" t="s">
        <v>27</v>
      </c>
      <c r="C157" t="s">
        <v>474</v>
      </c>
      <c r="D157" s="7">
        <v>45953</v>
      </c>
      <c r="E157" s="7">
        <v>45955</v>
      </c>
      <c r="F157" s="7">
        <v>45959</v>
      </c>
      <c r="G157" s="7">
        <v>45963</v>
      </c>
      <c r="H157" t="s">
        <v>17</v>
      </c>
      <c r="J157" s="7">
        <v>45978</v>
      </c>
      <c r="K157">
        <v>2</v>
      </c>
      <c r="L157">
        <v>4</v>
      </c>
      <c r="M157">
        <v>4</v>
      </c>
      <c r="N157">
        <v>4</v>
      </c>
      <c r="O157" s="7">
        <v>45953</v>
      </c>
      <c r="P157" s="7">
        <v>45955</v>
      </c>
      <c r="Q157" s="7">
        <v>45963</v>
      </c>
      <c r="R157" t="s">
        <v>1049</v>
      </c>
    </row>
    <row r="158" spans="1:18" x14ac:dyDescent="0.3">
      <c r="A158" t="s">
        <v>878</v>
      </c>
      <c r="B158" t="s">
        <v>15</v>
      </c>
      <c r="C158" t="s">
        <v>841</v>
      </c>
      <c r="D158" s="7">
        <v>45961</v>
      </c>
      <c r="H158" t="s">
        <v>752</v>
      </c>
      <c r="I158" t="s">
        <v>756</v>
      </c>
      <c r="O158" s="7">
        <v>45961</v>
      </c>
      <c r="R158" t="s">
        <v>1050</v>
      </c>
    </row>
    <row r="159" spans="1:18" x14ac:dyDescent="0.3">
      <c r="A159" t="s">
        <v>508</v>
      </c>
      <c r="B159" t="s">
        <v>29</v>
      </c>
      <c r="C159" t="s">
        <v>474</v>
      </c>
      <c r="D159" s="7">
        <v>45935</v>
      </c>
      <c r="E159" s="7">
        <v>45938</v>
      </c>
      <c r="F159" s="7">
        <v>45942</v>
      </c>
      <c r="G159" s="7">
        <v>45945</v>
      </c>
      <c r="H159" t="s">
        <v>17</v>
      </c>
      <c r="J159" s="7">
        <v>45969</v>
      </c>
      <c r="K159">
        <v>3</v>
      </c>
      <c r="L159">
        <v>4</v>
      </c>
      <c r="M159">
        <v>3</v>
      </c>
      <c r="N159">
        <v>8</v>
      </c>
      <c r="O159" s="7">
        <v>45935</v>
      </c>
      <c r="P159" s="7">
        <v>45938</v>
      </c>
      <c r="Q159" s="7">
        <v>45945</v>
      </c>
      <c r="R159" t="s">
        <v>1049</v>
      </c>
    </row>
    <row r="160" spans="1:18" x14ac:dyDescent="0.3">
      <c r="A160" t="s">
        <v>879</v>
      </c>
      <c r="B160" t="s">
        <v>29</v>
      </c>
      <c r="C160" t="s">
        <v>841</v>
      </c>
      <c r="D160" s="7">
        <v>45951</v>
      </c>
      <c r="H160" t="s">
        <v>752</v>
      </c>
      <c r="I160" t="s">
        <v>777</v>
      </c>
      <c r="O160" s="7">
        <v>45951</v>
      </c>
      <c r="R160" t="s">
        <v>1050</v>
      </c>
    </row>
    <row r="161" spans="1:18" x14ac:dyDescent="0.3">
      <c r="A161" t="s">
        <v>509</v>
      </c>
      <c r="B161" t="s">
        <v>22</v>
      </c>
      <c r="C161" t="s">
        <v>474</v>
      </c>
      <c r="D161" s="7">
        <v>45958</v>
      </c>
      <c r="E161" s="7">
        <v>45960</v>
      </c>
      <c r="F161" s="7">
        <v>45964</v>
      </c>
      <c r="G161" s="7">
        <v>45969</v>
      </c>
      <c r="H161" t="s">
        <v>17</v>
      </c>
      <c r="J161" s="7">
        <v>45981</v>
      </c>
      <c r="K161">
        <v>2</v>
      </c>
      <c r="L161">
        <v>4</v>
      </c>
      <c r="M161">
        <v>5</v>
      </c>
      <c r="N161">
        <v>5</v>
      </c>
      <c r="O161" s="7">
        <v>45958</v>
      </c>
      <c r="P161" s="7">
        <v>45960</v>
      </c>
      <c r="Q161" s="7">
        <v>45969</v>
      </c>
      <c r="R161" t="s">
        <v>1049</v>
      </c>
    </row>
    <row r="162" spans="1:18" x14ac:dyDescent="0.3">
      <c r="A162" t="s">
        <v>402</v>
      </c>
      <c r="B162" t="s">
        <v>29</v>
      </c>
      <c r="C162" t="s">
        <v>16</v>
      </c>
      <c r="D162" s="7">
        <v>45955</v>
      </c>
      <c r="E162" s="7">
        <v>45957</v>
      </c>
      <c r="F162" s="7">
        <v>45959</v>
      </c>
      <c r="G162" s="7">
        <v>45965</v>
      </c>
      <c r="H162" t="s">
        <v>17</v>
      </c>
      <c r="J162" s="7">
        <v>45976</v>
      </c>
      <c r="K162">
        <v>2</v>
      </c>
      <c r="L162">
        <v>2</v>
      </c>
      <c r="M162">
        <v>6</v>
      </c>
      <c r="N162">
        <v>3</v>
      </c>
      <c r="O162" s="7">
        <v>45955</v>
      </c>
      <c r="P162" s="7">
        <v>45957</v>
      </c>
      <c r="Q162" s="7">
        <v>45965</v>
      </c>
      <c r="R162" t="s">
        <v>1049</v>
      </c>
    </row>
    <row r="163" spans="1:18" x14ac:dyDescent="0.3">
      <c r="A163" t="s">
        <v>42</v>
      </c>
      <c r="B163" t="s">
        <v>29</v>
      </c>
      <c r="C163" t="s">
        <v>16</v>
      </c>
      <c r="D163" s="7">
        <v>45946</v>
      </c>
      <c r="E163" s="7">
        <v>45949</v>
      </c>
      <c r="F163" s="7">
        <v>45952</v>
      </c>
      <c r="G163" s="7">
        <v>45959</v>
      </c>
      <c r="H163" t="s">
        <v>17</v>
      </c>
      <c r="J163" s="7">
        <v>45978</v>
      </c>
      <c r="K163">
        <v>3</v>
      </c>
      <c r="L163">
        <v>3</v>
      </c>
      <c r="M163">
        <v>7</v>
      </c>
      <c r="N163">
        <v>2</v>
      </c>
      <c r="O163" s="7">
        <v>45946</v>
      </c>
      <c r="P163" s="7">
        <v>45949</v>
      </c>
      <c r="Q163" s="7">
        <v>45959</v>
      </c>
      <c r="R163" t="s">
        <v>1049</v>
      </c>
    </row>
    <row r="164" spans="1:18" x14ac:dyDescent="0.3">
      <c r="A164" t="s">
        <v>510</v>
      </c>
      <c r="B164" t="s">
        <v>29</v>
      </c>
      <c r="C164" t="s">
        <v>474</v>
      </c>
      <c r="D164" s="7">
        <v>45934</v>
      </c>
      <c r="E164" s="7">
        <v>45937</v>
      </c>
      <c r="F164" s="7">
        <v>45940</v>
      </c>
      <c r="G164" s="7">
        <v>45945</v>
      </c>
      <c r="H164" t="s">
        <v>17</v>
      </c>
      <c r="J164" s="7">
        <v>45955</v>
      </c>
      <c r="K164">
        <v>3</v>
      </c>
      <c r="L164">
        <v>3</v>
      </c>
      <c r="M164">
        <v>5</v>
      </c>
      <c r="N164">
        <v>7</v>
      </c>
      <c r="O164" s="7">
        <v>45934</v>
      </c>
      <c r="P164" s="7">
        <v>45937</v>
      </c>
      <c r="Q164" s="7">
        <v>45945</v>
      </c>
      <c r="R164" t="s">
        <v>1049</v>
      </c>
    </row>
    <row r="165" spans="1:18" x14ac:dyDescent="0.3">
      <c r="A165" t="s">
        <v>511</v>
      </c>
      <c r="B165" t="s">
        <v>27</v>
      </c>
      <c r="C165" t="s">
        <v>474</v>
      </c>
      <c r="D165" s="7">
        <v>45958</v>
      </c>
      <c r="E165" s="7">
        <v>45961</v>
      </c>
      <c r="F165" s="7">
        <v>45964</v>
      </c>
      <c r="G165" s="7">
        <v>45970</v>
      </c>
      <c r="H165" t="s">
        <v>17</v>
      </c>
      <c r="J165" s="7">
        <v>45990</v>
      </c>
      <c r="K165">
        <v>3</v>
      </c>
      <c r="L165">
        <v>3</v>
      </c>
      <c r="M165">
        <v>6</v>
      </c>
      <c r="N165">
        <v>5</v>
      </c>
      <c r="O165" s="7">
        <v>45958</v>
      </c>
      <c r="P165" s="7">
        <v>45961</v>
      </c>
      <c r="Q165" s="7">
        <v>45970</v>
      </c>
      <c r="R165" t="s">
        <v>1049</v>
      </c>
    </row>
    <row r="166" spans="1:18" x14ac:dyDescent="0.3">
      <c r="A166" t="s">
        <v>512</v>
      </c>
      <c r="B166" t="s">
        <v>29</v>
      </c>
      <c r="C166" t="s">
        <v>474</v>
      </c>
      <c r="D166" s="7">
        <v>45931</v>
      </c>
      <c r="E166" s="7">
        <v>45932</v>
      </c>
      <c r="F166" s="7">
        <v>45933</v>
      </c>
      <c r="G166" s="7">
        <v>45939</v>
      </c>
      <c r="H166" t="s">
        <v>17</v>
      </c>
      <c r="J166" s="7">
        <v>45957</v>
      </c>
      <c r="K166">
        <v>1</v>
      </c>
      <c r="L166">
        <v>1</v>
      </c>
      <c r="M166">
        <v>6</v>
      </c>
      <c r="N166">
        <v>6</v>
      </c>
      <c r="O166" s="7">
        <v>45931</v>
      </c>
      <c r="P166" s="7">
        <v>45932</v>
      </c>
      <c r="Q166" s="7">
        <v>45939</v>
      </c>
      <c r="R166" t="s">
        <v>1049</v>
      </c>
    </row>
    <row r="167" spans="1:18" x14ac:dyDescent="0.3">
      <c r="A167" t="s">
        <v>331</v>
      </c>
      <c r="B167" t="s">
        <v>29</v>
      </c>
      <c r="C167" t="s">
        <v>16</v>
      </c>
      <c r="D167" s="7">
        <v>45949</v>
      </c>
      <c r="E167" s="7">
        <v>45950</v>
      </c>
      <c r="F167" s="7">
        <v>45951</v>
      </c>
      <c r="G167" s="7">
        <v>45953</v>
      </c>
      <c r="H167" t="s">
        <v>17</v>
      </c>
      <c r="J167" s="7">
        <v>45966</v>
      </c>
      <c r="K167">
        <v>1</v>
      </c>
      <c r="L167">
        <v>1</v>
      </c>
      <c r="M167">
        <v>2</v>
      </c>
      <c r="N167">
        <v>2</v>
      </c>
      <c r="O167" s="7">
        <v>45949</v>
      </c>
      <c r="P167" s="7">
        <v>45950</v>
      </c>
      <c r="Q167" s="7">
        <v>45953</v>
      </c>
      <c r="R167" t="s">
        <v>1049</v>
      </c>
    </row>
    <row r="168" spans="1:18" x14ac:dyDescent="0.3">
      <c r="A168" t="s">
        <v>766</v>
      </c>
      <c r="B168" t="s">
        <v>22</v>
      </c>
      <c r="C168" t="s">
        <v>16</v>
      </c>
      <c r="D168" s="7">
        <v>45940</v>
      </c>
      <c r="E168" s="7">
        <v>45944</v>
      </c>
      <c r="F168" s="7">
        <v>45949</v>
      </c>
      <c r="G168" s="7">
        <v>45955</v>
      </c>
      <c r="H168" t="s">
        <v>752</v>
      </c>
      <c r="I168" t="s">
        <v>753</v>
      </c>
      <c r="K168">
        <v>4</v>
      </c>
      <c r="L168">
        <v>5</v>
      </c>
      <c r="M168">
        <v>6</v>
      </c>
      <c r="O168" s="7">
        <v>45940</v>
      </c>
      <c r="P168" s="7">
        <v>45944</v>
      </c>
      <c r="Q168" s="7">
        <v>45955</v>
      </c>
      <c r="R168" t="s">
        <v>1049</v>
      </c>
    </row>
    <row r="169" spans="1:18" x14ac:dyDescent="0.3">
      <c r="A169" t="s">
        <v>767</v>
      </c>
      <c r="B169" t="s">
        <v>29</v>
      </c>
      <c r="C169" t="s">
        <v>474</v>
      </c>
      <c r="D169" s="7">
        <v>45946</v>
      </c>
      <c r="E169" s="7">
        <v>45950</v>
      </c>
      <c r="F169" s="7">
        <v>45952</v>
      </c>
      <c r="G169" s="7">
        <v>45954</v>
      </c>
      <c r="H169" t="s">
        <v>752</v>
      </c>
      <c r="I169" t="s">
        <v>765</v>
      </c>
      <c r="K169">
        <v>4</v>
      </c>
      <c r="L169">
        <v>2</v>
      </c>
      <c r="M169">
        <v>2</v>
      </c>
      <c r="O169" s="7">
        <v>45946</v>
      </c>
      <c r="P169" s="7">
        <v>45950</v>
      </c>
      <c r="Q169" s="7">
        <v>45954</v>
      </c>
      <c r="R169" t="s">
        <v>1049</v>
      </c>
    </row>
    <row r="170" spans="1:18" x14ac:dyDescent="0.3">
      <c r="A170" t="s">
        <v>403</v>
      </c>
      <c r="B170" t="s">
        <v>29</v>
      </c>
      <c r="C170" t="s">
        <v>16</v>
      </c>
      <c r="D170" s="7">
        <v>45946</v>
      </c>
      <c r="E170" s="7">
        <v>45948</v>
      </c>
      <c r="F170" s="7">
        <v>45953</v>
      </c>
      <c r="G170" s="7">
        <v>45957</v>
      </c>
      <c r="H170" t="s">
        <v>17</v>
      </c>
      <c r="J170" s="7">
        <v>45969</v>
      </c>
      <c r="K170">
        <v>2</v>
      </c>
      <c r="L170">
        <v>5</v>
      </c>
      <c r="M170">
        <v>4</v>
      </c>
      <c r="N170">
        <v>5</v>
      </c>
      <c r="O170" s="7">
        <v>45946</v>
      </c>
      <c r="P170" s="7">
        <v>45948</v>
      </c>
      <c r="Q170" s="7">
        <v>45957</v>
      </c>
      <c r="R170" t="s">
        <v>1049</v>
      </c>
    </row>
    <row r="171" spans="1:18" x14ac:dyDescent="0.3">
      <c r="A171" t="s">
        <v>513</v>
      </c>
      <c r="B171" t="s">
        <v>15</v>
      </c>
      <c r="C171" t="s">
        <v>474</v>
      </c>
      <c r="D171" s="7">
        <v>45945</v>
      </c>
      <c r="E171" s="7">
        <v>45947</v>
      </c>
      <c r="F171" s="7">
        <v>45948</v>
      </c>
      <c r="G171" s="7">
        <v>45954</v>
      </c>
      <c r="H171" t="s">
        <v>17</v>
      </c>
      <c r="J171" s="7">
        <v>45974</v>
      </c>
      <c r="K171">
        <v>2</v>
      </c>
      <c r="L171">
        <v>1</v>
      </c>
      <c r="M171">
        <v>6</v>
      </c>
      <c r="N171">
        <v>2</v>
      </c>
      <c r="O171" s="7">
        <v>45945</v>
      </c>
      <c r="P171" s="7">
        <v>45947</v>
      </c>
      <c r="Q171" s="7">
        <v>45954</v>
      </c>
      <c r="R171" t="s">
        <v>1049</v>
      </c>
    </row>
    <row r="172" spans="1:18" x14ac:dyDescent="0.3">
      <c r="A172" t="s">
        <v>880</v>
      </c>
      <c r="B172" t="s">
        <v>22</v>
      </c>
      <c r="C172" t="s">
        <v>841</v>
      </c>
      <c r="D172" s="7">
        <v>45941</v>
      </c>
      <c r="H172" t="s">
        <v>752</v>
      </c>
      <c r="I172" t="s">
        <v>777</v>
      </c>
      <c r="O172" s="7">
        <v>45941</v>
      </c>
      <c r="R172" t="s">
        <v>1050</v>
      </c>
    </row>
    <row r="173" spans="1:18" x14ac:dyDescent="0.3">
      <c r="A173" t="s">
        <v>514</v>
      </c>
      <c r="B173" t="s">
        <v>22</v>
      </c>
      <c r="C173" t="s">
        <v>474</v>
      </c>
      <c r="D173" s="7">
        <v>45936</v>
      </c>
      <c r="E173" s="7">
        <v>45940</v>
      </c>
      <c r="F173" s="7">
        <v>45942</v>
      </c>
      <c r="G173" s="7">
        <v>45946</v>
      </c>
      <c r="H173" t="s">
        <v>17</v>
      </c>
      <c r="J173" s="7">
        <v>45961</v>
      </c>
      <c r="K173">
        <v>4</v>
      </c>
      <c r="L173">
        <v>2</v>
      </c>
      <c r="M173">
        <v>4</v>
      </c>
      <c r="N173">
        <v>1</v>
      </c>
      <c r="O173" s="7">
        <v>45936</v>
      </c>
      <c r="P173" s="7">
        <v>45940</v>
      </c>
      <c r="Q173" s="7">
        <v>45946</v>
      </c>
      <c r="R173" t="s">
        <v>1049</v>
      </c>
    </row>
    <row r="174" spans="1:18" x14ac:dyDescent="0.3">
      <c r="A174" t="s">
        <v>696</v>
      </c>
      <c r="B174" t="s">
        <v>22</v>
      </c>
      <c r="C174" t="s">
        <v>474</v>
      </c>
      <c r="D174" s="7">
        <v>45961</v>
      </c>
      <c r="E174" s="7">
        <v>45966</v>
      </c>
      <c r="F174" s="7">
        <v>45970</v>
      </c>
      <c r="G174" s="7">
        <v>45976</v>
      </c>
      <c r="H174" t="s">
        <v>17</v>
      </c>
      <c r="J174" s="7">
        <v>45998</v>
      </c>
      <c r="K174">
        <v>5</v>
      </c>
      <c r="L174">
        <v>4</v>
      </c>
      <c r="M174">
        <v>6</v>
      </c>
      <c r="N174">
        <v>8</v>
      </c>
      <c r="O174" s="7">
        <v>45961</v>
      </c>
      <c r="P174" s="7">
        <v>45966</v>
      </c>
      <c r="Q174" s="7">
        <v>45976</v>
      </c>
      <c r="R174" t="s">
        <v>1049</v>
      </c>
    </row>
    <row r="175" spans="1:18" x14ac:dyDescent="0.3">
      <c r="A175" t="s">
        <v>515</v>
      </c>
      <c r="B175" t="s">
        <v>22</v>
      </c>
      <c r="C175" t="s">
        <v>474</v>
      </c>
      <c r="D175" s="7">
        <v>45932</v>
      </c>
      <c r="E175" s="7">
        <v>45934</v>
      </c>
      <c r="F175" s="7">
        <v>45936</v>
      </c>
      <c r="G175" s="7">
        <v>45938</v>
      </c>
      <c r="H175" t="s">
        <v>17</v>
      </c>
      <c r="J175" s="7">
        <v>45953</v>
      </c>
      <c r="K175">
        <v>2</v>
      </c>
      <c r="L175">
        <v>2</v>
      </c>
      <c r="M175">
        <v>2</v>
      </c>
      <c r="N175">
        <v>6</v>
      </c>
      <c r="O175" s="7">
        <v>45932</v>
      </c>
      <c r="P175" s="7">
        <v>45934</v>
      </c>
      <c r="Q175" s="7">
        <v>45938</v>
      </c>
      <c r="R175" t="s">
        <v>1049</v>
      </c>
    </row>
    <row r="176" spans="1:18" x14ac:dyDescent="0.3">
      <c r="A176" t="s">
        <v>146</v>
      </c>
      <c r="B176" t="s">
        <v>22</v>
      </c>
      <c r="C176" t="s">
        <v>16</v>
      </c>
      <c r="D176" s="7">
        <v>45939</v>
      </c>
      <c r="E176" s="7">
        <v>45944</v>
      </c>
      <c r="F176" s="7">
        <v>45945</v>
      </c>
      <c r="G176" s="7">
        <v>45952</v>
      </c>
      <c r="H176" t="s">
        <v>17</v>
      </c>
      <c r="J176" s="7">
        <v>45964</v>
      </c>
      <c r="K176">
        <v>5</v>
      </c>
      <c r="L176">
        <v>1</v>
      </c>
      <c r="M176">
        <v>7</v>
      </c>
      <c r="N176">
        <v>6</v>
      </c>
      <c r="O176" s="7">
        <v>45939</v>
      </c>
      <c r="P176" s="7">
        <v>45944</v>
      </c>
      <c r="Q176" s="7">
        <v>45952</v>
      </c>
      <c r="R176" t="s">
        <v>1049</v>
      </c>
    </row>
    <row r="177" spans="1:18" x14ac:dyDescent="0.3">
      <c r="A177" t="s">
        <v>881</v>
      </c>
      <c r="B177" t="s">
        <v>22</v>
      </c>
      <c r="C177" t="s">
        <v>841</v>
      </c>
      <c r="D177" s="7">
        <v>45961</v>
      </c>
      <c r="H177" t="s">
        <v>752</v>
      </c>
      <c r="I177" t="s">
        <v>765</v>
      </c>
      <c r="O177" s="7">
        <v>45961</v>
      </c>
      <c r="R177" t="s">
        <v>1050</v>
      </c>
    </row>
    <row r="178" spans="1:18" x14ac:dyDescent="0.3">
      <c r="A178" t="s">
        <v>147</v>
      </c>
      <c r="B178" t="s">
        <v>27</v>
      </c>
      <c r="C178" t="s">
        <v>16</v>
      </c>
      <c r="D178" s="7">
        <v>45958</v>
      </c>
      <c r="E178" s="7">
        <v>45963</v>
      </c>
      <c r="F178" s="7">
        <v>45967</v>
      </c>
      <c r="G178" s="7">
        <v>45972</v>
      </c>
      <c r="H178" t="s">
        <v>17</v>
      </c>
      <c r="J178" s="7">
        <v>45999</v>
      </c>
      <c r="K178">
        <v>5</v>
      </c>
      <c r="L178">
        <v>4</v>
      </c>
      <c r="M178">
        <v>5</v>
      </c>
      <c r="N178">
        <v>3</v>
      </c>
      <c r="O178" s="7">
        <v>45958</v>
      </c>
      <c r="P178" s="7">
        <v>45963</v>
      </c>
      <c r="Q178" s="7">
        <v>45972</v>
      </c>
      <c r="R178" t="s">
        <v>1049</v>
      </c>
    </row>
    <row r="179" spans="1:18" x14ac:dyDescent="0.3">
      <c r="A179" t="s">
        <v>516</v>
      </c>
      <c r="B179" t="s">
        <v>29</v>
      </c>
      <c r="C179" t="s">
        <v>474</v>
      </c>
      <c r="D179" s="7">
        <v>45946</v>
      </c>
      <c r="E179" s="7">
        <v>45949</v>
      </c>
      <c r="F179" s="7">
        <v>45953</v>
      </c>
      <c r="G179" s="7">
        <v>45959</v>
      </c>
      <c r="H179" t="s">
        <v>17</v>
      </c>
      <c r="J179" s="7">
        <v>45971</v>
      </c>
      <c r="K179">
        <v>3</v>
      </c>
      <c r="L179">
        <v>4</v>
      </c>
      <c r="M179">
        <v>6</v>
      </c>
      <c r="N179">
        <v>5</v>
      </c>
      <c r="O179" s="7">
        <v>45946</v>
      </c>
      <c r="P179" s="7">
        <v>45949</v>
      </c>
      <c r="Q179" s="7">
        <v>45959</v>
      </c>
      <c r="R179" t="s">
        <v>1049</v>
      </c>
    </row>
    <row r="180" spans="1:18" x14ac:dyDescent="0.3">
      <c r="A180" t="s">
        <v>332</v>
      </c>
      <c r="B180" t="s">
        <v>22</v>
      </c>
      <c r="C180" t="s">
        <v>16</v>
      </c>
      <c r="D180" s="7">
        <v>45934</v>
      </c>
      <c r="E180" s="7">
        <v>45935</v>
      </c>
      <c r="F180" s="7">
        <v>45937</v>
      </c>
      <c r="G180" s="7">
        <v>45940</v>
      </c>
      <c r="H180" t="s">
        <v>17</v>
      </c>
      <c r="J180" s="7">
        <v>45960</v>
      </c>
      <c r="K180">
        <v>1</v>
      </c>
      <c r="L180">
        <v>2</v>
      </c>
      <c r="M180">
        <v>3</v>
      </c>
      <c r="N180">
        <v>9</v>
      </c>
      <c r="O180" s="7">
        <v>45934</v>
      </c>
      <c r="P180" s="7">
        <v>45935</v>
      </c>
      <c r="Q180" s="7">
        <v>45940</v>
      </c>
      <c r="R180" t="s">
        <v>1049</v>
      </c>
    </row>
    <row r="181" spans="1:18" x14ac:dyDescent="0.3">
      <c r="A181" t="s">
        <v>242</v>
      </c>
      <c r="B181" t="s">
        <v>29</v>
      </c>
      <c r="C181" t="s">
        <v>16</v>
      </c>
      <c r="D181" s="7">
        <v>45957</v>
      </c>
      <c r="E181" s="7">
        <v>45961</v>
      </c>
      <c r="F181" s="7">
        <v>45964</v>
      </c>
      <c r="G181" s="7">
        <v>45969</v>
      </c>
      <c r="H181" t="s">
        <v>17</v>
      </c>
      <c r="J181" s="7">
        <v>45998</v>
      </c>
      <c r="K181">
        <v>4</v>
      </c>
      <c r="L181">
        <v>3</v>
      </c>
      <c r="M181">
        <v>5</v>
      </c>
      <c r="N181">
        <v>4</v>
      </c>
      <c r="O181" s="7">
        <v>45957</v>
      </c>
      <c r="P181" s="7">
        <v>45961</v>
      </c>
      <c r="Q181" s="7">
        <v>45969</v>
      </c>
      <c r="R181" t="s">
        <v>1049</v>
      </c>
    </row>
    <row r="182" spans="1:18" x14ac:dyDescent="0.3">
      <c r="A182" t="s">
        <v>517</v>
      </c>
      <c r="B182" t="s">
        <v>29</v>
      </c>
      <c r="C182" t="s">
        <v>474</v>
      </c>
      <c r="D182" s="7">
        <v>45933</v>
      </c>
      <c r="E182" s="7">
        <v>45934</v>
      </c>
      <c r="F182" s="7">
        <v>45935</v>
      </c>
      <c r="G182" s="7">
        <v>45937</v>
      </c>
      <c r="H182" t="s">
        <v>17</v>
      </c>
      <c r="J182" s="7">
        <v>45966</v>
      </c>
      <c r="K182">
        <v>1</v>
      </c>
      <c r="L182">
        <v>1</v>
      </c>
      <c r="M182">
        <v>2</v>
      </c>
      <c r="N182">
        <v>1</v>
      </c>
      <c r="O182" s="7">
        <v>45933</v>
      </c>
      <c r="P182" s="7">
        <v>45934</v>
      </c>
      <c r="Q182" s="7">
        <v>45937</v>
      </c>
      <c r="R182" t="s">
        <v>1049</v>
      </c>
    </row>
    <row r="183" spans="1:18" x14ac:dyDescent="0.3">
      <c r="A183" t="s">
        <v>243</v>
      </c>
      <c r="B183" t="s">
        <v>27</v>
      </c>
      <c r="C183" t="s">
        <v>16</v>
      </c>
      <c r="D183" s="7">
        <v>45943</v>
      </c>
      <c r="E183" s="7">
        <v>45947</v>
      </c>
      <c r="F183" s="7">
        <v>45948</v>
      </c>
      <c r="G183" s="7">
        <v>45955</v>
      </c>
      <c r="H183" t="s">
        <v>17</v>
      </c>
      <c r="J183" s="7">
        <v>45980</v>
      </c>
      <c r="K183">
        <v>4</v>
      </c>
      <c r="L183">
        <v>1</v>
      </c>
      <c r="M183">
        <v>7</v>
      </c>
      <c r="N183">
        <v>4</v>
      </c>
      <c r="O183" s="7">
        <v>45943</v>
      </c>
      <c r="P183" s="7">
        <v>45947</v>
      </c>
      <c r="Q183" s="7">
        <v>45955</v>
      </c>
      <c r="R183" t="s">
        <v>1049</v>
      </c>
    </row>
    <row r="184" spans="1:18" x14ac:dyDescent="0.3">
      <c r="A184" t="s">
        <v>882</v>
      </c>
      <c r="B184" t="s">
        <v>22</v>
      </c>
      <c r="C184" t="s">
        <v>841</v>
      </c>
      <c r="D184" s="7">
        <v>45946</v>
      </c>
      <c r="H184" t="s">
        <v>752</v>
      </c>
      <c r="I184" t="s">
        <v>777</v>
      </c>
      <c r="O184" s="7">
        <v>45946</v>
      </c>
      <c r="R184" t="s">
        <v>1050</v>
      </c>
    </row>
    <row r="185" spans="1:18" x14ac:dyDescent="0.3">
      <c r="A185" t="s">
        <v>518</v>
      </c>
      <c r="B185" t="s">
        <v>15</v>
      </c>
      <c r="C185" t="s">
        <v>474</v>
      </c>
      <c r="D185" s="7">
        <v>45933</v>
      </c>
      <c r="E185" s="7">
        <v>45934</v>
      </c>
      <c r="F185" s="7">
        <v>45937</v>
      </c>
      <c r="G185" s="7">
        <v>45944</v>
      </c>
      <c r="H185" t="s">
        <v>17</v>
      </c>
      <c r="J185" s="7">
        <v>45954</v>
      </c>
      <c r="K185">
        <v>1</v>
      </c>
      <c r="L185">
        <v>3</v>
      </c>
      <c r="M185">
        <v>7</v>
      </c>
      <c r="N185">
        <v>6</v>
      </c>
      <c r="O185" s="7">
        <v>45933</v>
      </c>
      <c r="P185" s="7">
        <v>45934</v>
      </c>
      <c r="Q185" s="7">
        <v>45944</v>
      </c>
      <c r="R185" t="s">
        <v>1049</v>
      </c>
    </row>
    <row r="186" spans="1:18" x14ac:dyDescent="0.3">
      <c r="A186" t="s">
        <v>244</v>
      </c>
      <c r="B186" t="s">
        <v>27</v>
      </c>
      <c r="C186" t="s">
        <v>16</v>
      </c>
      <c r="D186" s="7">
        <v>45949</v>
      </c>
      <c r="E186" s="7">
        <v>45953</v>
      </c>
      <c r="F186" s="7">
        <v>45958</v>
      </c>
      <c r="G186" s="7">
        <v>45961</v>
      </c>
      <c r="H186" t="s">
        <v>17</v>
      </c>
      <c r="J186" s="7">
        <v>45984</v>
      </c>
      <c r="K186">
        <v>4</v>
      </c>
      <c r="L186">
        <v>5</v>
      </c>
      <c r="M186">
        <v>3</v>
      </c>
      <c r="N186">
        <v>3</v>
      </c>
      <c r="O186" s="7">
        <v>45949</v>
      </c>
      <c r="P186" s="7">
        <v>45953</v>
      </c>
      <c r="Q186" s="7">
        <v>45961</v>
      </c>
      <c r="R186" t="s">
        <v>1049</v>
      </c>
    </row>
    <row r="187" spans="1:18" x14ac:dyDescent="0.3">
      <c r="A187" t="s">
        <v>333</v>
      </c>
      <c r="B187" t="s">
        <v>15</v>
      </c>
      <c r="C187" t="s">
        <v>16</v>
      </c>
      <c r="D187" s="7">
        <v>45951</v>
      </c>
      <c r="E187" s="7">
        <v>45952</v>
      </c>
      <c r="F187" s="7">
        <v>45957</v>
      </c>
      <c r="G187" s="7">
        <v>45961</v>
      </c>
      <c r="H187" t="s">
        <v>17</v>
      </c>
      <c r="J187" s="7">
        <v>45991</v>
      </c>
      <c r="K187">
        <v>1</v>
      </c>
      <c r="L187">
        <v>5</v>
      </c>
      <c r="M187">
        <v>4</v>
      </c>
      <c r="N187">
        <v>2</v>
      </c>
      <c r="O187" s="7">
        <v>45951</v>
      </c>
      <c r="P187" s="7">
        <v>45952</v>
      </c>
      <c r="Q187" s="7">
        <v>45961</v>
      </c>
      <c r="R187" t="s">
        <v>1049</v>
      </c>
    </row>
    <row r="188" spans="1:18" x14ac:dyDescent="0.3">
      <c r="A188" t="s">
        <v>43</v>
      </c>
      <c r="B188" t="s">
        <v>29</v>
      </c>
      <c r="C188" t="s">
        <v>16</v>
      </c>
      <c r="D188" s="7">
        <v>45952</v>
      </c>
      <c r="E188" s="7">
        <v>45955</v>
      </c>
      <c r="F188" s="7">
        <v>45956</v>
      </c>
      <c r="G188" s="7">
        <v>45958</v>
      </c>
      <c r="H188" t="s">
        <v>17</v>
      </c>
      <c r="J188" s="7">
        <v>45973</v>
      </c>
      <c r="K188">
        <v>3</v>
      </c>
      <c r="L188">
        <v>1</v>
      </c>
      <c r="M188">
        <v>2</v>
      </c>
      <c r="N188">
        <v>3</v>
      </c>
      <c r="O188" s="7">
        <v>45952</v>
      </c>
      <c r="P188" s="7">
        <v>45955</v>
      </c>
      <c r="Q188" s="7">
        <v>45958</v>
      </c>
      <c r="R188" t="s">
        <v>1049</v>
      </c>
    </row>
    <row r="189" spans="1:18" x14ac:dyDescent="0.3">
      <c r="A189" t="s">
        <v>697</v>
      </c>
      <c r="B189" t="s">
        <v>29</v>
      </c>
      <c r="C189" t="s">
        <v>474</v>
      </c>
      <c r="D189" s="7">
        <v>45932</v>
      </c>
      <c r="E189" s="7">
        <v>45937</v>
      </c>
      <c r="F189" s="7">
        <v>45940</v>
      </c>
      <c r="G189" s="7">
        <v>45945</v>
      </c>
      <c r="H189" t="s">
        <v>17</v>
      </c>
      <c r="J189" s="7">
        <v>45974</v>
      </c>
      <c r="K189">
        <v>5</v>
      </c>
      <c r="L189">
        <v>3</v>
      </c>
      <c r="M189">
        <v>5</v>
      </c>
      <c r="N189">
        <v>7</v>
      </c>
      <c r="O189" s="7">
        <v>45932</v>
      </c>
      <c r="P189" s="7">
        <v>45937</v>
      </c>
      <c r="Q189" s="7">
        <v>45945</v>
      </c>
      <c r="R189" t="s">
        <v>1049</v>
      </c>
    </row>
    <row r="190" spans="1:18" x14ac:dyDescent="0.3">
      <c r="A190" t="s">
        <v>519</v>
      </c>
      <c r="B190" t="s">
        <v>27</v>
      </c>
      <c r="C190" t="s">
        <v>474</v>
      </c>
      <c r="D190" s="7">
        <v>45935</v>
      </c>
      <c r="E190" s="7">
        <v>45939</v>
      </c>
      <c r="F190" s="7">
        <v>45942</v>
      </c>
      <c r="G190" s="7">
        <v>45946</v>
      </c>
      <c r="H190" t="s">
        <v>17</v>
      </c>
      <c r="J190" s="7">
        <v>45969</v>
      </c>
      <c r="K190">
        <v>4</v>
      </c>
      <c r="L190">
        <v>3</v>
      </c>
      <c r="M190">
        <v>4</v>
      </c>
      <c r="N190">
        <v>9</v>
      </c>
      <c r="O190" s="7">
        <v>45935</v>
      </c>
      <c r="P190" s="7">
        <v>45939</v>
      </c>
      <c r="Q190" s="7">
        <v>45946</v>
      </c>
      <c r="R190" t="s">
        <v>1049</v>
      </c>
    </row>
    <row r="191" spans="1:18" x14ac:dyDescent="0.3">
      <c r="A191" t="s">
        <v>883</v>
      </c>
      <c r="B191" t="s">
        <v>27</v>
      </c>
      <c r="C191" t="s">
        <v>841</v>
      </c>
      <c r="D191" s="7">
        <v>45935</v>
      </c>
      <c r="H191" t="s">
        <v>752</v>
      </c>
      <c r="I191" t="s">
        <v>777</v>
      </c>
      <c r="O191" s="7">
        <v>45935</v>
      </c>
      <c r="R191" t="s">
        <v>1050</v>
      </c>
    </row>
    <row r="192" spans="1:18" x14ac:dyDescent="0.3">
      <c r="A192" t="s">
        <v>884</v>
      </c>
      <c r="B192" t="s">
        <v>15</v>
      </c>
      <c r="C192" t="s">
        <v>841</v>
      </c>
      <c r="D192" s="7">
        <v>45956</v>
      </c>
      <c r="H192" t="s">
        <v>752</v>
      </c>
      <c r="I192" t="s">
        <v>758</v>
      </c>
      <c r="O192" s="7">
        <v>45956</v>
      </c>
      <c r="R192" t="s">
        <v>1050</v>
      </c>
    </row>
    <row r="193" spans="1:18" x14ac:dyDescent="0.3">
      <c r="A193" t="s">
        <v>148</v>
      </c>
      <c r="B193" t="s">
        <v>22</v>
      </c>
      <c r="C193" t="s">
        <v>16</v>
      </c>
      <c r="D193" s="7">
        <v>45949</v>
      </c>
      <c r="E193" s="7">
        <v>45954</v>
      </c>
      <c r="F193" s="7">
        <v>45958</v>
      </c>
      <c r="G193" s="7">
        <v>45962</v>
      </c>
      <c r="H193" t="s">
        <v>17</v>
      </c>
      <c r="J193" s="7">
        <v>45977</v>
      </c>
      <c r="K193">
        <v>5</v>
      </c>
      <c r="L193">
        <v>4</v>
      </c>
      <c r="M193">
        <v>4</v>
      </c>
      <c r="N193">
        <v>10</v>
      </c>
      <c r="O193" s="7">
        <v>45949</v>
      </c>
      <c r="P193" s="7">
        <v>45954</v>
      </c>
      <c r="Q193" s="7">
        <v>45962</v>
      </c>
      <c r="R193" t="s">
        <v>1049</v>
      </c>
    </row>
    <row r="194" spans="1:18" x14ac:dyDescent="0.3">
      <c r="A194" t="s">
        <v>768</v>
      </c>
      <c r="B194" t="s">
        <v>15</v>
      </c>
      <c r="C194" t="s">
        <v>16</v>
      </c>
      <c r="D194" s="7">
        <v>45961</v>
      </c>
      <c r="E194" s="7">
        <v>45965</v>
      </c>
      <c r="F194" s="7">
        <v>45970</v>
      </c>
      <c r="G194" s="7">
        <v>45972</v>
      </c>
      <c r="H194" t="s">
        <v>752</v>
      </c>
      <c r="I194" t="s">
        <v>753</v>
      </c>
      <c r="K194">
        <v>4</v>
      </c>
      <c r="L194">
        <v>5</v>
      </c>
      <c r="M194">
        <v>2</v>
      </c>
      <c r="O194" s="7">
        <v>45961</v>
      </c>
      <c r="P194" s="7">
        <v>45965</v>
      </c>
      <c r="Q194" s="7">
        <v>45972</v>
      </c>
      <c r="R194" t="s">
        <v>1049</v>
      </c>
    </row>
    <row r="195" spans="1:18" x14ac:dyDescent="0.3">
      <c r="A195" t="s">
        <v>245</v>
      </c>
      <c r="B195" t="s">
        <v>27</v>
      </c>
      <c r="C195" t="s">
        <v>16</v>
      </c>
      <c r="D195" s="7">
        <v>45940</v>
      </c>
      <c r="E195" s="7">
        <v>45944</v>
      </c>
      <c r="F195" s="7">
        <v>45949</v>
      </c>
      <c r="G195" s="7">
        <v>45954</v>
      </c>
      <c r="H195" t="s">
        <v>17</v>
      </c>
      <c r="J195" s="7">
        <v>45965</v>
      </c>
      <c r="K195">
        <v>4</v>
      </c>
      <c r="L195">
        <v>5</v>
      </c>
      <c r="M195">
        <v>5</v>
      </c>
      <c r="N195">
        <v>5</v>
      </c>
      <c r="O195" s="7">
        <v>45940</v>
      </c>
      <c r="P195" s="7">
        <v>45944</v>
      </c>
      <c r="Q195" s="7">
        <v>45954</v>
      </c>
      <c r="R195" t="s">
        <v>1049</v>
      </c>
    </row>
    <row r="196" spans="1:18" x14ac:dyDescent="0.3">
      <c r="A196" t="s">
        <v>44</v>
      </c>
      <c r="B196" t="s">
        <v>15</v>
      </c>
      <c r="C196" t="s">
        <v>16</v>
      </c>
      <c r="D196" s="7">
        <v>45933</v>
      </c>
      <c r="E196" s="7">
        <v>45936</v>
      </c>
      <c r="F196" s="7">
        <v>45940</v>
      </c>
      <c r="G196" s="7">
        <v>45942</v>
      </c>
      <c r="H196" t="s">
        <v>17</v>
      </c>
      <c r="J196" s="7">
        <v>45955</v>
      </c>
      <c r="K196">
        <v>3</v>
      </c>
      <c r="L196">
        <v>4</v>
      </c>
      <c r="M196">
        <v>2</v>
      </c>
      <c r="N196">
        <v>3</v>
      </c>
      <c r="O196" s="7">
        <v>45933</v>
      </c>
      <c r="P196" s="7">
        <v>45936</v>
      </c>
      <c r="Q196" s="7">
        <v>45942</v>
      </c>
      <c r="R196" t="s">
        <v>1049</v>
      </c>
    </row>
    <row r="197" spans="1:18" x14ac:dyDescent="0.3">
      <c r="A197" t="s">
        <v>334</v>
      </c>
      <c r="B197" t="s">
        <v>27</v>
      </c>
      <c r="C197" t="s">
        <v>16</v>
      </c>
      <c r="D197" s="7">
        <v>45938</v>
      </c>
      <c r="E197" s="7">
        <v>45939</v>
      </c>
      <c r="F197" s="7">
        <v>45941</v>
      </c>
      <c r="G197" s="7">
        <v>45944</v>
      </c>
      <c r="H197" t="s">
        <v>17</v>
      </c>
      <c r="J197" s="7">
        <v>45964</v>
      </c>
      <c r="K197">
        <v>1</v>
      </c>
      <c r="L197">
        <v>2</v>
      </c>
      <c r="M197">
        <v>3</v>
      </c>
      <c r="N197">
        <v>9</v>
      </c>
      <c r="O197" s="7">
        <v>45938</v>
      </c>
      <c r="P197" s="7">
        <v>45939</v>
      </c>
      <c r="Q197" s="7">
        <v>45944</v>
      </c>
      <c r="R197" t="s">
        <v>1049</v>
      </c>
    </row>
    <row r="198" spans="1:18" x14ac:dyDescent="0.3">
      <c r="A198" t="s">
        <v>520</v>
      </c>
      <c r="B198" t="s">
        <v>15</v>
      </c>
      <c r="C198" t="s">
        <v>474</v>
      </c>
      <c r="D198" s="7">
        <v>45934</v>
      </c>
      <c r="E198" s="7">
        <v>45938</v>
      </c>
      <c r="F198" s="7">
        <v>45943</v>
      </c>
      <c r="G198" s="7">
        <v>45946</v>
      </c>
      <c r="H198" t="s">
        <v>17</v>
      </c>
      <c r="J198" s="7">
        <v>45962</v>
      </c>
      <c r="K198">
        <v>4</v>
      </c>
      <c r="L198">
        <v>5</v>
      </c>
      <c r="M198">
        <v>3</v>
      </c>
      <c r="N198">
        <v>10</v>
      </c>
      <c r="O198" s="7">
        <v>45934</v>
      </c>
      <c r="P198" s="7">
        <v>45938</v>
      </c>
      <c r="Q198" s="7">
        <v>45946</v>
      </c>
      <c r="R198" t="s">
        <v>1049</v>
      </c>
    </row>
    <row r="199" spans="1:18" x14ac:dyDescent="0.3">
      <c r="A199" t="s">
        <v>885</v>
      </c>
      <c r="B199" t="s">
        <v>27</v>
      </c>
      <c r="C199" t="s">
        <v>841</v>
      </c>
      <c r="D199" s="7">
        <v>45948</v>
      </c>
      <c r="H199" t="s">
        <v>752</v>
      </c>
      <c r="I199" t="s">
        <v>753</v>
      </c>
      <c r="O199" s="7">
        <v>45948</v>
      </c>
      <c r="R199" t="s">
        <v>1050</v>
      </c>
    </row>
    <row r="200" spans="1:18" x14ac:dyDescent="0.3">
      <c r="A200" t="s">
        <v>335</v>
      </c>
      <c r="B200" t="s">
        <v>27</v>
      </c>
      <c r="C200" t="s">
        <v>16</v>
      </c>
      <c r="D200" s="7">
        <v>45955</v>
      </c>
      <c r="E200" s="7">
        <v>45956</v>
      </c>
      <c r="F200" s="7">
        <v>45960</v>
      </c>
      <c r="G200" s="7">
        <v>45967</v>
      </c>
      <c r="H200" t="s">
        <v>17</v>
      </c>
      <c r="J200" s="7">
        <v>45983</v>
      </c>
      <c r="K200">
        <v>1</v>
      </c>
      <c r="L200">
        <v>4</v>
      </c>
      <c r="M200">
        <v>7</v>
      </c>
      <c r="N200">
        <v>8</v>
      </c>
      <c r="O200" s="7">
        <v>45955</v>
      </c>
      <c r="P200" s="7">
        <v>45956</v>
      </c>
      <c r="Q200" s="7">
        <v>45967</v>
      </c>
      <c r="R200" t="s">
        <v>1049</v>
      </c>
    </row>
    <row r="201" spans="1:18" x14ac:dyDescent="0.3">
      <c r="A201" t="s">
        <v>886</v>
      </c>
      <c r="B201" t="s">
        <v>27</v>
      </c>
      <c r="C201" t="s">
        <v>841</v>
      </c>
      <c r="D201" s="7">
        <v>45944</v>
      </c>
      <c r="H201" t="s">
        <v>752</v>
      </c>
      <c r="I201" t="s">
        <v>777</v>
      </c>
      <c r="O201" s="7">
        <v>45944</v>
      </c>
      <c r="R201" t="s">
        <v>1050</v>
      </c>
    </row>
    <row r="202" spans="1:18" x14ac:dyDescent="0.3">
      <c r="A202" t="s">
        <v>521</v>
      </c>
      <c r="B202" t="s">
        <v>22</v>
      </c>
      <c r="C202" t="s">
        <v>474</v>
      </c>
      <c r="D202" s="7">
        <v>45950</v>
      </c>
      <c r="E202" s="7">
        <v>45953</v>
      </c>
      <c r="F202" s="7">
        <v>45956</v>
      </c>
      <c r="G202" s="7">
        <v>45962</v>
      </c>
      <c r="H202" t="s">
        <v>17</v>
      </c>
      <c r="J202" s="7">
        <v>45985</v>
      </c>
      <c r="K202">
        <v>3</v>
      </c>
      <c r="L202">
        <v>3</v>
      </c>
      <c r="M202">
        <v>6</v>
      </c>
      <c r="N202">
        <v>6</v>
      </c>
      <c r="O202" s="7">
        <v>45950</v>
      </c>
      <c r="P202" s="7">
        <v>45953</v>
      </c>
      <c r="Q202" s="7">
        <v>45962</v>
      </c>
      <c r="R202" t="s">
        <v>1049</v>
      </c>
    </row>
    <row r="203" spans="1:18" x14ac:dyDescent="0.3">
      <c r="A203" t="s">
        <v>522</v>
      </c>
      <c r="B203" t="s">
        <v>15</v>
      </c>
      <c r="C203" t="s">
        <v>474</v>
      </c>
      <c r="D203" s="7">
        <v>45950</v>
      </c>
      <c r="E203" s="7">
        <v>45952</v>
      </c>
      <c r="F203" s="7">
        <v>45954</v>
      </c>
      <c r="G203" s="7">
        <v>45961</v>
      </c>
      <c r="H203" t="s">
        <v>17</v>
      </c>
      <c r="J203" s="7">
        <v>45988</v>
      </c>
      <c r="K203">
        <v>2</v>
      </c>
      <c r="L203">
        <v>2</v>
      </c>
      <c r="M203">
        <v>7</v>
      </c>
      <c r="N203">
        <v>2</v>
      </c>
      <c r="O203" s="7">
        <v>45950</v>
      </c>
      <c r="P203" s="7">
        <v>45952</v>
      </c>
      <c r="Q203" s="7">
        <v>45961</v>
      </c>
      <c r="R203" t="s">
        <v>1049</v>
      </c>
    </row>
    <row r="204" spans="1:18" x14ac:dyDescent="0.3">
      <c r="A204" t="s">
        <v>698</v>
      </c>
      <c r="B204" t="s">
        <v>15</v>
      </c>
      <c r="C204" t="s">
        <v>474</v>
      </c>
      <c r="D204" s="7">
        <v>45956</v>
      </c>
      <c r="E204" s="7">
        <v>45961</v>
      </c>
      <c r="F204" s="7">
        <v>45962</v>
      </c>
      <c r="G204" s="7">
        <v>45966</v>
      </c>
      <c r="H204" t="s">
        <v>17</v>
      </c>
      <c r="J204" s="7">
        <v>45993</v>
      </c>
      <c r="K204">
        <v>5</v>
      </c>
      <c r="L204">
        <v>1</v>
      </c>
      <c r="M204">
        <v>4</v>
      </c>
      <c r="N204">
        <v>2</v>
      </c>
      <c r="O204" s="7">
        <v>45956</v>
      </c>
      <c r="P204" s="7">
        <v>45961</v>
      </c>
      <c r="Q204" s="7">
        <v>45966</v>
      </c>
      <c r="R204" t="s">
        <v>1049</v>
      </c>
    </row>
    <row r="205" spans="1:18" x14ac:dyDescent="0.3">
      <c r="A205" t="s">
        <v>246</v>
      </c>
      <c r="B205" t="s">
        <v>15</v>
      </c>
      <c r="C205" t="s">
        <v>16</v>
      </c>
      <c r="D205" s="7">
        <v>45950</v>
      </c>
      <c r="E205" s="7">
        <v>45954</v>
      </c>
      <c r="F205" s="7">
        <v>45957</v>
      </c>
      <c r="G205" s="7">
        <v>45964</v>
      </c>
      <c r="H205" t="s">
        <v>17</v>
      </c>
      <c r="J205" s="7">
        <v>45982</v>
      </c>
      <c r="K205">
        <v>4</v>
      </c>
      <c r="L205">
        <v>3</v>
      </c>
      <c r="M205">
        <v>7</v>
      </c>
      <c r="N205">
        <v>9</v>
      </c>
      <c r="O205" s="7">
        <v>45950</v>
      </c>
      <c r="P205" s="7">
        <v>45954</v>
      </c>
      <c r="Q205" s="7">
        <v>45964</v>
      </c>
      <c r="R205" t="s">
        <v>1049</v>
      </c>
    </row>
    <row r="206" spans="1:18" x14ac:dyDescent="0.3">
      <c r="A206" t="s">
        <v>887</v>
      </c>
      <c r="B206" t="s">
        <v>27</v>
      </c>
      <c r="C206" t="s">
        <v>841</v>
      </c>
      <c r="D206" s="7">
        <v>45938</v>
      </c>
      <c r="H206" t="s">
        <v>752</v>
      </c>
      <c r="I206" t="s">
        <v>756</v>
      </c>
      <c r="O206" s="7">
        <v>45938</v>
      </c>
      <c r="R206" t="s">
        <v>1050</v>
      </c>
    </row>
    <row r="207" spans="1:18" x14ac:dyDescent="0.3">
      <c r="A207" t="s">
        <v>523</v>
      </c>
      <c r="B207" t="s">
        <v>15</v>
      </c>
      <c r="C207" t="s">
        <v>474</v>
      </c>
      <c r="D207" s="7">
        <v>45955</v>
      </c>
      <c r="E207" s="7">
        <v>45958</v>
      </c>
      <c r="F207" s="7">
        <v>45960</v>
      </c>
      <c r="G207" s="7">
        <v>45966</v>
      </c>
      <c r="H207" t="s">
        <v>17</v>
      </c>
      <c r="J207" s="7">
        <v>45985</v>
      </c>
      <c r="K207">
        <v>3</v>
      </c>
      <c r="L207">
        <v>2</v>
      </c>
      <c r="M207">
        <v>6</v>
      </c>
      <c r="N207">
        <v>2</v>
      </c>
      <c r="O207" s="7">
        <v>45955</v>
      </c>
      <c r="P207" s="7">
        <v>45958</v>
      </c>
      <c r="Q207" s="7">
        <v>45966</v>
      </c>
      <c r="R207" t="s">
        <v>1049</v>
      </c>
    </row>
    <row r="208" spans="1:18" x14ac:dyDescent="0.3">
      <c r="A208" t="s">
        <v>888</v>
      </c>
      <c r="B208" t="s">
        <v>15</v>
      </c>
      <c r="C208" t="s">
        <v>841</v>
      </c>
      <c r="D208" s="7">
        <v>45947</v>
      </c>
      <c r="H208" t="s">
        <v>752</v>
      </c>
      <c r="I208" t="s">
        <v>756</v>
      </c>
      <c r="O208" s="7">
        <v>45947</v>
      </c>
      <c r="R208" t="s">
        <v>1050</v>
      </c>
    </row>
    <row r="209" spans="1:18" x14ac:dyDescent="0.3">
      <c r="A209" t="s">
        <v>336</v>
      </c>
      <c r="B209" t="s">
        <v>27</v>
      </c>
      <c r="C209" t="s">
        <v>16</v>
      </c>
      <c r="D209" s="7">
        <v>45943</v>
      </c>
      <c r="E209" s="7">
        <v>45944</v>
      </c>
      <c r="F209" s="7">
        <v>45948</v>
      </c>
      <c r="G209" s="7">
        <v>45955</v>
      </c>
      <c r="H209" t="s">
        <v>17</v>
      </c>
      <c r="J209" s="7">
        <v>45974</v>
      </c>
      <c r="K209">
        <v>1</v>
      </c>
      <c r="L209">
        <v>4</v>
      </c>
      <c r="M209">
        <v>7</v>
      </c>
      <c r="N209">
        <v>7</v>
      </c>
      <c r="O209" s="7">
        <v>45943</v>
      </c>
      <c r="P209" s="7">
        <v>45944</v>
      </c>
      <c r="Q209" s="7">
        <v>45955</v>
      </c>
      <c r="R209" t="s">
        <v>1049</v>
      </c>
    </row>
    <row r="210" spans="1:18" x14ac:dyDescent="0.3">
      <c r="A210" t="s">
        <v>889</v>
      </c>
      <c r="B210" t="s">
        <v>29</v>
      </c>
      <c r="C210" t="s">
        <v>841</v>
      </c>
      <c r="D210" s="7">
        <v>45945</v>
      </c>
      <c r="H210" t="s">
        <v>752</v>
      </c>
      <c r="I210" t="s">
        <v>765</v>
      </c>
      <c r="O210" s="7">
        <v>45945</v>
      </c>
      <c r="R210" t="s">
        <v>1050</v>
      </c>
    </row>
    <row r="211" spans="1:18" x14ac:dyDescent="0.3">
      <c r="A211" t="s">
        <v>524</v>
      </c>
      <c r="B211" t="s">
        <v>27</v>
      </c>
      <c r="C211" t="s">
        <v>474</v>
      </c>
      <c r="D211" s="7">
        <v>45960</v>
      </c>
      <c r="E211" s="7">
        <v>45964</v>
      </c>
      <c r="F211" s="7">
        <v>45967</v>
      </c>
      <c r="G211" s="7">
        <v>45972</v>
      </c>
      <c r="H211" t="s">
        <v>17</v>
      </c>
      <c r="J211" s="7">
        <v>45989</v>
      </c>
      <c r="K211">
        <v>4</v>
      </c>
      <c r="L211">
        <v>3</v>
      </c>
      <c r="M211">
        <v>5</v>
      </c>
      <c r="N211">
        <v>9</v>
      </c>
      <c r="O211" s="7">
        <v>45960</v>
      </c>
      <c r="P211" s="7">
        <v>45964</v>
      </c>
      <c r="Q211" s="7">
        <v>45972</v>
      </c>
      <c r="R211" t="s">
        <v>1049</v>
      </c>
    </row>
    <row r="212" spans="1:18" x14ac:dyDescent="0.3">
      <c r="A212" t="s">
        <v>890</v>
      </c>
      <c r="B212" t="s">
        <v>15</v>
      </c>
      <c r="C212" t="s">
        <v>841</v>
      </c>
      <c r="D212" s="7">
        <v>45945</v>
      </c>
      <c r="H212" t="s">
        <v>752</v>
      </c>
      <c r="I212" t="s">
        <v>765</v>
      </c>
      <c r="O212" s="7">
        <v>45945</v>
      </c>
      <c r="R212" t="s">
        <v>1050</v>
      </c>
    </row>
    <row r="213" spans="1:18" x14ac:dyDescent="0.3">
      <c r="A213" t="s">
        <v>769</v>
      </c>
      <c r="B213" t="s">
        <v>27</v>
      </c>
      <c r="C213" t="s">
        <v>16</v>
      </c>
      <c r="D213" s="7">
        <v>45940</v>
      </c>
      <c r="E213" s="7">
        <v>45941</v>
      </c>
      <c r="F213" s="7">
        <v>45943</v>
      </c>
      <c r="G213" s="7">
        <v>45946</v>
      </c>
      <c r="H213" t="s">
        <v>752</v>
      </c>
      <c r="I213" t="s">
        <v>758</v>
      </c>
      <c r="K213">
        <v>1</v>
      </c>
      <c r="L213">
        <v>2</v>
      </c>
      <c r="M213">
        <v>3</v>
      </c>
      <c r="O213" s="7">
        <v>45940</v>
      </c>
      <c r="P213" s="7">
        <v>45941</v>
      </c>
      <c r="Q213" s="7">
        <v>45946</v>
      </c>
      <c r="R213" t="s">
        <v>1049</v>
      </c>
    </row>
    <row r="214" spans="1:18" x14ac:dyDescent="0.3">
      <c r="A214" t="s">
        <v>525</v>
      </c>
      <c r="B214" t="s">
        <v>29</v>
      </c>
      <c r="C214" t="s">
        <v>474</v>
      </c>
      <c r="D214" s="7">
        <v>45958</v>
      </c>
      <c r="E214" s="7">
        <v>45960</v>
      </c>
      <c r="F214" s="7">
        <v>45961</v>
      </c>
      <c r="G214" s="7">
        <v>45967</v>
      </c>
      <c r="H214" t="s">
        <v>17</v>
      </c>
      <c r="J214" s="7">
        <v>45980</v>
      </c>
      <c r="K214">
        <v>2</v>
      </c>
      <c r="L214">
        <v>1</v>
      </c>
      <c r="M214">
        <v>6</v>
      </c>
      <c r="N214">
        <v>4</v>
      </c>
      <c r="O214" s="7">
        <v>45958</v>
      </c>
      <c r="P214" s="7">
        <v>45960</v>
      </c>
      <c r="Q214" s="7">
        <v>45967</v>
      </c>
      <c r="R214" t="s">
        <v>1049</v>
      </c>
    </row>
    <row r="215" spans="1:18" x14ac:dyDescent="0.3">
      <c r="A215" t="s">
        <v>526</v>
      </c>
      <c r="B215" t="s">
        <v>27</v>
      </c>
      <c r="C215" t="s">
        <v>474</v>
      </c>
      <c r="D215" s="7">
        <v>45949</v>
      </c>
      <c r="E215" s="7">
        <v>45953</v>
      </c>
      <c r="F215" s="7">
        <v>45956</v>
      </c>
      <c r="G215" s="7">
        <v>45959</v>
      </c>
      <c r="H215" t="s">
        <v>17</v>
      </c>
      <c r="J215" s="7">
        <v>45970</v>
      </c>
      <c r="K215">
        <v>4</v>
      </c>
      <c r="L215">
        <v>3</v>
      </c>
      <c r="M215">
        <v>3</v>
      </c>
      <c r="N215">
        <v>2</v>
      </c>
      <c r="O215" s="7">
        <v>45949</v>
      </c>
      <c r="P215" s="7">
        <v>45953</v>
      </c>
      <c r="Q215" s="7">
        <v>45959</v>
      </c>
      <c r="R215" t="s">
        <v>1049</v>
      </c>
    </row>
    <row r="216" spans="1:18" x14ac:dyDescent="0.3">
      <c r="A216" t="s">
        <v>891</v>
      </c>
      <c r="B216" t="s">
        <v>15</v>
      </c>
      <c r="C216" t="s">
        <v>841</v>
      </c>
      <c r="D216" s="7">
        <v>45944</v>
      </c>
      <c r="H216" t="s">
        <v>752</v>
      </c>
      <c r="I216" t="s">
        <v>777</v>
      </c>
      <c r="O216" s="7">
        <v>45944</v>
      </c>
      <c r="R216" t="s">
        <v>1050</v>
      </c>
    </row>
    <row r="217" spans="1:18" x14ac:dyDescent="0.3">
      <c r="A217" t="s">
        <v>892</v>
      </c>
      <c r="B217" t="s">
        <v>29</v>
      </c>
      <c r="C217" t="s">
        <v>841</v>
      </c>
      <c r="D217" s="7">
        <v>45940</v>
      </c>
      <c r="H217" t="s">
        <v>752</v>
      </c>
      <c r="I217" t="s">
        <v>765</v>
      </c>
      <c r="O217" s="7">
        <v>45940</v>
      </c>
      <c r="R217" t="s">
        <v>1050</v>
      </c>
    </row>
    <row r="218" spans="1:18" x14ac:dyDescent="0.3">
      <c r="A218" t="s">
        <v>699</v>
      </c>
      <c r="B218" t="s">
        <v>22</v>
      </c>
      <c r="C218" t="s">
        <v>474</v>
      </c>
      <c r="D218" s="7">
        <v>45949</v>
      </c>
      <c r="E218" s="7">
        <v>45954</v>
      </c>
      <c r="F218" s="7">
        <v>45957</v>
      </c>
      <c r="G218" s="7">
        <v>45960</v>
      </c>
      <c r="H218" t="s">
        <v>17</v>
      </c>
      <c r="J218" s="7">
        <v>45982</v>
      </c>
      <c r="K218">
        <v>5</v>
      </c>
      <c r="L218">
        <v>3</v>
      </c>
      <c r="M218">
        <v>3</v>
      </c>
      <c r="N218">
        <v>0</v>
      </c>
      <c r="O218" s="7">
        <v>45949</v>
      </c>
      <c r="P218" s="7">
        <v>45954</v>
      </c>
      <c r="Q218" s="7">
        <v>45960</v>
      </c>
      <c r="R218" t="s">
        <v>1049</v>
      </c>
    </row>
    <row r="219" spans="1:18" x14ac:dyDescent="0.3">
      <c r="A219" t="s">
        <v>770</v>
      </c>
      <c r="B219" t="s">
        <v>15</v>
      </c>
      <c r="C219" t="s">
        <v>16</v>
      </c>
      <c r="D219" s="7">
        <v>45950</v>
      </c>
      <c r="E219" s="7">
        <v>45954</v>
      </c>
      <c r="F219" s="7">
        <v>45959</v>
      </c>
      <c r="G219" s="7">
        <v>45962</v>
      </c>
      <c r="H219" t="s">
        <v>752</v>
      </c>
      <c r="I219" t="s">
        <v>765</v>
      </c>
      <c r="K219">
        <v>4</v>
      </c>
      <c r="L219">
        <v>5</v>
      </c>
      <c r="M219">
        <v>3</v>
      </c>
      <c r="O219" s="7">
        <v>45950</v>
      </c>
      <c r="P219" s="7">
        <v>45954</v>
      </c>
      <c r="Q219" s="7">
        <v>45962</v>
      </c>
      <c r="R219" t="s">
        <v>1049</v>
      </c>
    </row>
    <row r="220" spans="1:18" x14ac:dyDescent="0.3">
      <c r="A220" t="s">
        <v>893</v>
      </c>
      <c r="B220" t="s">
        <v>29</v>
      </c>
      <c r="C220" t="s">
        <v>841</v>
      </c>
      <c r="D220" s="7">
        <v>45932</v>
      </c>
      <c r="H220" t="s">
        <v>752</v>
      </c>
      <c r="I220" t="s">
        <v>777</v>
      </c>
      <c r="O220" s="7">
        <v>45932</v>
      </c>
      <c r="R220" t="s">
        <v>1050</v>
      </c>
    </row>
    <row r="221" spans="1:18" x14ac:dyDescent="0.3">
      <c r="A221" t="s">
        <v>894</v>
      </c>
      <c r="B221" t="s">
        <v>29</v>
      </c>
      <c r="C221" t="s">
        <v>841</v>
      </c>
      <c r="D221" s="7">
        <v>45950</v>
      </c>
      <c r="H221" t="s">
        <v>752</v>
      </c>
      <c r="I221" t="s">
        <v>758</v>
      </c>
      <c r="O221" s="7">
        <v>45950</v>
      </c>
      <c r="R221" t="s">
        <v>1050</v>
      </c>
    </row>
    <row r="222" spans="1:18" x14ac:dyDescent="0.3">
      <c r="A222" t="s">
        <v>895</v>
      </c>
      <c r="B222" t="s">
        <v>22</v>
      </c>
      <c r="C222" t="s">
        <v>841</v>
      </c>
      <c r="D222" s="7">
        <v>45961</v>
      </c>
      <c r="H222" t="s">
        <v>752</v>
      </c>
      <c r="I222" t="s">
        <v>765</v>
      </c>
      <c r="O222" s="7">
        <v>45961</v>
      </c>
      <c r="R222" t="s">
        <v>1050</v>
      </c>
    </row>
    <row r="223" spans="1:18" x14ac:dyDescent="0.3">
      <c r="A223" t="s">
        <v>149</v>
      </c>
      <c r="B223" t="s">
        <v>27</v>
      </c>
      <c r="C223" t="s">
        <v>16</v>
      </c>
      <c r="D223" s="7">
        <v>45954</v>
      </c>
      <c r="E223" s="7">
        <v>45959</v>
      </c>
      <c r="F223" s="7">
        <v>45961</v>
      </c>
      <c r="G223" s="7">
        <v>45963</v>
      </c>
      <c r="H223" t="s">
        <v>17</v>
      </c>
      <c r="J223" s="7">
        <v>45991</v>
      </c>
      <c r="K223">
        <v>5</v>
      </c>
      <c r="L223">
        <v>2</v>
      </c>
      <c r="M223">
        <v>2</v>
      </c>
      <c r="N223">
        <v>3</v>
      </c>
      <c r="O223" s="7">
        <v>45954</v>
      </c>
      <c r="P223" s="7">
        <v>45959</v>
      </c>
      <c r="Q223" s="7">
        <v>45963</v>
      </c>
      <c r="R223" t="s">
        <v>1049</v>
      </c>
    </row>
    <row r="224" spans="1:18" x14ac:dyDescent="0.3">
      <c r="A224" t="s">
        <v>337</v>
      </c>
      <c r="B224" t="s">
        <v>27</v>
      </c>
      <c r="C224" t="s">
        <v>16</v>
      </c>
      <c r="D224" s="7">
        <v>45934</v>
      </c>
      <c r="E224" s="7">
        <v>45935</v>
      </c>
      <c r="F224" s="7">
        <v>45937</v>
      </c>
      <c r="G224" s="7">
        <v>45943</v>
      </c>
      <c r="H224" t="s">
        <v>17</v>
      </c>
      <c r="J224" s="7">
        <v>45970</v>
      </c>
      <c r="K224">
        <v>1</v>
      </c>
      <c r="L224">
        <v>2</v>
      </c>
      <c r="M224">
        <v>6</v>
      </c>
      <c r="N224">
        <v>1</v>
      </c>
      <c r="O224" s="7">
        <v>45934</v>
      </c>
      <c r="P224" s="7">
        <v>45935</v>
      </c>
      <c r="Q224" s="7">
        <v>45943</v>
      </c>
      <c r="R224" t="s">
        <v>1049</v>
      </c>
    </row>
    <row r="225" spans="1:18" x14ac:dyDescent="0.3">
      <c r="A225" t="s">
        <v>247</v>
      </c>
      <c r="B225" t="s">
        <v>15</v>
      </c>
      <c r="C225" t="s">
        <v>16</v>
      </c>
      <c r="D225" s="7">
        <v>45961</v>
      </c>
      <c r="E225" s="7">
        <v>45965</v>
      </c>
      <c r="F225" s="7">
        <v>45970</v>
      </c>
      <c r="G225" s="7">
        <v>45974</v>
      </c>
      <c r="H225" t="s">
        <v>17</v>
      </c>
      <c r="J225" s="7">
        <v>45999</v>
      </c>
      <c r="K225">
        <v>4</v>
      </c>
      <c r="L225">
        <v>5</v>
      </c>
      <c r="M225">
        <v>4</v>
      </c>
      <c r="N225">
        <v>7</v>
      </c>
      <c r="O225" s="7">
        <v>45961</v>
      </c>
      <c r="P225" s="7">
        <v>45965</v>
      </c>
      <c r="Q225" s="7">
        <v>45974</v>
      </c>
      <c r="R225" t="s">
        <v>1049</v>
      </c>
    </row>
    <row r="226" spans="1:18" x14ac:dyDescent="0.3">
      <c r="A226" t="s">
        <v>45</v>
      </c>
      <c r="B226" t="s">
        <v>22</v>
      </c>
      <c r="C226" t="s">
        <v>16</v>
      </c>
      <c r="D226" s="7">
        <v>45955</v>
      </c>
      <c r="E226" s="7">
        <v>45958</v>
      </c>
      <c r="F226" s="7">
        <v>45962</v>
      </c>
      <c r="G226" s="7">
        <v>45968</v>
      </c>
      <c r="H226" t="s">
        <v>17</v>
      </c>
      <c r="J226" s="7">
        <v>45982</v>
      </c>
      <c r="K226">
        <v>3</v>
      </c>
      <c r="L226">
        <v>4</v>
      </c>
      <c r="M226">
        <v>6</v>
      </c>
      <c r="N226">
        <v>3</v>
      </c>
      <c r="O226" s="7">
        <v>45955</v>
      </c>
      <c r="P226" s="7">
        <v>45958</v>
      </c>
      <c r="Q226" s="7">
        <v>45968</v>
      </c>
      <c r="R226" t="s">
        <v>1049</v>
      </c>
    </row>
    <row r="227" spans="1:18" x14ac:dyDescent="0.3">
      <c r="A227" t="s">
        <v>771</v>
      </c>
      <c r="B227" t="s">
        <v>27</v>
      </c>
      <c r="C227" t="s">
        <v>16</v>
      </c>
      <c r="D227" s="7">
        <v>45937</v>
      </c>
      <c r="E227" s="7">
        <v>45940</v>
      </c>
      <c r="F227" s="7">
        <v>45944</v>
      </c>
      <c r="G227" s="7">
        <v>45948</v>
      </c>
      <c r="H227" t="s">
        <v>752</v>
      </c>
      <c r="I227" t="s">
        <v>758</v>
      </c>
      <c r="K227">
        <v>3</v>
      </c>
      <c r="L227">
        <v>4</v>
      </c>
      <c r="M227">
        <v>4</v>
      </c>
      <c r="O227" s="7">
        <v>45937</v>
      </c>
      <c r="P227" s="7">
        <v>45940</v>
      </c>
      <c r="Q227" s="7">
        <v>45948</v>
      </c>
      <c r="R227" t="s">
        <v>1049</v>
      </c>
    </row>
    <row r="228" spans="1:18" x14ac:dyDescent="0.3">
      <c r="A228" t="s">
        <v>772</v>
      </c>
      <c r="B228" t="s">
        <v>22</v>
      </c>
      <c r="C228" t="s">
        <v>16</v>
      </c>
      <c r="D228" s="7">
        <v>45951</v>
      </c>
      <c r="E228" s="7">
        <v>45953</v>
      </c>
      <c r="F228" s="7">
        <v>45958</v>
      </c>
      <c r="G228" s="7">
        <v>45964</v>
      </c>
      <c r="H228" t="s">
        <v>752</v>
      </c>
      <c r="I228" t="s">
        <v>753</v>
      </c>
      <c r="K228">
        <v>2</v>
      </c>
      <c r="L228">
        <v>5</v>
      </c>
      <c r="M228">
        <v>6</v>
      </c>
      <c r="O228" s="7">
        <v>45951</v>
      </c>
      <c r="P228" s="7">
        <v>45953</v>
      </c>
      <c r="Q228" s="7">
        <v>45964</v>
      </c>
      <c r="R228" t="s">
        <v>1049</v>
      </c>
    </row>
    <row r="229" spans="1:18" x14ac:dyDescent="0.3">
      <c r="A229" t="s">
        <v>527</v>
      </c>
      <c r="B229" t="s">
        <v>27</v>
      </c>
      <c r="C229" t="s">
        <v>474</v>
      </c>
      <c r="D229" s="7">
        <v>45937</v>
      </c>
      <c r="E229" s="7">
        <v>45940</v>
      </c>
      <c r="F229" s="7">
        <v>45943</v>
      </c>
      <c r="G229" s="7">
        <v>45949</v>
      </c>
      <c r="H229" t="s">
        <v>17</v>
      </c>
      <c r="J229" s="7">
        <v>45960</v>
      </c>
      <c r="K229">
        <v>3</v>
      </c>
      <c r="L229">
        <v>3</v>
      </c>
      <c r="M229">
        <v>6</v>
      </c>
      <c r="N229">
        <v>4</v>
      </c>
      <c r="O229" s="7">
        <v>45937</v>
      </c>
      <c r="P229" s="7">
        <v>45940</v>
      </c>
      <c r="Q229" s="7">
        <v>45949</v>
      </c>
      <c r="R229" t="s">
        <v>1049</v>
      </c>
    </row>
    <row r="230" spans="1:18" x14ac:dyDescent="0.3">
      <c r="A230" t="s">
        <v>896</v>
      </c>
      <c r="B230" t="s">
        <v>29</v>
      </c>
      <c r="C230" t="s">
        <v>841</v>
      </c>
      <c r="D230" s="7">
        <v>45939</v>
      </c>
      <c r="H230" t="s">
        <v>752</v>
      </c>
      <c r="I230" t="s">
        <v>758</v>
      </c>
      <c r="O230" s="7">
        <v>45939</v>
      </c>
      <c r="R230" t="s">
        <v>1050</v>
      </c>
    </row>
    <row r="231" spans="1:18" x14ac:dyDescent="0.3">
      <c r="A231" t="s">
        <v>404</v>
      </c>
      <c r="B231" t="s">
        <v>27</v>
      </c>
      <c r="C231" t="s">
        <v>16</v>
      </c>
      <c r="D231" s="7">
        <v>45952</v>
      </c>
      <c r="E231" s="7">
        <v>45954</v>
      </c>
      <c r="F231" s="7">
        <v>45955</v>
      </c>
      <c r="G231" s="7">
        <v>45958</v>
      </c>
      <c r="H231" t="s">
        <v>17</v>
      </c>
      <c r="J231" s="7">
        <v>45979</v>
      </c>
      <c r="K231">
        <v>2</v>
      </c>
      <c r="L231">
        <v>1</v>
      </c>
      <c r="M231">
        <v>3</v>
      </c>
      <c r="N231">
        <v>2</v>
      </c>
      <c r="O231" s="7">
        <v>45952</v>
      </c>
      <c r="P231" s="7">
        <v>45954</v>
      </c>
      <c r="Q231" s="7">
        <v>45958</v>
      </c>
      <c r="R231" t="s">
        <v>1049</v>
      </c>
    </row>
    <row r="232" spans="1:18" x14ac:dyDescent="0.3">
      <c r="A232" t="s">
        <v>338</v>
      </c>
      <c r="B232" t="s">
        <v>22</v>
      </c>
      <c r="C232" t="s">
        <v>16</v>
      </c>
      <c r="D232" s="7">
        <v>45933</v>
      </c>
      <c r="E232" s="7">
        <v>45934</v>
      </c>
      <c r="F232" s="7">
        <v>45938</v>
      </c>
      <c r="G232" s="7">
        <v>45942</v>
      </c>
      <c r="H232" t="s">
        <v>17</v>
      </c>
      <c r="J232" s="7">
        <v>45952</v>
      </c>
      <c r="K232">
        <v>1</v>
      </c>
      <c r="L232">
        <v>4</v>
      </c>
      <c r="M232">
        <v>4</v>
      </c>
      <c r="N232">
        <v>2</v>
      </c>
      <c r="O232" s="7">
        <v>45933</v>
      </c>
      <c r="P232" s="7">
        <v>45934</v>
      </c>
      <c r="Q232" s="7">
        <v>45942</v>
      </c>
      <c r="R232" t="s">
        <v>1049</v>
      </c>
    </row>
    <row r="233" spans="1:18" x14ac:dyDescent="0.3">
      <c r="A233" t="s">
        <v>150</v>
      </c>
      <c r="B233" t="s">
        <v>29</v>
      </c>
      <c r="C233" t="s">
        <v>16</v>
      </c>
      <c r="D233" s="7">
        <v>45936</v>
      </c>
      <c r="E233" s="7">
        <v>45941</v>
      </c>
      <c r="F233" s="7">
        <v>45942</v>
      </c>
      <c r="G233" s="7">
        <v>45949</v>
      </c>
      <c r="H233" t="s">
        <v>17</v>
      </c>
      <c r="J233" s="7">
        <v>45972</v>
      </c>
      <c r="K233">
        <v>5</v>
      </c>
      <c r="L233">
        <v>1</v>
      </c>
      <c r="M233">
        <v>7</v>
      </c>
      <c r="N233">
        <v>8</v>
      </c>
      <c r="O233" s="7">
        <v>45936</v>
      </c>
      <c r="P233" s="7">
        <v>45941</v>
      </c>
      <c r="Q233" s="7">
        <v>45949</v>
      </c>
      <c r="R233" t="s">
        <v>1049</v>
      </c>
    </row>
    <row r="234" spans="1:18" x14ac:dyDescent="0.3">
      <c r="A234" t="s">
        <v>773</v>
      </c>
      <c r="B234" t="s">
        <v>29</v>
      </c>
      <c r="C234" t="s">
        <v>16</v>
      </c>
      <c r="D234" s="7">
        <v>45938</v>
      </c>
      <c r="E234" s="7">
        <v>45939</v>
      </c>
      <c r="F234" s="7">
        <v>45941</v>
      </c>
      <c r="G234" s="7">
        <v>45945</v>
      </c>
      <c r="H234" t="s">
        <v>752</v>
      </c>
      <c r="I234" t="s">
        <v>756</v>
      </c>
      <c r="K234">
        <v>1</v>
      </c>
      <c r="L234">
        <v>2</v>
      </c>
      <c r="M234">
        <v>4</v>
      </c>
      <c r="O234" s="7">
        <v>45938</v>
      </c>
      <c r="P234" s="7">
        <v>45939</v>
      </c>
      <c r="Q234" s="7">
        <v>45945</v>
      </c>
      <c r="R234" t="s">
        <v>1049</v>
      </c>
    </row>
    <row r="235" spans="1:18" x14ac:dyDescent="0.3">
      <c r="A235" t="s">
        <v>700</v>
      </c>
      <c r="B235" t="s">
        <v>29</v>
      </c>
      <c r="C235" t="s">
        <v>474</v>
      </c>
      <c r="D235" s="7">
        <v>45936</v>
      </c>
      <c r="E235" s="7">
        <v>45941</v>
      </c>
      <c r="F235" s="7">
        <v>45943</v>
      </c>
      <c r="G235" s="7">
        <v>45947</v>
      </c>
      <c r="H235" t="s">
        <v>17</v>
      </c>
      <c r="J235" s="7">
        <v>45959</v>
      </c>
      <c r="K235">
        <v>5</v>
      </c>
      <c r="L235">
        <v>2</v>
      </c>
      <c r="M235">
        <v>4</v>
      </c>
      <c r="N235">
        <v>9</v>
      </c>
      <c r="O235" s="7">
        <v>45936</v>
      </c>
      <c r="P235" s="7">
        <v>45941</v>
      </c>
      <c r="Q235" s="7">
        <v>45947</v>
      </c>
      <c r="R235" t="s">
        <v>1049</v>
      </c>
    </row>
    <row r="236" spans="1:18" x14ac:dyDescent="0.3">
      <c r="A236" t="s">
        <v>701</v>
      </c>
      <c r="B236" t="s">
        <v>22</v>
      </c>
      <c r="C236" t="s">
        <v>474</v>
      </c>
      <c r="D236" s="7">
        <v>45948</v>
      </c>
      <c r="E236" s="7">
        <v>45953</v>
      </c>
      <c r="F236" s="7">
        <v>45957</v>
      </c>
      <c r="G236" s="7">
        <v>45963</v>
      </c>
      <c r="H236" t="s">
        <v>17</v>
      </c>
      <c r="J236" s="7">
        <v>45982</v>
      </c>
      <c r="K236">
        <v>5</v>
      </c>
      <c r="L236">
        <v>4</v>
      </c>
      <c r="M236">
        <v>6</v>
      </c>
      <c r="N236">
        <v>4</v>
      </c>
      <c r="O236" s="7">
        <v>45948</v>
      </c>
      <c r="P236" s="7">
        <v>45953</v>
      </c>
      <c r="Q236" s="7">
        <v>45963</v>
      </c>
      <c r="R236" t="s">
        <v>1049</v>
      </c>
    </row>
    <row r="237" spans="1:18" x14ac:dyDescent="0.3">
      <c r="A237" t="s">
        <v>528</v>
      </c>
      <c r="B237" t="s">
        <v>15</v>
      </c>
      <c r="C237" t="s">
        <v>474</v>
      </c>
      <c r="D237" s="7">
        <v>45933</v>
      </c>
      <c r="E237" s="7">
        <v>45935</v>
      </c>
      <c r="F237" s="7">
        <v>45938</v>
      </c>
      <c r="G237" s="7">
        <v>45942</v>
      </c>
      <c r="H237" t="s">
        <v>17</v>
      </c>
      <c r="J237" s="7">
        <v>45972</v>
      </c>
      <c r="K237">
        <v>2</v>
      </c>
      <c r="L237">
        <v>3</v>
      </c>
      <c r="M237">
        <v>4</v>
      </c>
      <c r="N237">
        <v>7</v>
      </c>
      <c r="O237" s="7">
        <v>45933</v>
      </c>
      <c r="P237" s="7">
        <v>45935</v>
      </c>
      <c r="Q237" s="7">
        <v>45942</v>
      </c>
      <c r="R237" t="s">
        <v>1049</v>
      </c>
    </row>
    <row r="238" spans="1:18" x14ac:dyDescent="0.3">
      <c r="A238" t="s">
        <v>529</v>
      </c>
      <c r="B238" t="s">
        <v>15</v>
      </c>
      <c r="C238" t="s">
        <v>474</v>
      </c>
      <c r="D238" s="7">
        <v>45936</v>
      </c>
      <c r="E238" s="7">
        <v>45939</v>
      </c>
      <c r="F238" s="7">
        <v>45941</v>
      </c>
      <c r="G238" s="7">
        <v>45947</v>
      </c>
      <c r="H238" t="s">
        <v>17</v>
      </c>
      <c r="J238" s="7">
        <v>45976</v>
      </c>
      <c r="K238">
        <v>3</v>
      </c>
      <c r="L238">
        <v>2</v>
      </c>
      <c r="M238">
        <v>6</v>
      </c>
      <c r="N238">
        <v>7</v>
      </c>
      <c r="O238" s="7">
        <v>45936</v>
      </c>
      <c r="P238" s="7">
        <v>45939</v>
      </c>
      <c r="Q238" s="7">
        <v>45947</v>
      </c>
      <c r="R238" t="s">
        <v>1049</v>
      </c>
    </row>
    <row r="239" spans="1:18" x14ac:dyDescent="0.3">
      <c r="A239" t="s">
        <v>46</v>
      </c>
      <c r="B239" t="s">
        <v>15</v>
      </c>
      <c r="C239" t="s">
        <v>16</v>
      </c>
      <c r="D239" s="7">
        <v>45931</v>
      </c>
      <c r="E239" s="7">
        <v>45934</v>
      </c>
      <c r="F239" s="7">
        <v>45935</v>
      </c>
      <c r="G239" s="7">
        <v>45942</v>
      </c>
      <c r="H239" t="s">
        <v>17</v>
      </c>
      <c r="J239" s="7">
        <v>45967</v>
      </c>
      <c r="K239">
        <v>3</v>
      </c>
      <c r="L239">
        <v>1</v>
      </c>
      <c r="M239">
        <v>7</v>
      </c>
      <c r="N239">
        <v>0</v>
      </c>
      <c r="O239" s="7">
        <v>45931</v>
      </c>
      <c r="P239" s="7">
        <v>45934</v>
      </c>
      <c r="Q239" s="7">
        <v>45942</v>
      </c>
      <c r="R239" t="s">
        <v>1049</v>
      </c>
    </row>
    <row r="240" spans="1:18" x14ac:dyDescent="0.3">
      <c r="A240" t="s">
        <v>405</v>
      </c>
      <c r="B240" t="s">
        <v>22</v>
      </c>
      <c r="C240" t="s">
        <v>16</v>
      </c>
      <c r="D240" s="7">
        <v>45944</v>
      </c>
      <c r="E240" s="7">
        <v>45946</v>
      </c>
      <c r="F240" s="7">
        <v>45949</v>
      </c>
      <c r="G240" s="7">
        <v>45951</v>
      </c>
      <c r="H240" t="s">
        <v>17</v>
      </c>
      <c r="J240" s="7">
        <v>45967</v>
      </c>
      <c r="K240">
        <v>2</v>
      </c>
      <c r="L240">
        <v>3</v>
      </c>
      <c r="M240">
        <v>2</v>
      </c>
      <c r="N240">
        <v>1</v>
      </c>
      <c r="O240" s="7">
        <v>45944</v>
      </c>
      <c r="P240" s="7">
        <v>45946</v>
      </c>
      <c r="Q240" s="7">
        <v>45951</v>
      </c>
      <c r="R240" t="s">
        <v>1049</v>
      </c>
    </row>
    <row r="241" spans="1:18" x14ac:dyDescent="0.3">
      <c r="A241" t="s">
        <v>774</v>
      </c>
      <c r="B241" t="s">
        <v>29</v>
      </c>
      <c r="C241" t="s">
        <v>474</v>
      </c>
      <c r="D241" s="7">
        <v>45945</v>
      </c>
      <c r="E241" s="7">
        <v>45947</v>
      </c>
      <c r="F241" s="7">
        <v>45951</v>
      </c>
      <c r="G241" s="7">
        <v>45954</v>
      </c>
      <c r="H241" t="s">
        <v>752</v>
      </c>
      <c r="I241" t="s">
        <v>756</v>
      </c>
      <c r="K241">
        <v>2</v>
      </c>
      <c r="L241">
        <v>4</v>
      </c>
      <c r="M241">
        <v>3</v>
      </c>
      <c r="O241" s="7">
        <v>45945</v>
      </c>
      <c r="P241" s="7">
        <v>45947</v>
      </c>
      <c r="Q241" s="7">
        <v>45954</v>
      </c>
      <c r="R241" t="s">
        <v>1049</v>
      </c>
    </row>
    <row r="242" spans="1:18" x14ac:dyDescent="0.3">
      <c r="A242" t="s">
        <v>339</v>
      </c>
      <c r="B242" t="s">
        <v>15</v>
      </c>
      <c r="C242" t="s">
        <v>16</v>
      </c>
      <c r="D242" s="7">
        <v>45953</v>
      </c>
      <c r="E242" s="7">
        <v>45954</v>
      </c>
      <c r="F242" s="7">
        <v>45956</v>
      </c>
      <c r="G242" s="7">
        <v>45961</v>
      </c>
      <c r="H242" t="s">
        <v>17</v>
      </c>
      <c r="J242" s="7">
        <v>45974</v>
      </c>
      <c r="K242">
        <v>1</v>
      </c>
      <c r="L242">
        <v>2</v>
      </c>
      <c r="M242">
        <v>5</v>
      </c>
      <c r="N242">
        <v>9</v>
      </c>
      <c r="O242" s="7">
        <v>45953</v>
      </c>
      <c r="P242" s="7">
        <v>45954</v>
      </c>
      <c r="Q242" s="7">
        <v>45961</v>
      </c>
      <c r="R242" t="s">
        <v>1049</v>
      </c>
    </row>
    <row r="243" spans="1:18" x14ac:dyDescent="0.3">
      <c r="A243" t="s">
        <v>530</v>
      </c>
      <c r="B243" t="s">
        <v>22</v>
      </c>
      <c r="C243" t="s">
        <v>474</v>
      </c>
      <c r="D243" s="7">
        <v>45950</v>
      </c>
      <c r="E243" s="7">
        <v>45952</v>
      </c>
      <c r="F243" s="7">
        <v>45956</v>
      </c>
      <c r="G243" s="7">
        <v>45958</v>
      </c>
      <c r="H243" t="s">
        <v>17</v>
      </c>
      <c r="J243" s="7">
        <v>45968</v>
      </c>
      <c r="K243">
        <v>2</v>
      </c>
      <c r="L243">
        <v>4</v>
      </c>
      <c r="M243">
        <v>2</v>
      </c>
      <c r="N243">
        <v>1</v>
      </c>
      <c r="O243" s="7">
        <v>45950</v>
      </c>
      <c r="P243" s="7">
        <v>45952</v>
      </c>
      <c r="Q243" s="7">
        <v>45958</v>
      </c>
      <c r="R243" t="s">
        <v>1049</v>
      </c>
    </row>
    <row r="244" spans="1:18" x14ac:dyDescent="0.3">
      <c r="A244" t="s">
        <v>897</v>
      </c>
      <c r="B244" t="s">
        <v>15</v>
      </c>
      <c r="C244" t="s">
        <v>841</v>
      </c>
      <c r="D244" s="7">
        <v>45946</v>
      </c>
      <c r="H244" t="s">
        <v>752</v>
      </c>
      <c r="I244" t="s">
        <v>758</v>
      </c>
      <c r="O244" s="7">
        <v>45946</v>
      </c>
      <c r="R244" t="s">
        <v>1050</v>
      </c>
    </row>
    <row r="245" spans="1:18" x14ac:dyDescent="0.3">
      <c r="A245" t="s">
        <v>898</v>
      </c>
      <c r="B245" t="s">
        <v>27</v>
      </c>
      <c r="C245" t="s">
        <v>841</v>
      </c>
      <c r="D245" s="7">
        <v>45940</v>
      </c>
      <c r="H245" t="s">
        <v>752</v>
      </c>
      <c r="I245" t="s">
        <v>756</v>
      </c>
      <c r="O245" s="7">
        <v>45940</v>
      </c>
      <c r="R245" t="s">
        <v>1050</v>
      </c>
    </row>
    <row r="246" spans="1:18" x14ac:dyDescent="0.3">
      <c r="A246" t="s">
        <v>531</v>
      </c>
      <c r="B246" t="s">
        <v>15</v>
      </c>
      <c r="C246" t="s">
        <v>474</v>
      </c>
      <c r="D246" s="7">
        <v>45932</v>
      </c>
      <c r="E246" s="7">
        <v>45935</v>
      </c>
      <c r="F246" s="7">
        <v>45938</v>
      </c>
      <c r="G246" s="7">
        <v>45942</v>
      </c>
      <c r="H246" t="s">
        <v>17</v>
      </c>
      <c r="J246" s="7">
        <v>45958</v>
      </c>
      <c r="K246">
        <v>3</v>
      </c>
      <c r="L246">
        <v>3</v>
      </c>
      <c r="M246">
        <v>4</v>
      </c>
      <c r="N246">
        <v>6</v>
      </c>
      <c r="O246" s="7">
        <v>45932</v>
      </c>
      <c r="P246" s="7">
        <v>45935</v>
      </c>
      <c r="Q246" s="7">
        <v>45942</v>
      </c>
      <c r="R246" t="s">
        <v>1049</v>
      </c>
    </row>
    <row r="247" spans="1:18" x14ac:dyDescent="0.3">
      <c r="A247" t="s">
        <v>775</v>
      </c>
      <c r="B247" t="s">
        <v>15</v>
      </c>
      <c r="C247" t="s">
        <v>16</v>
      </c>
      <c r="D247" s="7">
        <v>45938</v>
      </c>
      <c r="E247" s="7">
        <v>45940</v>
      </c>
      <c r="F247" s="7">
        <v>45943</v>
      </c>
      <c r="G247" s="7">
        <v>45950</v>
      </c>
      <c r="H247" t="s">
        <v>752</v>
      </c>
      <c r="I247" t="s">
        <v>753</v>
      </c>
      <c r="K247">
        <v>2</v>
      </c>
      <c r="L247">
        <v>3</v>
      </c>
      <c r="M247">
        <v>7</v>
      </c>
      <c r="O247" s="7">
        <v>45938</v>
      </c>
      <c r="P247" s="7">
        <v>45940</v>
      </c>
      <c r="Q247" s="7">
        <v>45950</v>
      </c>
      <c r="R247" t="s">
        <v>1049</v>
      </c>
    </row>
    <row r="248" spans="1:18" x14ac:dyDescent="0.3">
      <c r="A248" t="s">
        <v>532</v>
      </c>
      <c r="B248" t="s">
        <v>29</v>
      </c>
      <c r="C248" t="s">
        <v>474</v>
      </c>
      <c r="D248" s="7">
        <v>45940</v>
      </c>
      <c r="E248" s="7">
        <v>45942</v>
      </c>
      <c r="F248" s="7">
        <v>45945</v>
      </c>
      <c r="G248" s="7">
        <v>45948</v>
      </c>
      <c r="H248" t="s">
        <v>17</v>
      </c>
      <c r="J248" s="7">
        <v>45963</v>
      </c>
      <c r="K248">
        <v>2</v>
      </c>
      <c r="L248">
        <v>3</v>
      </c>
      <c r="M248">
        <v>3</v>
      </c>
      <c r="N248">
        <v>6</v>
      </c>
      <c r="O248" s="7">
        <v>45940</v>
      </c>
      <c r="P248" s="7">
        <v>45942</v>
      </c>
      <c r="Q248" s="7">
        <v>45948</v>
      </c>
      <c r="R248" t="s">
        <v>1049</v>
      </c>
    </row>
    <row r="249" spans="1:18" x14ac:dyDescent="0.3">
      <c r="A249" t="s">
        <v>151</v>
      </c>
      <c r="B249" t="s">
        <v>22</v>
      </c>
      <c r="C249" t="s">
        <v>16</v>
      </c>
      <c r="D249" s="7">
        <v>45953</v>
      </c>
      <c r="E249" s="7">
        <v>45958</v>
      </c>
      <c r="F249" s="7">
        <v>45963</v>
      </c>
      <c r="G249" s="7">
        <v>45970</v>
      </c>
      <c r="H249" t="s">
        <v>17</v>
      </c>
      <c r="J249" s="7">
        <v>46000</v>
      </c>
      <c r="K249">
        <v>5</v>
      </c>
      <c r="L249">
        <v>5</v>
      </c>
      <c r="M249">
        <v>7</v>
      </c>
      <c r="N249">
        <v>4</v>
      </c>
      <c r="O249" s="7">
        <v>45953</v>
      </c>
      <c r="P249" s="7">
        <v>45958</v>
      </c>
      <c r="Q249" s="7">
        <v>45970</v>
      </c>
      <c r="R249" t="s">
        <v>1049</v>
      </c>
    </row>
    <row r="250" spans="1:18" x14ac:dyDescent="0.3">
      <c r="A250" t="s">
        <v>406</v>
      </c>
      <c r="B250" t="s">
        <v>29</v>
      </c>
      <c r="C250" t="s">
        <v>16</v>
      </c>
      <c r="D250" s="7">
        <v>45940</v>
      </c>
      <c r="E250" s="7">
        <v>45942</v>
      </c>
      <c r="F250" s="7">
        <v>45947</v>
      </c>
      <c r="G250" s="7">
        <v>45950</v>
      </c>
      <c r="H250" t="s">
        <v>17</v>
      </c>
      <c r="J250" s="7">
        <v>45969</v>
      </c>
      <c r="K250">
        <v>2</v>
      </c>
      <c r="L250">
        <v>5</v>
      </c>
      <c r="M250">
        <v>3</v>
      </c>
      <c r="N250">
        <v>7</v>
      </c>
      <c r="O250" s="7">
        <v>45940</v>
      </c>
      <c r="P250" s="7">
        <v>45942</v>
      </c>
      <c r="Q250" s="7">
        <v>45950</v>
      </c>
      <c r="R250" t="s">
        <v>1049</v>
      </c>
    </row>
    <row r="251" spans="1:18" x14ac:dyDescent="0.3">
      <c r="A251" t="s">
        <v>533</v>
      </c>
      <c r="B251" t="s">
        <v>29</v>
      </c>
      <c r="C251" t="s">
        <v>474</v>
      </c>
      <c r="D251" s="7">
        <v>45953</v>
      </c>
      <c r="E251" s="7">
        <v>45954</v>
      </c>
      <c r="F251" s="7">
        <v>45955</v>
      </c>
      <c r="G251" s="7">
        <v>45958</v>
      </c>
      <c r="H251" t="s">
        <v>17</v>
      </c>
      <c r="J251" s="7">
        <v>45970</v>
      </c>
      <c r="K251">
        <v>1</v>
      </c>
      <c r="L251">
        <v>1</v>
      </c>
      <c r="M251">
        <v>3</v>
      </c>
      <c r="N251">
        <v>3</v>
      </c>
      <c r="O251" s="7">
        <v>45953</v>
      </c>
      <c r="P251" s="7">
        <v>45954</v>
      </c>
      <c r="Q251" s="7">
        <v>45958</v>
      </c>
      <c r="R251" t="s">
        <v>1049</v>
      </c>
    </row>
    <row r="252" spans="1:18" x14ac:dyDescent="0.3">
      <c r="A252" t="s">
        <v>407</v>
      </c>
      <c r="B252" t="s">
        <v>29</v>
      </c>
      <c r="C252" t="s">
        <v>16</v>
      </c>
      <c r="D252" s="7">
        <v>45958</v>
      </c>
      <c r="E252" s="7">
        <v>45960</v>
      </c>
      <c r="F252" s="7">
        <v>45963</v>
      </c>
      <c r="G252" s="7">
        <v>45966</v>
      </c>
      <c r="H252" t="s">
        <v>17</v>
      </c>
      <c r="J252" s="7">
        <v>45991</v>
      </c>
      <c r="K252">
        <v>2</v>
      </c>
      <c r="L252">
        <v>3</v>
      </c>
      <c r="M252">
        <v>3</v>
      </c>
      <c r="N252">
        <v>2</v>
      </c>
      <c r="O252" s="7">
        <v>45958</v>
      </c>
      <c r="P252" s="7">
        <v>45960</v>
      </c>
      <c r="Q252" s="7">
        <v>45966</v>
      </c>
      <c r="R252" t="s">
        <v>1049</v>
      </c>
    </row>
    <row r="253" spans="1:18" x14ac:dyDescent="0.3">
      <c r="A253" t="s">
        <v>534</v>
      </c>
      <c r="B253" t="s">
        <v>29</v>
      </c>
      <c r="C253" t="s">
        <v>474</v>
      </c>
      <c r="D253" s="7">
        <v>45945</v>
      </c>
      <c r="E253" s="7">
        <v>45949</v>
      </c>
      <c r="F253" s="7">
        <v>45952</v>
      </c>
      <c r="G253" s="7">
        <v>45959</v>
      </c>
      <c r="H253" t="s">
        <v>17</v>
      </c>
      <c r="J253" s="7">
        <v>45972</v>
      </c>
      <c r="K253">
        <v>4</v>
      </c>
      <c r="L253">
        <v>3</v>
      </c>
      <c r="M253">
        <v>7</v>
      </c>
      <c r="N253">
        <v>6</v>
      </c>
      <c r="O253" s="7">
        <v>45945</v>
      </c>
      <c r="P253" s="7">
        <v>45949</v>
      </c>
      <c r="Q253" s="7">
        <v>45959</v>
      </c>
      <c r="R253" t="s">
        <v>1049</v>
      </c>
    </row>
    <row r="254" spans="1:18" x14ac:dyDescent="0.3">
      <c r="A254" t="s">
        <v>535</v>
      </c>
      <c r="B254" t="s">
        <v>29</v>
      </c>
      <c r="C254" t="s">
        <v>474</v>
      </c>
      <c r="D254" s="7">
        <v>45933</v>
      </c>
      <c r="E254" s="7">
        <v>45937</v>
      </c>
      <c r="F254" s="7">
        <v>45939</v>
      </c>
      <c r="G254" s="7">
        <v>45943</v>
      </c>
      <c r="H254" t="s">
        <v>17</v>
      </c>
      <c r="J254" s="7">
        <v>45962</v>
      </c>
      <c r="K254">
        <v>4</v>
      </c>
      <c r="L254">
        <v>2</v>
      </c>
      <c r="M254">
        <v>4</v>
      </c>
      <c r="N254">
        <v>10</v>
      </c>
      <c r="O254" s="7">
        <v>45933</v>
      </c>
      <c r="P254" s="7">
        <v>45937</v>
      </c>
      <c r="Q254" s="7">
        <v>45943</v>
      </c>
      <c r="R254" t="s">
        <v>1049</v>
      </c>
    </row>
    <row r="255" spans="1:18" x14ac:dyDescent="0.3">
      <c r="A255" t="s">
        <v>152</v>
      </c>
      <c r="B255" t="s">
        <v>15</v>
      </c>
      <c r="C255" t="s">
        <v>16</v>
      </c>
      <c r="D255" s="7">
        <v>45952</v>
      </c>
      <c r="E255" s="7">
        <v>45957</v>
      </c>
      <c r="F255" s="7">
        <v>45958</v>
      </c>
      <c r="G255" s="7">
        <v>45961</v>
      </c>
      <c r="H255" t="s">
        <v>17</v>
      </c>
      <c r="J255" s="7">
        <v>45983</v>
      </c>
      <c r="K255">
        <v>5</v>
      </c>
      <c r="L255">
        <v>1</v>
      </c>
      <c r="M255">
        <v>3</v>
      </c>
      <c r="N255">
        <v>4</v>
      </c>
      <c r="O255" s="7">
        <v>45952</v>
      </c>
      <c r="P255" s="7">
        <v>45957</v>
      </c>
      <c r="Q255" s="7">
        <v>45961</v>
      </c>
      <c r="R255" t="s">
        <v>1049</v>
      </c>
    </row>
    <row r="256" spans="1:18" x14ac:dyDescent="0.3">
      <c r="A256" t="s">
        <v>153</v>
      </c>
      <c r="B256" t="s">
        <v>29</v>
      </c>
      <c r="C256" t="s">
        <v>16</v>
      </c>
      <c r="D256" s="7">
        <v>45938</v>
      </c>
      <c r="E256" s="7">
        <v>45943</v>
      </c>
      <c r="F256" s="7">
        <v>45944</v>
      </c>
      <c r="G256" s="7">
        <v>45951</v>
      </c>
      <c r="H256" t="s">
        <v>17</v>
      </c>
      <c r="J256" s="7">
        <v>45976</v>
      </c>
      <c r="K256">
        <v>5</v>
      </c>
      <c r="L256">
        <v>1</v>
      </c>
      <c r="M256">
        <v>7</v>
      </c>
      <c r="N256">
        <v>5</v>
      </c>
      <c r="O256" s="7">
        <v>45938</v>
      </c>
      <c r="P256" s="7">
        <v>45943</v>
      </c>
      <c r="Q256" s="7">
        <v>45951</v>
      </c>
      <c r="R256" t="s">
        <v>1049</v>
      </c>
    </row>
    <row r="257" spans="1:18" x14ac:dyDescent="0.3">
      <c r="A257" t="s">
        <v>776</v>
      </c>
      <c r="B257" t="s">
        <v>29</v>
      </c>
      <c r="C257" t="s">
        <v>16</v>
      </c>
      <c r="D257" s="7">
        <v>45960</v>
      </c>
      <c r="E257" s="7">
        <v>45964</v>
      </c>
      <c r="F257" s="7">
        <v>45968</v>
      </c>
      <c r="G257" s="7">
        <v>45973</v>
      </c>
      <c r="H257" t="s">
        <v>752</v>
      </c>
      <c r="I257" t="s">
        <v>777</v>
      </c>
      <c r="K257">
        <v>4</v>
      </c>
      <c r="L257">
        <v>4</v>
      </c>
      <c r="M257">
        <v>5</v>
      </c>
      <c r="O257" s="7">
        <v>45960</v>
      </c>
      <c r="P257" s="7">
        <v>45964</v>
      </c>
      <c r="Q257" s="7">
        <v>45973</v>
      </c>
      <c r="R257" t="s">
        <v>1049</v>
      </c>
    </row>
    <row r="258" spans="1:18" x14ac:dyDescent="0.3">
      <c r="A258" t="s">
        <v>154</v>
      </c>
      <c r="B258" t="s">
        <v>22</v>
      </c>
      <c r="C258" t="s">
        <v>16</v>
      </c>
      <c r="D258" s="7">
        <v>45939</v>
      </c>
      <c r="E258" s="7">
        <v>45944</v>
      </c>
      <c r="F258" s="7">
        <v>45947</v>
      </c>
      <c r="G258" s="7">
        <v>45952</v>
      </c>
      <c r="H258" t="s">
        <v>17</v>
      </c>
      <c r="J258" s="7">
        <v>45977</v>
      </c>
      <c r="K258">
        <v>5</v>
      </c>
      <c r="L258">
        <v>3</v>
      </c>
      <c r="M258">
        <v>5</v>
      </c>
      <c r="N258">
        <v>3</v>
      </c>
      <c r="O258" s="7">
        <v>45939</v>
      </c>
      <c r="P258" s="7">
        <v>45944</v>
      </c>
      <c r="Q258" s="7">
        <v>45952</v>
      </c>
      <c r="R258" t="s">
        <v>1049</v>
      </c>
    </row>
    <row r="259" spans="1:18" x14ac:dyDescent="0.3">
      <c r="A259" t="s">
        <v>899</v>
      </c>
      <c r="B259" t="s">
        <v>27</v>
      </c>
      <c r="C259" t="s">
        <v>841</v>
      </c>
      <c r="D259" s="7">
        <v>45956</v>
      </c>
      <c r="H259" t="s">
        <v>752</v>
      </c>
      <c r="I259" t="s">
        <v>756</v>
      </c>
      <c r="O259" s="7">
        <v>45956</v>
      </c>
      <c r="R259" t="s">
        <v>1050</v>
      </c>
    </row>
    <row r="260" spans="1:18" x14ac:dyDescent="0.3">
      <c r="A260" t="s">
        <v>778</v>
      </c>
      <c r="B260" t="s">
        <v>15</v>
      </c>
      <c r="C260" t="s">
        <v>474</v>
      </c>
      <c r="D260" s="7">
        <v>45956</v>
      </c>
      <c r="E260" s="7">
        <v>45961</v>
      </c>
      <c r="F260" s="7">
        <v>45963</v>
      </c>
      <c r="G260" s="7">
        <v>45966</v>
      </c>
      <c r="H260" t="s">
        <v>752</v>
      </c>
      <c r="I260" t="s">
        <v>756</v>
      </c>
      <c r="K260">
        <v>5</v>
      </c>
      <c r="L260">
        <v>2</v>
      </c>
      <c r="M260">
        <v>3</v>
      </c>
      <c r="O260" s="7">
        <v>45956</v>
      </c>
      <c r="P260" s="7">
        <v>45961</v>
      </c>
      <c r="Q260" s="7">
        <v>45966</v>
      </c>
      <c r="R260" t="s">
        <v>1049</v>
      </c>
    </row>
    <row r="261" spans="1:18" x14ac:dyDescent="0.3">
      <c r="A261" t="s">
        <v>47</v>
      </c>
      <c r="B261" t="s">
        <v>15</v>
      </c>
      <c r="C261" t="s">
        <v>16</v>
      </c>
      <c r="D261" s="7">
        <v>45951</v>
      </c>
      <c r="E261" s="7">
        <v>45954</v>
      </c>
      <c r="F261" s="7">
        <v>45958</v>
      </c>
      <c r="G261" s="7">
        <v>45964</v>
      </c>
      <c r="H261" t="s">
        <v>17</v>
      </c>
      <c r="J261" s="7">
        <v>45982</v>
      </c>
      <c r="K261">
        <v>3</v>
      </c>
      <c r="L261">
        <v>4</v>
      </c>
      <c r="M261">
        <v>6</v>
      </c>
      <c r="N261">
        <v>4</v>
      </c>
      <c r="O261" s="7">
        <v>45951</v>
      </c>
      <c r="P261" s="7">
        <v>45954</v>
      </c>
      <c r="Q261" s="7">
        <v>45964</v>
      </c>
      <c r="R261" t="s">
        <v>1049</v>
      </c>
    </row>
    <row r="262" spans="1:18" x14ac:dyDescent="0.3">
      <c r="A262" t="s">
        <v>48</v>
      </c>
      <c r="B262" t="s">
        <v>15</v>
      </c>
      <c r="C262" t="s">
        <v>16</v>
      </c>
      <c r="D262" s="7">
        <v>45949</v>
      </c>
      <c r="E262" s="7">
        <v>45952</v>
      </c>
      <c r="F262" s="7">
        <v>45957</v>
      </c>
      <c r="G262" s="7">
        <v>45964</v>
      </c>
      <c r="H262" t="s">
        <v>17</v>
      </c>
      <c r="J262" s="7">
        <v>45976</v>
      </c>
      <c r="K262">
        <v>3</v>
      </c>
      <c r="L262">
        <v>5</v>
      </c>
      <c r="M262">
        <v>7</v>
      </c>
      <c r="N262">
        <v>2</v>
      </c>
      <c r="O262" s="7">
        <v>45949</v>
      </c>
      <c r="P262" s="7">
        <v>45952</v>
      </c>
      <c r="Q262" s="7">
        <v>45964</v>
      </c>
      <c r="R262" t="s">
        <v>1049</v>
      </c>
    </row>
    <row r="263" spans="1:18" x14ac:dyDescent="0.3">
      <c r="A263" t="s">
        <v>408</v>
      </c>
      <c r="B263" t="s">
        <v>29</v>
      </c>
      <c r="C263" t="s">
        <v>16</v>
      </c>
      <c r="D263" s="7">
        <v>45952</v>
      </c>
      <c r="E263" s="7">
        <v>45954</v>
      </c>
      <c r="F263" s="7">
        <v>45957</v>
      </c>
      <c r="G263" s="7">
        <v>45961</v>
      </c>
      <c r="H263" t="s">
        <v>17</v>
      </c>
      <c r="J263" s="7">
        <v>45991</v>
      </c>
      <c r="K263">
        <v>2</v>
      </c>
      <c r="L263">
        <v>3</v>
      </c>
      <c r="M263">
        <v>4</v>
      </c>
      <c r="N263">
        <v>9</v>
      </c>
      <c r="O263" s="7">
        <v>45952</v>
      </c>
      <c r="P263" s="7">
        <v>45954</v>
      </c>
      <c r="Q263" s="7">
        <v>45961</v>
      </c>
      <c r="R263" t="s">
        <v>1049</v>
      </c>
    </row>
    <row r="264" spans="1:18" x14ac:dyDescent="0.3">
      <c r="A264" t="s">
        <v>900</v>
      </c>
      <c r="B264" t="s">
        <v>29</v>
      </c>
      <c r="C264" t="s">
        <v>841</v>
      </c>
      <c r="D264" s="7">
        <v>45956</v>
      </c>
      <c r="H264" t="s">
        <v>752</v>
      </c>
      <c r="I264" t="s">
        <v>758</v>
      </c>
      <c r="O264" s="7">
        <v>45956</v>
      </c>
      <c r="R264" t="s">
        <v>1050</v>
      </c>
    </row>
    <row r="265" spans="1:18" x14ac:dyDescent="0.3">
      <c r="A265" t="s">
        <v>248</v>
      </c>
      <c r="B265" t="s">
        <v>29</v>
      </c>
      <c r="C265" t="s">
        <v>16</v>
      </c>
      <c r="D265" s="7">
        <v>45960</v>
      </c>
      <c r="E265" s="7">
        <v>45964</v>
      </c>
      <c r="F265" s="7">
        <v>45965</v>
      </c>
      <c r="G265" s="7">
        <v>45972</v>
      </c>
      <c r="H265" t="s">
        <v>17</v>
      </c>
      <c r="J265" s="7">
        <v>45999</v>
      </c>
      <c r="K265">
        <v>4</v>
      </c>
      <c r="L265">
        <v>1</v>
      </c>
      <c r="M265">
        <v>7</v>
      </c>
      <c r="N265">
        <v>5</v>
      </c>
      <c r="O265" s="7">
        <v>45960</v>
      </c>
      <c r="P265" s="7">
        <v>45964</v>
      </c>
      <c r="Q265" s="7">
        <v>45972</v>
      </c>
      <c r="R265" t="s">
        <v>1049</v>
      </c>
    </row>
    <row r="266" spans="1:18" x14ac:dyDescent="0.3">
      <c r="A266" t="s">
        <v>340</v>
      </c>
      <c r="B266" t="s">
        <v>22</v>
      </c>
      <c r="C266" t="s">
        <v>16</v>
      </c>
      <c r="D266" s="7">
        <v>45937</v>
      </c>
      <c r="E266" s="7">
        <v>45938</v>
      </c>
      <c r="F266" s="7">
        <v>45941</v>
      </c>
      <c r="G266" s="7">
        <v>45946</v>
      </c>
      <c r="H266" t="s">
        <v>17</v>
      </c>
      <c r="J266" s="7">
        <v>45968</v>
      </c>
      <c r="K266">
        <v>1</v>
      </c>
      <c r="L266">
        <v>3</v>
      </c>
      <c r="M266">
        <v>5</v>
      </c>
      <c r="N266">
        <v>7</v>
      </c>
      <c r="O266" s="7">
        <v>45937</v>
      </c>
      <c r="P266" s="7">
        <v>45938</v>
      </c>
      <c r="Q266" s="7">
        <v>45946</v>
      </c>
      <c r="R266" t="s">
        <v>1049</v>
      </c>
    </row>
    <row r="267" spans="1:18" x14ac:dyDescent="0.3">
      <c r="A267" t="s">
        <v>249</v>
      </c>
      <c r="B267" t="s">
        <v>27</v>
      </c>
      <c r="C267" t="s">
        <v>16</v>
      </c>
      <c r="D267" s="7">
        <v>45944</v>
      </c>
      <c r="E267" s="7">
        <v>45948</v>
      </c>
      <c r="F267" s="7">
        <v>45951</v>
      </c>
      <c r="G267" s="7">
        <v>45956</v>
      </c>
      <c r="H267" t="s">
        <v>17</v>
      </c>
      <c r="J267" s="7">
        <v>45971</v>
      </c>
      <c r="K267">
        <v>4</v>
      </c>
      <c r="L267">
        <v>3</v>
      </c>
      <c r="M267">
        <v>5</v>
      </c>
      <c r="N267">
        <v>5</v>
      </c>
      <c r="O267" s="7">
        <v>45944</v>
      </c>
      <c r="P267" s="7">
        <v>45948</v>
      </c>
      <c r="Q267" s="7">
        <v>45956</v>
      </c>
      <c r="R267" t="s">
        <v>1049</v>
      </c>
    </row>
    <row r="268" spans="1:18" x14ac:dyDescent="0.3">
      <c r="A268" t="s">
        <v>901</v>
      </c>
      <c r="B268" t="s">
        <v>29</v>
      </c>
      <c r="C268" t="s">
        <v>841</v>
      </c>
      <c r="D268" s="7">
        <v>45934</v>
      </c>
      <c r="H268" t="s">
        <v>752</v>
      </c>
      <c r="I268" t="s">
        <v>753</v>
      </c>
      <c r="O268" s="7">
        <v>45934</v>
      </c>
      <c r="R268" t="s">
        <v>1050</v>
      </c>
    </row>
    <row r="269" spans="1:18" x14ac:dyDescent="0.3">
      <c r="A269" t="s">
        <v>902</v>
      </c>
      <c r="B269" t="s">
        <v>27</v>
      </c>
      <c r="C269" t="s">
        <v>841</v>
      </c>
      <c r="D269" s="7">
        <v>45948</v>
      </c>
      <c r="H269" t="s">
        <v>752</v>
      </c>
      <c r="I269" t="s">
        <v>777</v>
      </c>
      <c r="O269" s="7">
        <v>45948</v>
      </c>
      <c r="R269" t="s">
        <v>1050</v>
      </c>
    </row>
    <row r="270" spans="1:18" x14ac:dyDescent="0.3">
      <c r="A270" t="s">
        <v>250</v>
      </c>
      <c r="B270" t="s">
        <v>22</v>
      </c>
      <c r="C270" t="s">
        <v>16</v>
      </c>
      <c r="D270" s="7">
        <v>45938</v>
      </c>
      <c r="E270" s="7">
        <v>45942</v>
      </c>
      <c r="F270" s="7">
        <v>45947</v>
      </c>
      <c r="G270" s="7">
        <v>45952</v>
      </c>
      <c r="H270" t="s">
        <v>17</v>
      </c>
      <c r="J270" s="7">
        <v>45973</v>
      </c>
      <c r="K270">
        <v>4</v>
      </c>
      <c r="L270">
        <v>5</v>
      </c>
      <c r="M270">
        <v>5</v>
      </c>
      <c r="N270">
        <v>6</v>
      </c>
      <c r="O270" s="7">
        <v>45938</v>
      </c>
      <c r="P270" s="7">
        <v>45942</v>
      </c>
      <c r="Q270" s="7">
        <v>45952</v>
      </c>
      <c r="R270" t="s">
        <v>1049</v>
      </c>
    </row>
    <row r="271" spans="1:18" x14ac:dyDescent="0.3">
      <c r="A271" t="s">
        <v>49</v>
      </c>
      <c r="B271" t="s">
        <v>15</v>
      </c>
      <c r="C271" t="s">
        <v>16</v>
      </c>
      <c r="D271" s="7">
        <v>45951</v>
      </c>
      <c r="E271" s="7">
        <v>45954</v>
      </c>
      <c r="F271" s="7">
        <v>45956</v>
      </c>
      <c r="G271" s="7">
        <v>45958</v>
      </c>
      <c r="H271" t="s">
        <v>17</v>
      </c>
      <c r="J271" s="7">
        <v>45980</v>
      </c>
      <c r="K271">
        <v>3</v>
      </c>
      <c r="L271">
        <v>2</v>
      </c>
      <c r="M271">
        <v>2</v>
      </c>
      <c r="N271">
        <v>1</v>
      </c>
      <c r="O271" s="7">
        <v>45951</v>
      </c>
      <c r="P271" s="7">
        <v>45954</v>
      </c>
      <c r="Q271" s="7">
        <v>45958</v>
      </c>
      <c r="R271" t="s">
        <v>1049</v>
      </c>
    </row>
    <row r="272" spans="1:18" x14ac:dyDescent="0.3">
      <c r="A272" t="s">
        <v>536</v>
      </c>
      <c r="B272" t="s">
        <v>29</v>
      </c>
      <c r="C272" t="s">
        <v>474</v>
      </c>
      <c r="D272" s="7">
        <v>45935</v>
      </c>
      <c r="E272" s="7">
        <v>45938</v>
      </c>
      <c r="F272" s="7">
        <v>45940</v>
      </c>
      <c r="G272" s="7">
        <v>45947</v>
      </c>
      <c r="H272" t="s">
        <v>17</v>
      </c>
      <c r="J272" s="7">
        <v>45968</v>
      </c>
      <c r="K272">
        <v>3</v>
      </c>
      <c r="L272">
        <v>2</v>
      </c>
      <c r="M272">
        <v>7</v>
      </c>
      <c r="N272">
        <v>5</v>
      </c>
      <c r="O272" s="7">
        <v>45935</v>
      </c>
      <c r="P272" s="7">
        <v>45938</v>
      </c>
      <c r="Q272" s="7">
        <v>45947</v>
      </c>
      <c r="R272" t="s">
        <v>1049</v>
      </c>
    </row>
    <row r="273" spans="1:18" x14ac:dyDescent="0.3">
      <c r="A273" t="s">
        <v>702</v>
      </c>
      <c r="B273" t="s">
        <v>27</v>
      </c>
      <c r="C273" t="s">
        <v>474</v>
      </c>
      <c r="D273" s="7">
        <v>45960</v>
      </c>
      <c r="E273" s="7">
        <v>45965</v>
      </c>
      <c r="F273" s="7">
        <v>45967</v>
      </c>
      <c r="G273" s="7">
        <v>45969</v>
      </c>
      <c r="H273" t="s">
        <v>17</v>
      </c>
      <c r="J273" s="7">
        <v>45984</v>
      </c>
      <c r="K273">
        <v>5</v>
      </c>
      <c r="L273">
        <v>2</v>
      </c>
      <c r="M273">
        <v>2</v>
      </c>
      <c r="N273">
        <v>6</v>
      </c>
      <c r="O273" s="7">
        <v>45960</v>
      </c>
      <c r="P273" s="7">
        <v>45965</v>
      </c>
      <c r="Q273" s="7">
        <v>45969</v>
      </c>
      <c r="R273" t="s">
        <v>1049</v>
      </c>
    </row>
    <row r="274" spans="1:18" x14ac:dyDescent="0.3">
      <c r="A274" t="s">
        <v>341</v>
      </c>
      <c r="B274" t="s">
        <v>27</v>
      </c>
      <c r="C274" t="s">
        <v>16</v>
      </c>
      <c r="D274" s="7">
        <v>45939</v>
      </c>
      <c r="E274" s="7">
        <v>45940</v>
      </c>
      <c r="F274" s="7">
        <v>45944</v>
      </c>
      <c r="G274" s="7">
        <v>45949</v>
      </c>
      <c r="H274" t="s">
        <v>17</v>
      </c>
      <c r="J274" s="7">
        <v>45973</v>
      </c>
      <c r="K274">
        <v>1</v>
      </c>
      <c r="L274">
        <v>4</v>
      </c>
      <c r="M274">
        <v>5</v>
      </c>
      <c r="N274">
        <v>9</v>
      </c>
      <c r="O274" s="7">
        <v>45939</v>
      </c>
      <c r="P274" s="7">
        <v>45940</v>
      </c>
      <c r="Q274" s="7">
        <v>45949</v>
      </c>
      <c r="R274" t="s">
        <v>1049</v>
      </c>
    </row>
    <row r="275" spans="1:18" x14ac:dyDescent="0.3">
      <c r="A275" t="s">
        <v>537</v>
      </c>
      <c r="B275" t="s">
        <v>29</v>
      </c>
      <c r="C275" t="s">
        <v>474</v>
      </c>
      <c r="D275" s="7">
        <v>45957</v>
      </c>
      <c r="E275" s="7">
        <v>45960</v>
      </c>
      <c r="F275" s="7">
        <v>45962</v>
      </c>
      <c r="G275" s="7">
        <v>45968</v>
      </c>
      <c r="H275" t="s">
        <v>17</v>
      </c>
      <c r="J275" s="7">
        <v>45979</v>
      </c>
      <c r="K275">
        <v>3</v>
      </c>
      <c r="L275">
        <v>2</v>
      </c>
      <c r="M275">
        <v>6</v>
      </c>
      <c r="N275">
        <v>2</v>
      </c>
      <c r="O275" s="7">
        <v>45957</v>
      </c>
      <c r="P275" s="7">
        <v>45960</v>
      </c>
      <c r="Q275" s="7">
        <v>45968</v>
      </c>
      <c r="R275" t="s">
        <v>1049</v>
      </c>
    </row>
    <row r="276" spans="1:18" x14ac:dyDescent="0.3">
      <c r="A276" t="s">
        <v>155</v>
      </c>
      <c r="B276" t="s">
        <v>15</v>
      </c>
      <c r="C276" t="s">
        <v>16</v>
      </c>
      <c r="D276" s="7">
        <v>45935</v>
      </c>
      <c r="E276" s="7">
        <v>45940</v>
      </c>
      <c r="F276" s="7">
        <v>45944</v>
      </c>
      <c r="G276" s="7">
        <v>45951</v>
      </c>
      <c r="H276" t="s">
        <v>17</v>
      </c>
      <c r="J276" s="7">
        <v>45969</v>
      </c>
      <c r="K276">
        <v>5</v>
      </c>
      <c r="L276">
        <v>4</v>
      </c>
      <c r="M276">
        <v>7</v>
      </c>
      <c r="N276">
        <v>3</v>
      </c>
      <c r="O276" s="7">
        <v>45935</v>
      </c>
      <c r="P276" s="7">
        <v>45940</v>
      </c>
      <c r="Q276" s="7">
        <v>45951</v>
      </c>
      <c r="R276" t="s">
        <v>1049</v>
      </c>
    </row>
    <row r="277" spans="1:18" x14ac:dyDescent="0.3">
      <c r="A277" t="s">
        <v>538</v>
      </c>
      <c r="B277" t="s">
        <v>15</v>
      </c>
      <c r="C277" t="s">
        <v>474</v>
      </c>
      <c r="D277" s="7">
        <v>45933</v>
      </c>
      <c r="E277" s="7">
        <v>45934</v>
      </c>
      <c r="F277" s="7">
        <v>45939</v>
      </c>
      <c r="G277" s="7">
        <v>45943</v>
      </c>
      <c r="H277" t="s">
        <v>17</v>
      </c>
      <c r="J277" s="7">
        <v>45967</v>
      </c>
      <c r="K277">
        <v>1</v>
      </c>
      <c r="L277">
        <v>5</v>
      </c>
      <c r="M277">
        <v>4</v>
      </c>
      <c r="N277">
        <v>10</v>
      </c>
      <c r="O277" s="7">
        <v>45933</v>
      </c>
      <c r="P277" s="7">
        <v>45934</v>
      </c>
      <c r="Q277" s="7">
        <v>45943</v>
      </c>
      <c r="R277" t="s">
        <v>1049</v>
      </c>
    </row>
    <row r="278" spans="1:18" x14ac:dyDescent="0.3">
      <c r="A278" t="s">
        <v>50</v>
      </c>
      <c r="B278" t="s">
        <v>15</v>
      </c>
      <c r="C278" t="s">
        <v>16</v>
      </c>
      <c r="D278" s="7">
        <v>45932</v>
      </c>
      <c r="E278" s="7">
        <v>45935</v>
      </c>
      <c r="F278" s="7">
        <v>45938</v>
      </c>
      <c r="G278" s="7">
        <v>45945</v>
      </c>
      <c r="H278" t="s">
        <v>17</v>
      </c>
      <c r="J278" s="7">
        <v>45969</v>
      </c>
      <c r="K278">
        <v>3</v>
      </c>
      <c r="L278">
        <v>3</v>
      </c>
      <c r="M278">
        <v>7</v>
      </c>
      <c r="N278">
        <v>8</v>
      </c>
      <c r="O278" s="7">
        <v>45932</v>
      </c>
      <c r="P278" s="7">
        <v>45935</v>
      </c>
      <c r="Q278" s="7">
        <v>45945</v>
      </c>
      <c r="R278" t="s">
        <v>1049</v>
      </c>
    </row>
    <row r="279" spans="1:18" x14ac:dyDescent="0.3">
      <c r="A279" t="s">
        <v>251</v>
      </c>
      <c r="B279" t="s">
        <v>22</v>
      </c>
      <c r="C279" t="s">
        <v>16</v>
      </c>
      <c r="D279" s="7">
        <v>45936</v>
      </c>
      <c r="E279" s="7">
        <v>45940</v>
      </c>
      <c r="F279" s="7">
        <v>45944</v>
      </c>
      <c r="G279" s="7">
        <v>45948</v>
      </c>
      <c r="H279" t="s">
        <v>17</v>
      </c>
      <c r="J279" s="7">
        <v>45966</v>
      </c>
      <c r="K279">
        <v>4</v>
      </c>
      <c r="L279">
        <v>4</v>
      </c>
      <c r="M279">
        <v>4</v>
      </c>
      <c r="N279">
        <v>1</v>
      </c>
      <c r="O279" s="7">
        <v>45936</v>
      </c>
      <c r="P279" s="7">
        <v>45940</v>
      </c>
      <c r="Q279" s="7">
        <v>45948</v>
      </c>
      <c r="R279" t="s">
        <v>1049</v>
      </c>
    </row>
    <row r="280" spans="1:18" x14ac:dyDescent="0.3">
      <c r="A280" t="s">
        <v>903</v>
      </c>
      <c r="B280" t="s">
        <v>27</v>
      </c>
      <c r="C280" t="s">
        <v>841</v>
      </c>
      <c r="D280" s="7">
        <v>45956</v>
      </c>
      <c r="H280" t="s">
        <v>752</v>
      </c>
      <c r="I280" t="s">
        <v>758</v>
      </c>
      <c r="O280" s="7">
        <v>45956</v>
      </c>
      <c r="R280" t="s">
        <v>1050</v>
      </c>
    </row>
    <row r="281" spans="1:18" x14ac:dyDescent="0.3">
      <c r="A281" t="s">
        <v>779</v>
      </c>
      <c r="B281" t="s">
        <v>27</v>
      </c>
      <c r="C281" t="s">
        <v>474</v>
      </c>
      <c r="D281" s="7">
        <v>45940</v>
      </c>
      <c r="E281" s="7">
        <v>45944</v>
      </c>
      <c r="F281" s="7">
        <v>45949</v>
      </c>
      <c r="G281" s="7">
        <v>45954</v>
      </c>
      <c r="H281" t="s">
        <v>752</v>
      </c>
      <c r="I281" t="s">
        <v>758</v>
      </c>
      <c r="K281">
        <v>4</v>
      </c>
      <c r="L281">
        <v>5</v>
      </c>
      <c r="M281">
        <v>5</v>
      </c>
      <c r="O281" s="7">
        <v>45940</v>
      </c>
      <c r="P281" s="7">
        <v>45944</v>
      </c>
      <c r="Q281" s="7">
        <v>45954</v>
      </c>
      <c r="R281" t="s">
        <v>1049</v>
      </c>
    </row>
    <row r="282" spans="1:18" x14ac:dyDescent="0.3">
      <c r="A282" t="s">
        <v>342</v>
      </c>
      <c r="B282" t="s">
        <v>27</v>
      </c>
      <c r="C282" t="s">
        <v>16</v>
      </c>
      <c r="D282" s="7">
        <v>45950</v>
      </c>
      <c r="E282" s="7">
        <v>45951</v>
      </c>
      <c r="F282" s="7">
        <v>45955</v>
      </c>
      <c r="G282" s="7">
        <v>45960</v>
      </c>
      <c r="H282" t="s">
        <v>17</v>
      </c>
      <c r="J282" s="7">
        <v>45977</v>
      </c>
      <c r="K282">
        <v>1</v>
      </c>
      <c r="L282">
        <v>4</v>
      </c>
      <c r="M282">
        <v>5</v>
      </c>
      <c r="N282">
        <v>8</v>
      </c>
      <c r="O282" s="7">
        <v>45950</v>
      </c>
      <c r="P282" s="7">
        <v>45951</v>
      </c>
      <c r="Q282" s="7">
        <v>45960</v>
      </c>
      <c r="R282" t="s">
        <v>1049</v>
      </c>
    </row>
    <row r="283" spans="1:18" x14ac:dyDescent="0.3">
      <c r="A283" t="s">
        <v>904</v>
      </c>
      <c r="B283" t="s">
        <v>22</v>
      </c>
      <c r="C283" t="s">
        <v>841</v>
      </c>
      <c r="D283" s="7">
        <v>45954</v>
      </c>
      <c r="H283" t="s">
        <v>752</v>
      </c>
      <c r="I283" t="s">
        <v>753</v>
      </c>
      <c r="O283" s="7">
        <v>45954</v>
      </c>
      <c r="R283" t="s">
        <v>1050</v>
      </c>
    </row>
    <row r="284" spans="1:18" x14ac:dyDescent="0.3">
      <c r="A284" t="s">
        <v>780</v>
      </c>
      <c r="B284" t="s">
        <v>27</v>
      </c>
      <c r="C284" t="s">
        <v>474</v>
      </c>
      <c r="D284" s="7">
        <v>45957</v>
      </c>
      <c r="E284" s="7">
        <v>45958</v>
      </c>
      <c r="F284" s="7">
        <v>45963</v>
      </c>
      <c r="G284" s="7">
        <v>45967</v>
      </c>
      <c r="H284" t="s">
        <v>752</v>
      </c>
      <c r="I284" t="s">
        <v>777</v>
      </c>
      <c r="K284">
        <v>1</v>
      </c>
      <c r="L284">
        <v>5</v>
      </c>
      <c r="M284">
        <v>4</v>
      </c>
      <c r="O284" s="7">
        <v>45957</v>
      </c>
      <c r="P284" s="7">
        <v>45958</v>
      </c>
      <c r="Q284" s="7">
        <v>45967</v>
      </c>
      <c r="R284" t="s">
        <v>1049</v>
      </c>
    </row>
    <row r="285" spans="1:18" x14ac:dyDescent="0.3">
      <c r="A285" t="s">
        <v>905</v>
      </c>
      <c r="B285" t="s">
        <v>22</v>
      </c>
      <c r="C285" t="s">
        <v>841</v>
      </c>
      <c r="D285" s="7">
        <v>45949</v>
      </c>
      <c r="H285" t="s">
        <v>752</v>
      </c>
      <c r="I285" t="s">
        <v>753</v>
      </c>
      <c r="O285" s="7">
        <v>45949</v>
      </c>
      <c r="R285" t="s">
        <v>1050</v>
      </c>
    </row>
    <row r="286" spans="1:18" x14ac:dyDescent="0.3">
      <c r="A286" t="s">
        <v>51</v>
      </c>
      <c r="B286" t="s">
        <v>15</v>
      </c>
      <c r="C286" t="s">
        <v>16</v>
      </c>
      <c r="D286" s="7">
        <v>45960</v>
      </c>
      <c r="E286" s="7">
        <v>45963</v>
      </c>
      <c r="F286" s="7">
        <v>45965</v>
      </c>
      <c r="G286" s="7">
        <v>45971</v>
      </c>
      <c r="H286" t="s">
        <v>17</v>
      </c>
      <c r="J286" s="7">
        <v>45989</v>
      </c>
      <c r="K286">
        <v>3</v>
      </c>
      <c r="L286">
        <v>2</v>
      </c>
      <c r="M286">
        <v>6</v>
      </c>
      <c r="N286">
        <v>4</v>
      </c>
      <c r="O286" s="7">
        <v>45960</v>
      </c>
      <c r="P286" s="7">
        <v>45963</v>
      </c>
      <c r="Q286" s="7">
        <v>45971</v>
      </c>
      <c r="R286" t="s">
        <v>1049</v>
      </c>
    </row>
    <row r="287" spans="1:18" x14ac:dyDescent="0.3">
      <c r="A287" t="s">
        <v>52</v>
      </c>
      <c r="B287" t="s">
        <v>29</v>
      </c>
      <c r="C287" t="s">
        <v>16</v>
      </c>
      <c r="D287" s="7">
        <v>45940</v>
      </c>
      <c r="E287" s="7">
        <v>45943</v>
      </c>
      <c r="F287" s="7">
        <v>45945</v>
      </c>
      <c r="G287" s="7">
        <v>45947</v>
      </c>
      <c r="H287" t="s">
        <v>17</v>
      </c>
      <c r="J287" s="7">
        <v>45975</v>
      </c>
      <c r="K287">
        <v>3</v>
      </c>
      <c r="L287">
        <v>2</v>
      </c>
      <c r="M287">
        <v>2</v>
      </c>
      <c r="N287">
        <v>9</v>
      </c>
      <c r="O287" s="7">
        <v>45940</v>
      </c>
      <c r="P287" s="7">
        <v>45943</v>
      </c>
      <c r="Q287" s="7">
        <v>45947</v>
      </c>
      <c r="R287" t="s">
        <v>1049</v>
      </c>
    </row>
    <row r="288" spans="1:18" x14ac:dyDescent="0.3">
      <c r="A288" t="s">
        <v>906</v>
      </c>
      <c r="B288" t="s">
        <v>27</v>
      </c>
      <c r="C288" t="s">
        <v>841</v>
      </c>
      <c r="D288" s="7">
        <v>45945</v>
      </c>
      <c r="H288" t="s">
        <v>752</v>
      </c>
      <c r="I288" t="s">
        <v>777</v>
      </c>
      <c r="O288" s="7">
        <v>45945</v>
      </c>
      <c r="R288" t="s">
        <v>1050</v>
      </c>
    </row>
    <row r="289" spans="1:18" x14ac:dyDescent="0.3">
      <c r="A289" t="s">
        <v>539</v>
      </c>
      <c r="B289" t="s">
        <v>27</v>
      </c>
      <c r="C289" t="s">
        <v>474</v>
      </c>
      <c r="D289" s="7">
        <v>45934</v>
      </c>
      <c r="E289" s="7">
        <v>45935</v>
      </c>
      <c r="F289" s="7">
        <v>45940</v>
      </c>
      <c r="G289" s="7">
        <v>45947</v>
      </c>
      <c r="H289" t="s">
        <v>17</v>
      </c>
      <c r="J289" s="7">
        <v>45958</v>
      </c>
      <c r="K289">
        <v>1</v>
      </c>
      <c r="L289">
        <v>5</v>
      </c>
      <c r="M289">
        <v>7</v>
      </c>
      <c r="N289">
        <v>2</v>
      </c>
      <c r="O289" s="7">
        <v>45934</v>
      </c>
      <c r="P289" s="7">
        <v>45935</v>
      </c>
      <c r="Q289" s="7">
        <v>45947</v>
      </c>
      <c r="R289" t="s">
        <v>1049</v>
      </c>
    </row>
    <row r="290" spans="1:18" x14ac:dyDescent="0.3">
      <c r="A290" t="s">
        <v>781</v>
      </c>
      <c r="B290" t="s">
        <v>15</v>
      </c>
      <c r="C290" t="s">
        <v>16</v>
      </c>
      <c r="D290" s="7">
        <v>45945</v>
      </c>
      <c r="E290" s="7">
        <v>45946</v>
      </c>
      <c r="F290" s="7">
        <v>45947</v>
      </c>
      <c r="G290" s="7">
        <v>45949</v>
      </c>
      <c r="H290" t="s">
        <v>752</v>
      </c>
      <c r="I290" t="s">
        <v>753</v>
      </c>
      <c r="K290">
        <v>1</v>
      </c>
      <c r="L290">
        <v>1</v>
      </c>
      <c r="M290">
        <v>2</v>
      </c>
      <c r="O290" s="7">
        <v>45945</v>
      </c>
      <c r="P290" s="7">
        <v>45946</v>
      </c>
      <c r="Q290" s="7">
        <v>45949</v>
      </c>
      <c r="R290" t="s">
        <v>1049</v>
      </c>
    </row>
    <row r="291" spans="1:18" x14ac:dyDescent="0.3">
      <c r="A291" t="s">
        <v>907</v>
      </c>
      <c r="B291" t="s">
        <v>29</v>
      </c>
      <c r="C291" t="s">
        <v>841</v>
      </c>
      <c r="D291" s="7">
        <v>45953</v>
      </c>
      <c r="H291" t="s">
        <v>752</v>
      </c>
      <c r="I291" t="s">
        <v>758</v>
      </c>
      <c r="O291" s="7">
        <v>45953</v>
      </c>
      <c r="R291" t="s">
        <v>1050</v>
      </c>
    </row>
    <row r="292" spans="1:18" x14ac:dyDescent="0.3">
      <c r="A292" t="s">
        <v>703</v>
      </c>
      <c r="B292" t="s">
        <v>22</v>
      </c>
      <c r="C292" t="s">
        <v>474</v>
      </c>
      <c r="D292" s="7">
        <v>45940</v>
      </c>
      <c r="E292" s="7">
        <v>45945</v>
      </c>
      <c r="F292" s="7">
        <v>45950</v>
      </c>
      <c r="G292" s="7">
        <v>45957</v>
      </c>
      <c r="H292" t="s">
        <v>17</v>
      </c>
      <c r="J292" s="7">
        <v>45971</v>
      </c>
      <c r="K292">
        <v>5</v>
      </c>
      <c r="L292">
        <v>5</v>
      </c>
      <c r="M292">
        <v>7</v>
      </c>
      <c r="N292">
        <v>4</v>
      </c>
      <c r="O292" s="7">
        <v>45940</v>
      </c>
      <c r="P292" s="7">
        <v>45945</v>
      </c>
      <c r="Q292" s="7">
        <v>45957</v>
      </c>
      <c r="R292" t="s">
        <v>1049</v>
      </c>
    </row>
    <row r="293" spans="1:18" x14ac:dyDescent="0.3">
      <c r="A293" t="s">
        <v>156</v>
      </c>
      <c r="B293" t="s">
        <v>29</v>
      </c>
      <c r="C293" t="s">
        <v>16</v>
      </c>
      <c r="D293" s="7">
        <v>45953</v>
      </c>
      <c r="E293" s="7">
        <v>45958</v>
      </c>
      <c r="F293" s="7">
        <v>45962</v>
      </c>
      <c r="G293" s="7">
        <v>45967</v>
      </c>
      <c r="H293" t="s">
        <v>17</v>
      </c>
      <c r="J293" s="7">
        <v>45980</v>
      </c>
      <c r="K293">
        <v>5</v>
      </c>
      <c r="L293">
        <v>4</v>
      </c>
      <c r="M293">
        <v>5</v>
      </c>
      <c r="N293">
        <v>1</v>
      </c>
      <c r="O293" s="7">
        <v>45953</v>
      </c>
      <c r="P293" s="7">
        <v>45958</v>
      </c>
      <c r="Q293" s="7">
        <v>45967</v>
      </c>
      <c r="R293" t="s">
        <v>1049</v>
      </c>
    </row>
    <row r="294" spans="1:18" x14ac:dyDescent="0.3">
      <c r="A294" t="s">
        <v>908</v>
      </c>
      <c r="B294" t="s">
        <v>15</v>
      </c>
      <c r="C294" t="s">
        <v>841</v>
      </c>
      <c r="D294" s="7">
        <v>45943</v>
      </c>
      <c r="H294" t="s">
        <v>752</v>
      </c>
      <c r="I294" t="s">
        <v>758</v>
      </c>
      <c r="O294" s="7">
        <v>45943</v>
      </c>
      <c r="R294" t="s">
        <v>1050</v>
      </c>
    </row>
    <row r="295" spans="1:18" x14ac:dyDescent="0.3">
      <c r="A295" t="s">
        <v>704</v>
      </c>
      <c r="B295" t="s">
        <v>15</v>
      </c>
      <c r="C295" t="s">
        <v>474</v>
      </c>
      <c r="D295" s="7">
        <v>45961</v>
      </c>
      <c r="E295" s="7">
        <v>45966</v>
      </c>
      <c r="F295" s="7">
        <v>45971</v>
      </c>
      <c r="G295" s="7">
        <v>45978</v>
      </c>
      <c r="H295" t="s">
        <v>17</v>
      </c>
      <c r="J295" s="7">
        <v>45990</v>
      </c>
      <c r="K295">
        <v>5</v>
      </c>
      <c r="L295">
        <v>5</v>
      </c>
      <c r="M295">
        <v>7</v>
      </c>
      <c r="N295">
        <v>6</v>
      </c>
      <c r="O295" s="7">
        <v>45961</v>
      </c>
      <c r="P295" s="7">
        <v>45966</v>
      </c>
      <c r="Q295" s="7">
        <v>45978</v>
      </c>
      <c r="R295" t="s">
        <v>1049</v>
      </c>
    </row>
    <row r="296" spans="1:18" x14ac:dyDescent="0.3">
      <c r="A296" t="s">
        <v>909</v>
      </c>
      <c r="B296" t="s">
        <v>29</v>
      </c>
      <c r="C296" t="s">
        <v>841</v>
      </c>
      <c r="D296" s="7">
        <v>45939</v>
      </c>
      <c r="H296" t="s">
        <v>752</v>
      </c>
      <c r="I296" t="s">
        <v>765</v>
      </c>
      <c r="O296" s="7">
        <v>45939</v>
      </c>
      <c r="R296" t="s">
        <v>1050</v>
      </c>
    </row>
    <row r="297" spans="1:18" x14ac:dyDescent="0.3">
      <c r="A297" t="s">
        <v>782</v>
      </c>
      <c r="B297" t="s">
        <v>22</v>
      </c>
      <c r="C297" t="s">
        <v>16</v>
      </c>
      <c r="D297" s="7">
        <v>45947</v>
      </c>
      <c r="E297" s="7">
        <v>45951</v>
      </c>
      <c r="F297" s="7">
        <v>45954</v>
      </c>
      <c r="G297" s="7">
        <v>45961</v>
      </c>
      <c r="H297" t="s">
        <v>752</v>
      </c>
      <c r="I297" t="s">
        <v>756</v>
      </c>
      <c r="K297">
        <v>4</v>
      </c>
      <c r="L297">
        <v>3</v>
      </c>
      <c r="M297">
        <v>7</v>
      </c>
      <c r="O297" s="7">
        <v>45947</v>
      </c>
      <c r="P297" s="7">
        <v>45951</v>
      </c>
      <c r="Q297" s="7">
        <v>45961</v>
      </c>
      <c r="R297" t="s">
        <v>1049</v>
      </c>
    </row>
    <row r="298" spans="1:18" x14ac:dyDescent="0.3">
      <c r="A298" t="s">
        <v>252</v>
      </c>
      <c r="B298" t="s">
        <v>22</v>
      </c>
      <c r="C298" t="s">
        <v>16</v>
      </c>
      <c r="D298" s="7">
        <v>45948</v>
      </c>
      <c r="E298" s="7">
        <v>45952</v>
      </c>
      <c r="F298" s="7">
        <v>45953</v>
      </c>
      <c r="G298" s="7">
        <v>45960</v>
      </c>
      <c r="H298" t="s">
        <v>17</v>
      </c>
      <c r="J298" s="7">
        <v>45981</v>
      </c>
      <c r="K298">
        <v>4</v>
      </c>
      <c r="L298">
        <v>1</v>
      </c>
      <c r="M298">
        <v>7</v>
      </c>
      <c r="N298">
        <v>6</v>
      </c>
      <c r="O298" s="7">
        <v>45948</v>
      </c>
      <c r="P298" s="7">
        <v>45952</v>
      </c>
      <c r="Q298" s="7">
        <v>45960</v>
      </c>
      <c r="R298" t="s">
        <v>1049</v>
      </c>
    </row>
    <row r="299" spans="1:18" x14ac:dyDescent="0.3">
      <c r="A299" t="s">
        <v>157</v>
      </c>
      <c r="B299" t="s">
        <v>27</v>
      </c>
      <c r="C299" t="s">
        <v>16</v>
      </c>
      <c r="D299" s="7">
        <v>45946</v>
      </c>
      <c r="E299" s="7">
        <v>45951</v>
      </c>
      <c r="F299" s="7">
        <v>45956</v>
      </c>
      <c r="G299" s="7">
        <v>45960</v>
      </c>
      <c r="H299" t="s">
        <v>17</v>
      </c>
      <c r="J299" s="7">
        <v>45987</v>
      </c>
      <c r="K299">
        <v>5</v>
      </c>
      <c r="L299">
        <v>5</v>
      </c>
      <c r="M299">
        <v>4</v>
      </c>
      <c r="N299">
        <v>10</v>
      </c>
      <c r="O299" s="7">
        <v>45946</v>
      </c>
      <c r="P299" s="7">
        <v>45951</v>
      </c>
      <c r="Q299" s="7">
        <v>45960</v>
      </c>
      <c r="R299" t="s">
        <v>1049</v>
      </c>
    </row>
    <row r="300" spans="1:18" x14ac:dyDescent="0.3">
      <c r="A300" t="s">
        <v>705</v>
      </c>
      <c r="B300" t="s">
        <v>22</v>
      </c>
      <c r="C300" t="s">
        <v>474</v>
      </c>
      <c r="D300" s="7">
        <v>45945</v>
      </c>
      <c r="E300" s="7">
        <v>45950</v>
      </c>
      <c r="F300" s="7">
        <v>45951</v>
      </c>
      <c r="G300" s="7">
        <v>45953</v>
      </c>
      <c r="H300" t="s">
        <v>17</v>
      </c>
      <c r="J300" s="7">
        <v>45976</v>
      </c>
      <c r="K300">
        <v>5</v>
      </c>
      <c r="L300">
        <v>1</v>
      </c>
      <c r="M300">
        <v>2</v>
      </c>
      <c r="N300">
        <v>10</v>
      </c>
      <c r="O300" s="7">
        <v>45945</v>
      </c>
      <c r="P300" s="7">
        <v>45950</v>
      </c>
      <c r="Q300" s="7">
        <v>45953</v>
      </c>
      <c r="R300" t="s">
        <v>1049</v>
      </c>
    </row>
    <row r="301" spans="1:18" x14ac:dyDescent="0.3">
      <c r="A301" t="s">
        <v>910</v>
      </c>
      <c r="B301" t="s">
        <v>29</v>
      </c>
      <c r="C301" t="s">
        <v>841</v>
      </c>
      <c r="D301" s="7">
        <v>45933</v>
      </c>
      <c r="H301" t="s">
        <v>752</v>
      </c>
      <c r="I301" t="s">
        <v>753</v>
      </c>
      <c r="O301" s="7">
        <v>45933</v>
      </c>
      <c r="R301" t="s">
        <v>1050</v>
      </c>
    </row>
    <row r="302" spans="1:18" x14ac:dyDescent="0.3">
      <c r="A302" t="s">
        <v>911</v>
      </c>
      <c r="B302" t="s">
        <v>15</v>
      </c>
      <c r="C302" t="s">
        <v>841</v>
      </c>
      <c r="D302" s="7">
        <v>45950</v>
      </c>
      <c r="H302" t="s">
        <v>752</v>
      </c>
      <c r="I302" t="s">
        <v>765</v>
      </c>
      <c r="O302" s="7">
        <v>45950</v>
      </c>
      <c r="R302" t="s">
        <v>1050</v>
      </c>
    </row>
    <row r="303" spans="1:18" x14ac:dyDescent="0.3">
      <c r="A303" t="s">
        <v>343</v>
      </c>
      <c r="B303" t="s">
        <v>27</v>
      </c>
      <c r="C303" t="s">
        <v>16</v>
      </c>
      <c r="D303" s="7">
        <v>45932</v>
      </c>
      <c r="E303" s="7">
        <v>45933</v>
      </c>
      <c r="F303" s="7">
        <v>45934</v>
      </c>
      <c r="G303" s="7">
        <v>45940</v>
      </c>
      <c r="H303" t="s">
        <v>17</v>
      </c>
      <c r="J303" s="7">
        <v>45968</v>
      </c>
      <c r="K303">
        <v>1</v>
      </c>
      <c r="L303">
        <v>1</v>
      </c>
      <c r="M303">
        <v>6</v>
      </c>
      <c r="N303">
        <v>8</v>
      </c>
      <c r="O303" s="7">
        <v>45932</v>
      </c>
      <c r="P303" s="7">
        <v>45933</v>
      </c>
      <c r="Q303" s="7">
        <v>45940</v>
      </c>
      <c r="R303" t="s">
        <v>1049</v>
      </c>
    </row>
    <row r="304" spans="1:18" x14ac:dyDescent="0.3">
      <c r="A304" t="s">
        <v>253</v>
      </c>
      <c r="B304" t="s">
        <v>27</v>
      </c>
      <c r="C304" t="s">
        <v>16</v>
      </c>
      <c r="D304" s="7">
        <v>45959</v>
      </c>
      <c r="E304" s="7">
        <v>45963</v>
      </c>
      <c r="F304" s="7">
        <v>45968</v>
      </c>
      <c r="G304" s="7">
        <v>45973</v>
      </c>
      <c r="H304" t="s">
        <v>17</v>
      </c>
      <c r="J304" s="7">
        <v>45990</v>
      </c>
      <c r="K304">
        <v>4</v>
      </c>
      <c r="L304">
        <v>5</v>
      </c>
      <c r="M304">
        <v>5</v>
      </c>
      <c r="N304">
        <v>5</v>
      </c>
      <c r="O304" s="7">
        <v>45959</v>
      </c>
      <c r="P304" s="7">
        <v>45963</v>
      </c>
      <c r="Q304" s="7">
        <v>45973</v>
      </c>
      <c r="R304" t="s">
        <v>1049</v>
      </c>
    </row>
    <row r="305" spans="1:18" x14ac:dyDescent="0.3">
      <c r="A305" t="s">
        <v>158</v>
      </c>
      <c r="B305" t="s">
        <v>15</v>
      </c>
      <c r="C305" t="s">
        <v>16</v>
      </c>
      <c r="D305" s="7">
        <v>45944</v>
      </c>
      <c r="E305" s="7">
        <v>45949</v>
      </c>
      <c r="F305" s="7">
        <v>45954</v>
      </c>
      <c r="G305" s="7">
        <v>45957</v>
      </c>
      <c r="H305" t="s">
        <v>17</v>
      </c>
      <c r="J305" s="7">
        <v>45984</v>
      </c>
      <c r="K305">
        <v>5</v>
      </c>
      <c r="L305">
        <v>5</v>
      </c>
      <c r="M305">
        <v>3</v>
      </c>
      <c r="N305">
        <v>6</v>
      </c>
      <c r="O305" s="7">
        <v>45944</v>
      </c>
      <c r="P305" s="7">
        <v>45949</v>
      </c>
      <c r="Q305" s="7">
        <v>45957</v>
      </c>
      <c r="R305" t="s">
        <v>1049</v>
      </c>
    </row>
    <row r="306" spans="1:18" x14ac:dyDescent="0.3">
      <c r="A306" t="s">
        <v>409</v>
      </c>
      <c r="B306" t="s">
        <v>22</v>
      </c>
      <c r="C306" t="s">
        <v>16</v>
      </c>
      <c r="D306" s="7">
        <v>45954</v>
      </c>
      <c r="E306" s="7">
        <v>45956</v>
      </c>
      <c r="F306" s="7">
        <v>45958</v>
      </c>
      <c r="G306" s="7">
        <v>45963</v>
      </c>
      <c r="H306" t="s">
        <v>17</v>
      </c>
      <c r="J306" s="7">
        <v>45974</v>
      </c>
      <c r="K306">
        <v>2</v>
      </c>
      <c r="L306">
        <v>2</v>
      </c>
      <c r="M306">
        <v>5</v>
      </c>
      <c r="N306">
        <v>1</v>
      </c>
      <c r="O306" s="7">
        <v>45954</v>
      </c>
      <c r="P306" s="7">
        <v>45956</v>
      </c>
      <c r="Q306" s="7">
        <v>45963</v>
      </c>
      <c r="R306" t="s">
        <v>1049</v>
      </c>
    </row>
    <row r="307" spans="1:18" x14ac:dyDescent="0.3">
      <c r="A307" t="s">
        <v>53</v>
      </c>
      <c r="B307" t="s">
        <v>15</v>
      </c>
      <c r="C307" t="s">
        <v>16</v>
      </c>
      <c r="D307" s="7">
        <v>45941</v>
      </c>
      <c r="E307" s="7">
        <v>45944</v>
      </c>
      <c r="F307" s="7">
        <v>45949</v>
      </c>
      <c r="G307" s="7">
        <v>45952</v>
      </c>
      <c r="H307" t="s">
        <v>17</v>
      </c>
      <c r="J307" s="7">
        <v>45974</v>
      </c>
      <c r="K307">
        <v>3</v>
      </c>
      <c r="L307">
        <v>5</v>
      </c>
      <c r="M307">
        <v>3</v>
      </c>
      <c r="N307">
        <v>1</v>
      </c>
      <c r="O307" s="7">
        <v>45941</v>
      </c>
      <c r="P307" s="7">
        <v>45944</v>
      </c>
      <c r="Q307" s="7">
        <v>45952</v>
      </c>
      <c r="R307" t="s">
        <v>1049</v>
      </c>
    </row>
    <row r="308" spans="1:18" x14ac:dyDescent="0.3">
      <c r="A308" t="s">
        <v>159</v>
      </c>
      <c r="B308" t="s">
        <v>22</v>
      </c>
      <c r="C308" t="s">
        <v>16</v>
      </c>
      <c r="D308" s="7">
        <v>45950</v>
      </c>
      <c r="E308" s="7">
        <v>45955</v>
      </c>
      <c r="F308" s="7">
        <v>45960</v>
      </c>
      <c r="G308" s="7">
        <v>45965</v>
      </c>
      <c r="H308" t="s">
        <v>17</v>
      </c>
      <c r="J308" s="7">
        <v>45991</v>
      </c>
      <c r="K308">
        <v>5</v>
      </c>
      <c r="L308">
        <v>5</v>
      </c>
      <c r="M308">
        <v>5</v>
      </c>
      <c r="N308">
        <v>8</v>
      </c>
      <c r="O308" s="7">
        <v>45950</v>
      </c>
      <c r="P308" s="7">
        <v>45955</v>
      </c>
      <c r="Q308" s="7">
        <v>45965</v>
      </c>
      <c r="R308" t="s">
        <v>1049</v>
      </c>
    </row>
    <row r="309" spans="1:18" x14ac:dyDescent="0.3">
      <c r="A309" t="s">
        <v>254</v>
      </c>
      <c r="B309" t="s">
        <v>15</v>
      </c>
      <c r="C309" t="s">
        <v>16</v>
      </c>
      <c r="D309" s="7">
        <v>45939</v>
      </c>
      <c r="E309" s="7">
        <v>45943</v>
      </c>
      <c r="F309" s="7">
        <v>45945</v>
      </c>
      <c r="G309" s="7">
        <v>45949</v>
      </c>
      <c r="H309" t="s">
        <v>17</v>
      </c>
      <c r="J309" s="7">
        <v>45972</v>
      </c>
      <c r="K309">
        <v>4</v>
      </c>
      <c r="L309">
        <v>2</v>
      </c>
      <c r="M309">
        <v>4</v>
      </c>
      <c r="N309">
        <v>9</v>
      </c>
      <c r="O309" s="7">
        <v>45939</v>
      </c>
      <c r="P309" s="7">
        <v>45943</v>
      </c>
      <c r="Q309" s="7">
        <v>45949</v>
      </c>
      <c r="R309" t="s">
        <v>1049</v>
      </c>
    </row>
    <row r="310" spans="1:18" x14ac:dyDescent="0.3">
      <c r="A310" t="s">
        <v>160</v>
      </c>
      <c r="B310" t="s">
        <v>29</v>
      </c>
      <c r="C310" t="s">
        <v>16</v>
      </c>
      <c r="D310" s="7">
        <v>45931</v>
      </c>
      <c r="E310" s="7">
        <v>45936</v>
      </c>
      <c r="F310" s="7">
        <v>45938</v>
      </c>
      <c r="G310" s="7">
        <v>45942</v>
      </c>
      <c r="H310" t="s">
        <v>17</v>
      </c>
      <c r="J310" s="7">
        <v>45969</v>
      </c>
      <c r="K310">
        <v>5</v>
      </c>
      <c r="L310">
        <v>2</v>
      </c>
      <c r="M310">
        <v>4</v>
      </c>
      <c r="N310">
        <v>6</v>
      </c>
      <c r="O310" s="7">
        <v>45931</v>
      </c>
      <c r="P310" s="7">
        <v>45936</v>
      </c>
      <c r="Q310" s="7">
        <v>45942</v>
      </c>
      <c r="R310" t="s">
        <v>1049</v>
      </c>
    </row>
    <row r="311" spans="1:18" x14ac:dyDescent="0.3">
      <c r="A311" t="s">
        <v>410</v>
      </c>
      <c r="B311" t="s">
        <v>22</v>
      </c>
      <c r="C311" t="s">
        <v>16</v>
      </c>
      <c r="D311" s="7">
        <v>45933</v>
      </c>
      <c r="E311" s="7">
        <v>45935</v>
      </c>
      <c r="F311" s="7">
        <v>45938</v>
      </c>
      <c r="G311" s="7">
        <v>45942</v>
      </c>
      <c r="H311" t="s">
        <v>17</v>
      </c>
      <c r="J311" s="7">
        <v>45967</v>
      </c>
      <c r="K311">
        <v>2</v>
      </c>
      <c r="L311">
        <v>3</v>
      </c>
      <c r="M311">
        <v>4</v>
      </c>
      <c r="N311">
        <v>5</v>
      </c>
      <c r="O311" s="7">
        <v>45933</v>
      </c>
      <c r="P311" s="7">
        <v>45935</v>
      </c>
      <c r="Q311" s="7">
        <v>45942</v>
      </c>
      <c r="R311" t="s">
        <v>1049</v>
      </c>
    </row>
    <row r="312" spans="1:18" x14ac:dyDescent="0.3">
      <c r="A312" t="s">
        <v>540</v>
      </c>
      <c r="B312" t="s">
        <v>29</v>
      </c>
      <c r="C312" t="s">
        <v>474</v>
      </c>
      <c r="D312" s="7">
        <v>45938</v>
      </c>
      <c r="E312" s="7">
        <v>45939</v>
      </c>
      <c r="F312" s="7">
        <v>45944</v>
      </c>
      <c r="G312" s="7">
        <v>45948</v>
      </c>
      <c r="H312" t="s">
        <v>17</v>
      </c>
      <c r="J312" s="7">
        <v>45976</v>
      </c>
      <c r="K312">
        <v>1</v>
      </c>
      <c r="L312">
        <v>5</v>
      </c>
      <c r="M312">
        <v>4</v>
      </c>
      <c r="N312">
        <v>3</v>
      </c>
      <c r="O312" s="7">
        <v>45938</v>
      </c>
      <c r="P312" s="7">
        <v>45939</v>
      </c>
      <c r="Q312" s="7">
        <v>45948</v>
      </c>
      <c r="R312" t="s">
        <v>1049</v>
      </c>
    </row>
    <row r="313" spans="1:18" x14ac:dyDescent="0.3">
      <c r="A313" t="s">
        <v>541</v>
      </c>
      <c r="B313" t="s">
        <v>27</v>
      </c>
      <c r="C313" t="s">
        <v>474</v>
      </c>
      <c r="D313" s="7">
        <v>45961</v>
      </c>
      <c r="E313" s="7">
        <v>45965</v>
      </c>
      <c r="F313" s="7">
        <v>45969</v>
      </c>
      <c r="G313" s="7">
        <v>45975</v>
      </c>
      <c r="H313" t="s">
        <v>17</v>
      </c>
      <c r="J313" s="7">
        <v>45992</v>
      </c>
      <c r="K313">
        <v>4</v>
      </c>
      <c r="L313">
        <v>4</v>
      </c>
      <c r="M313">
        <v>6</v>
      </c>
      <c r="N313">
        <v>6</v>
      </c>
      <c r="O313" s="7">
        <v>45961</v>
      </c>
      <c r="P313" s="7">
        <v>45965</v>
      </c>
      <c r="Q313" s="7">
        <v>45975</v>
      </c>
      <c r="R313" t="s">
        <v>1049</v>
      </c>
    </row>
    <row r="314" spans="1:18" x14ac:dyDescent="0.3">
      <c r="A314" t="s">
        <v>344</v>
      </c>
      <c r="B314" t="s">
        <v>15</v>
      </c>
      <c r="C314" t="s">
        <v>16</v>
      </c>
      <c r="D314" s="7">
        <v>45952</v>
      </c>
      <c r="E314" s="7">
        <v>45953</v>
      </c>
      <c r="F314" s="7">
        <v>45954</v>
      </c>
      <c r="G314" s="7">
        <v>45960</v>
      </c>
      <c r="H314" t="s">
        <v>17</v>
      </c>
      <c r="J314" s="7">
        <v>45985</v>
      </c>
      <c r="K314">
        <v>1</v>
      </c>
      <c r="L314">
        <v>1</v>
      </c>
      <c r="M314">
        <v>6</v>
      </c>
      <c r="N314">
        <v>6</v>
      </c>
      <c r="O314" s="7">
        <v>45952</v>
      </c>
      <c r="P314" s="7">
        <v>45953</v>
      </c>
      <c r="Q314" s="7">
        <v>45960</v>
      </c>
      <c r="R314" t="s">
        <v>1049</v>
      </c>
    </row>
    <row r="315" spans="1:18" x14ac:dyDescent="0.3">
      <c r="A315" t="s">
        <v>54</v>
      </c>
      <c r="B315" t="s">
        <v>27</v>
      </c>
      <c r="C315" t="s">
        <v>16</v>
      </c>
      <c r="D315" s="7">
        <v>45957</v>
      </c>
      <c r="E315" s="7">
        <v>45960</v>
      </c>
      <c r="F315" s="7">
        <v>45962</v>
      </c>
      <c r="G315" s="7">
        <v>45965</v>
      </c>
      <c r="H315" t="s">
        <v>17</v>
      </c>
      <c r="J315" s="7">
        <v>45984</v>
      </c>
      <c r="K315">
        <v>3</v>
      </c>
      <c r="L315">
        <v>2</v>
      </c>
      <c r="M315">
        <v>3</v>
      </c>
      <c r="N315">
        <v>6</v>
      </c>
      <c r="O315" s="7">
        <v>45957</v>
      </c>
      <c r="P315" s="7">
        <v>45960</v>
      </c>
      <c r="Q315" s="7">
        <v>45965</v>
      </c>
      <c r="R315" t="s">
        <v>1049</v>
      </c>
    </row>
    <row r="316" spans="1:18" x14ac:dyDescent="0.3">
      <c r="A316" t="s">
        <v>345</v>
      </c>
      <c r="B316" t="s">
        <v>27</v>
      </c>
      <c r="C316" t="s">
        <v>16</v>
      </c>
      <c r="D316" s="7">
        <v>45958</v>
      </c>
      <c r="E316" s="7">
        <v>45959</v>
      </c>
      <c r="F316" s="7">
        <v>45964</v>
      </c>
      <c r="G316" s="7">
        <v>45970</v>
      </c>
      <c r="H316" t="s">
        <v>17</v>
      </c>
      <c r="J316" s="7">
        <v>45982</v>
      </c>
      <c r="K316">
        <v>1</v>
      </c>
      <c r="L316">
        <v>5</v>
      </c>
      <c r="M316">
        <v>6</v>
      </c>
      <c r="N316">
        <v>4</v>
      </c>
      <c r="O316" s="7">
        <v>45958</v>
      </c>
      <c r="P316" s="7">
        <v>45959</v>
      </c>
      <c r="Q316" s="7">
        <v>45970</v>
      </c>
      <c r="R316" t="s">
        <v>1049</v>
      </c>
    </row>
    <row r="317" spans="1:18" x14ac:dyDescent="0.3">
      <c r="A317" t="s">
        <v>161</v>
      </c>
      <c r="B317" t="s">
        <v>27</v>
      </c>
      <c r="C317" t="s">
        <v>16</v>
      </c>
      <c r="D317" s="7">
        <v>45949</v>
      </c>
      <c r="E317" s="7">
        <v>45954</v>
      </c>
      <c r="F317" s="7">
        <v>45958</v>
      </c>
      <c r="G317" s="7">
        <v>45963</v>
      </c>
      <c r="H317" t="s">
        <v>17</v>
      </c>
      <c r="J317" s="7">
        <v>45985</v>
      </c>
      <c r="K317">
        <v>5</v>
      </c>
      <c r="L317">
        <v>4</v>
      </c>
      <c r="M317">
        <v>5</v>
      </c>
      <c r="N317">
        <v>5</v>
      </c>
      <c r="O317" s="7">
        <v>45949</v>
      </c>
      <c r="P317" s="7">
        <v>45954</v>
      </c>
      <c r="Q317" s="7">
        <v>45963</v>
      </c>
      <c r="R317" t="s">
        <v>1049</v>
      </c>
    </row>
    <row r="318" spans="1:18" x14ac:dyDescent="0.3">
      <c r="A318" t="s">
        <v>411</v>
      </c>
      <c r="B318" t="s">
        <v>27</v>
      </c>
      <c r="C318" t="s">
        <v>16</v>
      </c>
      <c r="D318" s="7">
        <v>45949</v>
      </c>
      <c r="E318" s="7">
        <v>45951</v>
      </c>
      <c r="F318" s="7">
        <v>45952</v>
      </c>
      <c r="G318" s="7">
        <v>45956</v>
      </c>
      <c r="H318" t="s">
        <v>17</v>
      </c>
      <c r="J318" s="7">
        <v>45967</v>
      </c>
      <c r="K318">
        <v>2</v>
      </c>
      <c r="L318">
        <v>1</v>
      </c>
      <c r="M318">
        <v>4</v>
      </c>
      <c r="N318">
        <v>9</v>
      </c>
      <c r="O318" s="7">
        <v>45949</v>
      </c>
      <c r="P318" s="7">
        <v>45951</v>
      </c>
      <c r="Q318" s="7">
        <v>45956</v>
      </c>
      <c r="R318" t="s">
        <v>1049</v>
      </c>
    </row>
    <row r="319" spans="1:18" x14ac:dyDescent="0.3">
      <c r="A319" t="s">
        <v>783</v>
      </c>
      <c r="B319" t="s">
        <v>15</v>
      </c>
      <c r="C319" t="s">
        <v>16</v>
      </c>
      <c r="D319" s="7">
        <v>45961</v>
      </c>
      <c r="E319" s="7">
        <v>45962</v>
      </c>
      <c r="F319" s="7">
        <v>45967</v>
      </c>
      <c r="G319" s="7">
        <v>45974</v>
      </c>
      <c r="H319" t="s">
        <v>752</v>
      </c>
      <c r="I319" t="s">
        <v>756</v>
      </c>
      <c r="K319">
        <v>1</v>
      </c>
      <c r="L319">
        <v>5</v>
      </c>
      <c r="M319">
        <v>7</v>
      </c>
      <c r="O319" s="7">
        <v>45961</v>
      </c>
      <c r="P319" s="7">
        <v>45962</v>
      </c>
      <c r="Q319" s="7">
        <v>45974</v>
      </c>
      <c r="R319" t="s">
        <v>1049</v>
      </c>
    </row>
    <row r="320" spans="1:18" x14ac:dyDescent="0.3">
      <c r="A320" t="s">
        <v>412</v>
      </c>
      <c r="B320" t="s">
        <v>27</v>
      </c>
      <c r="C320" t="s">
        <v>16</v>
      </c>
      <c r="D320" s="7">
        <v>45931</v>
      </c>
      <c r="E320" s="7">
        <v>45933</v>
      </c>
      <c r="F320" s="7">
        <v>45937</v>
      </c>
      <c r="G320" s="7">
        <v>45939</v>
      </c>
      <c r="H320" t="s">
        <v>17</v>
      </c>
      <c r="J320" s="7">
        <v>45965</v>
      </c>
      <c r="K320">
        <v>2</v>
      </c>
      <c r="L320">
        <v>4</v>
      </c>
      <c r="M320">
        <v>2</v>
      </c>
      <c r="N320">
        <v>6</v>
      </c>
      <c r="O320" s="7">
        <v>45931</v>
      </c>
      <c r="P320" s="7">
        <v>45933</v>
      </c>
      <c r="Q320" s="7">
        <v>45939</v>
      </c>
      <c r="R320" t="s">
        <v>1049</v>
      </c>
    </row>
    <row r="321" spans="1:18" x14ac:dyDescent="0.3">
      <c r="A321" t="s">
        <v>784</v>
      </c>
      <c r="B321" t="s">
        <v>15</v>
      </c>
      <c r="C321" t="s">
        <v>16</v>
      </c>
      <c r="D321" s="7">
        <v>45955</v>
      </c>
      <c r="E321" s="7">
        <v>45959</v>
      </c>
      <c r="F321" s="7">
        <v>45960</v>
      </c>
      <c r="G321" s="7">
        <v>45962</v>
      </c>
      <c r="H321" t="s">
        <v>752</v>
      </c>
      <c r="I321" t="s">
        <v>753</v>
      </c>
      <c r="K321">
        <v>4</v>
      </c>
      <c r="L321">
        <v>1</v>
      </c>
      <c r="M321">
        <v>2</v>
      </c>
      <c r="O321" s="7">
        <v>45955</v>
      </c>
      <c r="P321" s="7">
        <v>45959</v>
      </c>
      <c r="Q321" s="7">
        <v>45962</v>
      </c>
      <c r="R321" t="s">
        <v>1049</v>
      </c>
    </row>
    <row r="322" spans="1:18" x14ac:dyDescent="0.3">
      <c r="A322" t="s">
        <v>255</v>
      </c>
      <c r="B322" t="s">
        <v>15</v>
      </c>
      <c r="C322" t="s">
        <v>16</v>
      </c>
      <c r="D322" s="7">
        <v>45952</v>
      </c>
      <c r="E322" s="7">
        <v>45956</v>
      </c>
      <c r="F322" s="7">
        <v>45960</v>
      </c>
      <c r="G322" s="7">
        <v>45962</v>
      </c>
      <c r="H322" t="s">
        <v>17</v>
      </c>
      <c r="J322" s="7">
        <v>45990</v>
      </c>
      <c r="K322">
        <v>4</v>
      </c>
      <c r="L322">
        <v>4</v>
      </c>
      <c r="M322">
        <v>2</v>
      </c>
      <c r="N322">
        <v>4</v>
      </c>
      <c r="O322" s="7">
        <v>45952</v>
      </c>
      <c r="P322" s="7">
        <v>45956</v>
      </c>
      <c r="Q322" s="7">
        <v>45962</v>
      </c>
      <c r="R322" t="s">
        <v>1049</v>
      </c>
    </row>
    <row r="323" spans="1:18" x14ac:dyDescent="0.3">
      <c r="A323" t="s">
        <v>912</v>
      </c>
      <c r="B323" t="s">
        <v>29</v>
      </c>
      <c r="C323" t="s">
        <v>841</v>
      </c>
      <c r="D323" s="7">
        <v>45957</v>
      </c>
      <c r="H323" t="s">
        <v>752</v>
      </c>
      <c r="I323" t="s">
        <v>777</v>
      </c>
      <c r="O323" s="7">
        <v>45957</v>
      </c>
      <c r="R323" t="s">
        <v>1050</v>
      </c>
    </row>
    <row r="324" spans="1:18" x14ac:dyDescent="0.3">
      <c r="A324" t="s">
        <v>785</v>
      </c>
      <c r="B324" t="s">
        <v>22</v>
      </c>
      <c r="C324" t="s">
        <v>16</v>
      </c>
      <c r="D324" s="7">
        <v>45939</v>
      </c>
      <c r="E324" s="7">
        <v>45944</v>
      </c>
      <c r="F324" s="7">
        <v>45946</v>
      </c>
      <c r="G324" s="7">
        <v>45953</v>
      </c>
      <c r="H324" t="s">
        <v>752</v>
      </c>
      <c r="I324" t="s">
        <v>756</v>
      </c>
      <c r="K324">
        <v>5</v>
      </c>
      <c r="L324">
        <v>2</v>
      </c>
      <c r="M324">
        <v>7</v>
      </c>
      <c r="O324" s="7">
        <v>45939</v>
      </c>
      <c r="P324" s="7">
        <v>45944</v>
      </c>
      <c r="Q324" s="7">
        <v>45953</v>
      </c>
      <c r="R324" t="s">
        <v>1049</v>
      </c>
    </row>
    <row r="325" spans="1:18" x14ac:dyDescent="0.3">
      <c r="A325" t="s">
        <v>706</v>
      </c>
      <c r="B325" t="s">
        <v>22</v>
      </c>
      <c r="C325" t="s">
        <v>474</v>
      </c>
      <c r="D325" s="7">
        <v>45949</v>
      </c>
      <c r="E325" s="7">
        <v>45954</v>
      </c>
      <c r="F325" s="7">
        <v>45959</v>
      </c>
      <c r="G325" s="7">
        <v>45964</v>
      </c>
      <c r="H325" t="s">
        <v>17</v>
      </c>
      <c r="J325" s="7">
        <v>45990</v>
      </c>
      <c r="K325">
        <v>5</v>
      </c>
      <c r="L325">
        <v>5</v>
      </c>
      <c r="M325">
        <v>5</v>
      </c>
      <c r="N325">
        <v>2</v>
      </c>
      <c r="O325" s="7">
        <v>45949</v>
      </c>
      <c r="P325" s="7">
        <v>45954</v>
      </c>
      <c r="Q325" s="7">
        <v>45964</v>
      </c>
      <c r="R325" t="s">
        <v>1049</v>
      </c>
    </row>
    <row r="326" spans="1:18" x14ac:dyDescent="0.3">
      <c r="A326" t="s">
        <v>786</v>
      </c>
      <c r="B326" t="s">
        <v>15</v>
      </c>
      <c r="C326" t="s">
        <v>474</v>
      </c>
      <c r="D326" s="7">
        <v>45932</v>
      </c>
      <c r="E326" s="7">
        <v>45937</v>
      </c>
      <c r="F326" s="7">
        <v>45941</v>
      </c>
      <c r="G326" s="7">
        <v>45943</v>
      </c>
      <c r="H326" t="s">
        <v>752</v>
      </c>
      <c r="I326" t="s">
        <v>758</v>
      </c>
      <c r="K326">
        <v>5</v>
      </c>
      <c r="L326">
        <v>4</v>
      </c>
      <c r="M326">
        <v>2</v>
      </c>
      <c r="O326" s="7">
        <v>45932</v>
      </c>
      <c r="P326" s="7">
        <v>45937</v>
      </c>
      <c r="Q326" s="7">
        <v>45943</v>
      </c>
      <c r="R326" t="s">
        <v>1049</v>
      </c>
    </row>
    <row r="327" spans="1:18" x14ac:dyDescent="0.3">
      <c r="A327" t="s">
        <v>542</v>
      </c>
      <c r="B327" t="s">
        <v>29</v>
      </c>
      <c r="C327" t="s">
        <v>474</v>
      </c>
      <c r="D327" s="7">
        <v>45955</v>
      </c>
      <c r="E327" s="7">
        <v>45957</v>
      </c>
      <c r="F327" s="7">
        <v>45961</v>
      </c>
      <c r="G327" s="7">
        <v>45963</v>
      </c>
      <c r="H327" t="s">
        <v>17</v>
      </c>
      <c r="J327" s="7">
        <v>45991</v>
      </c>
      <c r="K327">
        <v>2</v>
      </c>
      <c r="L327">
        <v>4</v>
      </c>
      <c r="M327">
        <v>2</v>
      </c>
      <c r="N327">
        <v>10</v>
      </c>
      <c r="O327" s="7">
        <v>45955</v>
      </c>
      <c r="P327" s="7">
        <v>45957</v>
      </c>
      <c r="Q327" s="7">
        <v>45963</v>
      </c>
      <c r="R327" t="s">
        <v>1049</v>
      </c>
    </row>
    <row r="328" spans="1:18" x14ac:dyDescent="0.3">
      <c r="A328" t="s">
        <v>55</v>
      </c>
      <c r="B328" t="s">
        <v>15</v>
      </c>
      <c r="C328" t="s">
        <v>16</v>
      </c>
      <c r="D328" s="7">
        <v>45955</v>
      </c>
      <c r="E328" s="7">
        <v>45958</v>
      </c>
      <c r="F328" s="7">
        <v>45963</v>
      </c>
      <c r="G328" s="7">
        <v>45966</v>
      </c>
      <c r="H328" t="s">
        <v>17</v>
      </c>
      <c r="J328" s="7">
        <v>45995</v>
      </c>
      <c r="K328">
        <v>3</v>
      </c>
      <c r="L328">
        <v>5</v>
      </c>
      <c r="M328">
        <v>3</v>
      </c>
      <c r="N328">
        <v>6</v>
      </c>
      <c r="O328" s="7">
        <v>45955</v>
      </c>
      <c r="P328" s="7">
        <v>45958</v>
      </c>
      <c r="Q328" s="7">
        <v>45966</v>
      </c>
      <c r="R328" t="s">
        <v>1049</v>
      </c>
    </row>
    <row r="329" spans="1:18" x14ac:dyDescent="0.3">
      <c r="A329" t="s">
        <v>56</v>
      </c>
      <c r="B329" t="s">
        <v>15</v>
      </c>
      <c r="C329" t="s">
        <v>16</v>
      </c>
      <c r="D329" s="7">
        <v>45936</v>
      </c>
      <c r="E329" s="7">
        <v>45939</v>
      </c>
      <c r="F329" s="7">
        <v>45940</v>
      </c>
      <c r="G329" s="7">
        <v>45945</v>
      </c>
      <c r="H329" t="s">
        <v>17</v>
      </c>
      <c r="J329" s="7">
        <v>45959</v>
      </c>
      <c r="K329">
        <v>3</v>
      </c>
      <c r="L329">
        <v>1</v>
      </c>
      <c r="M329">
        <v>5</v>
      </c>
      <c r="N329">
        <v>7</v>
      </c>
      <c r="O329" s="7">
        <v>45936</v>
      </c>
      <c r="P329" s="7">
        <v>45939</v>
      </c>
      <c r="Q329" s="7">
        <v>45945</v>
      </c>
      <c r="R329" t="s">
        <v>1049</v>
      </c>
    </row>
    <row r="330" spans="1:18" x14ac:dyDescent="0.3">
      <c r="A330" t="s">
        <v>57</v>
      </c>
      <c r="B330" t="s">
        <v>15</v>
      </c>
      <c r="C330" t="s">
        <v>16</v>
      </c>
      <c r="D330" s="7">
        <v>45946</v>
      </c>
      <c r="E330" s="7">
        <v>45949</v>
      </c>
      <c r="F330" s="7">
        <v>45954</v>
      </c>
      <c r="G330" s="7">
        <v>45959</v>
      </c>
      <c r="H330" t="s">
        <v>17</v>
      </c>
      <c r="J330" s="7">
        <v>45972</v>
      </c>
      <c r="K330">
        <v>3</v>
      </c>
      <c r="L330">
        <v>5</v>
      </c>
      <c r="M330">
        <v>5</v>
      </c>
      <c r="N330">
        <v>3</v>
      </c>
      <c r="O330" s="7">
        <v>45946</v>
      </c>
      <c r="P330" s="7">
        <v>45949</v>
      </c>
      <c r="Q330" s="7">
        <v>45959</v>
      </c>
      <c r="R330" t="s">
        <v>1049</v>
      </c>
    </row>
    <row r="331" spans="1:18" x14ac:dyDescent="0.3">
      <c r="A331" t="s">
        <v>256</v>
      </c>
      <c r="B331" t="s">
        <v>29</v>
      </c>
      <c r="C331" t="s">
        <v>16</v>
      </c>
      <c r="D331" s="7">
        <v>45947</v>
      </c>
      <c r="E331" s="7">
        <v>45951</v>
      </c>
      <c r="F331" s="7">
        <v>45955</v>
      </c>
      <c r="G331" s="7">
        <v>45957</v>
      </c>
      <c r="H331" t="s">
        <v>17</v>
      </c>
      <c r="J331" s="7">
        <v>45981</v>
      </c>
      <c r="K331">
        <v>4</v>
      </c>
      <c r="L331">
        <v>4</v>
      </c>
      <c r="M331">
        <v>2</v>
      </c>
      <c r="N331">
        <v>2</v>
      </c>
      <c r="O331" s="7">
        <v>45947</v>
      </c>
      <c r="P331" s="7">
        <v>45951</v>
      </c>
      <c r="Q331" s="7">
        <v>45957</v>
      </c>
      <c r="R331" t="s">
        <v>1049</v>
      </c>
    </row>
    <row r="332" spans="1:18" x14ac:dyDescent="0.3">
      <c r="A332" t="s">
        <v>543</v>
      </c>
      <c r="B332" t="s">
        <v>22</v>
      </c>
      <c r="C332" t="s">
        <v>474</v>
      </c>
      <c r="D332" s="7">
        <v>45951</v>
      </c>
      <c r="E332" s="7">
        <v>45955</v>
      </c>
      <c r="F332" s="7">
        <v>45958</v>
      </c>
      <c r="G332" s="7">
        <v>45963</v>
      </c>
      <c r="H332" t="s">
        <v>17</v>
      </c>
      <c r="J332" s="7">
        <v>45978</v>
      </c>
      <c r="K332">
        <v>4</v>
      </c>
      <c r="L332">
        <v>3</v>
      </c>
      <c r="M332">
        <v>5</v>
      </c>
      <c r="N332">
        <v>1</v>
      </c>
      <c r="O332" s="7">
        <v>45951</v>
      </c>
      <c r="P332" s="7">
        <v>45955</v>
      </c>
      <c r="Q332" s="7">
        <v>45963</v>
      </c>
      <c r="R332" t="s">
        <v>1049</v>
      </c>
    </row>
    <row r="333" spans="1:18" x14ac:dyDescent="0.3">
      <c r="A333" t="s">
        <v>58</v>
      </c>
      <c r="B333" t="s">
        <v>29</v>
      </c>
      <c r="C333" t="s">
        <v>16</v>
      </c>
      <c r="D333" s="7">
        <v>45945</v>
      </c>
      <c r="E333" s="7">
        <v>45948</v>
      </c>
      <c r="F333" s="7">
        <v>45949</v>
      </c>
      <c r="G333" s="7">
        <v>45952</v>
      </c>
      <c r="H333" t="s">
        <v>17</v>
      </c>
      <c r="J333" s="7">
        <v>45967</v>
      </c>
      <c r="K333">
        <v>3</v>
      </c>
      <c r="L333">
        <v>1</v>
      </c>
      <c r="M333">
        <v>3</v>
      </c>
      <c r="N333">
        <v>0</v>
      </c>
      <c r="O333" s="7">
        <v>45945</v>
      </c>
      <c r="P333" s="7">
        <v>45948</v>
      </c>
      <c r="Q333" s="7">
        <v>45952</v>
      </c>
      <c r="R333" t="s">
        <v>1049</v>
      </c>
    </row>
    <row r="334" spans="1:18" x14ac:dyDescent="0.3">
      <c r="A334" t="s">
        <v>707</v>
      </c>
      <c r="B334" t="s">
        <v>27</v>
      </c>
      <c r="C334" t="s">
        <v>474</v>
      </c>
      <c r="D334" s="7">
        <v>45960</v>
      </c>
      <c r="E334" s="7">
        <v>45965</v>
      </c>
      <c r="F334" s="7">
        <v>45969</v>
      </c>
      <c r="G334" s="7">
        <v>45976</v>
      </c>
      <c r="H334" t="s">
        <v>17</v>
      </c>
      <c r="J334" s="7">
        <v>45992</v>
      </c>
      <c r="K334">
        <v>5</v>
      </c>
      <c r="L334">
        <v>4</v>
      </c>
      <c r="M334">
        <v>7</v>
      </c>
      <c r="N334">
        <v>2</v>
      </c>
      <c r="O334" s="7">
        <v>45960</v>
      </c>
      <c r="P334" s="7">
        <v>45965</v>
      </c>
      <c r="Q334" s="7">
        <v>45976</v>
      </c>
      <c r="R334" t="s">
        <v>1049</v>
      </c>
    </row>
    <row r="335" spans="1:18" x14ac:dyDescent="0.3">
      <c r="A335" t="s">
        <v>346</v>
      </c>
      <c r="B335" t="s">
        <v>29</v>
      </c>
      <c r="C335" t="s">
        <v>16</v>
      </c>
      <c r="D335" s="7">
        <v>45939</v>
      </c>
      <c r="E335" s="7">
        <v>45940</v>
      </c>
      <c r="F335" s="7">
        <v>45943</v>
      </c>
      <c r="G335" s="7">
        <v>45946</v>
      </c>
      <c r="H335" t="s">
        <v>17</v>
      </c>
      <c r="J335" s="7">
        <v>45962</v>
      </c>
      <c r="K335">
        <v>1</v>
      </c>
      <c r="L335">
        <v>3</v>
      </c>
      <c r="M335">
        <v>3</v>
      </c>
      <c r="N335">
        <v>2</v>
      </c>
      <c r="O335" s="7">
        <v>45939</v>
      </c>
      <c r="P335" s="7">
        <v>45940</v>
      </c>
      <c r="Q335" s="7">
        <v>45946</v>
      </c>
      <c r="R335" t="s">
        <v>1049</v>
      </c>
    </row>
    <row r="336" spans="1:18" x14ac:dyDescent="0.3">
      <c r="A336" t="s">
        <v>544</v>
      </c>
      <c r="B336" t="s">
        <v>29</v>
      </c>
      <c r="C336" t="s">
        <v>474</v>
      </c>
      <c r="D336" s="7">
        <v>45936</v>
      </c>
      <c r="E336" s="7">
        <v>45939</v>
      </c>
      <c r="F336" s="7">
        <v>45940</v>
      </c>
      <c r="G336" s="7">
        <v>45947</v>
      </c>
      <c r="H336" t="s">
        <v>17</v>
      </c>
      <c r="J336" s="7">
        <v>45961</v>
      </c>
      <c r="K336">
        <v>3</v>
      </c>
      <c r="L336">
        <v>1</v>
      </c>
      <c r="M336">
        <v>7</v>
      </c>
      <c r="N336">
        <v>1</v>
      </c>
      <c r="O336" s="7">
        <v>45936</v>
      </c>
      <c r="P336" s="7">
        <v>45939</v>
      </c>
      <c r="Q336" s="7">
        <v>45947</v>
      </c>
      <c r="R336" t="s">
        <v>1049</v>
      </c>
    </row>
    <row r="337" spans="1:18" x14ac:dyDescent="0.3">
      <c r="A337" t="s">
        <v>913</v>
      </c>
      <c r="B337" t="s">
        <v>29</v>
      </c>
      <c r="C337" t="s">
        <v>841</v>
      </c>
      <c r="D337" s="7">
        <v>45949</v>
      </c>
      <c r="H337" t="s">
        <v>752</v>
      </c>
      <c r="I337" t="s">
        <v>765</v>
      </c>
      <c r="O337" s="7">
        <v>45949</v>
      </c>
      <c r="R337" t="s">
        <v>1050</v>
      </c>
    </row>
    <row r="338" spans="1:18" x14ac:dyDescent="0.3">
      <c r="A338" t="s">
        <v>545</v>
      </c>
      <c r="B338" t="s">
        <v>29</v>
      </c>
      <c r="C338" t="s">
        <v>474</v>
      </c>
      <c r="D338" s="7">
        <v>45944</v>
      </c>
      <c r="E338" s="7">
        <v>45945</v>
      </c>
      <c r="F338" s="7">
        <v>45947</v>
      </c>
      <c r="G338" s="7">
        <v>45951</v>
      </c>
      <c r="H338" t="s">
        <v>17</v>
      </c>
      <c r="J338" s="7">
        <v>45962</v>
      </c>
      <c r="K338">
        <v>1</v>
      </c>
      <c r="L338">
        <v>2</v>
      </c>
      <c r="M338">
        <v>4</v>
      </c>
      <c r="N338">
        <v>7</v>
      </c>
      <c r="O338" s="7">
        <v>45944</v>
      </c>
      <c r="P338" s="7">
        <v>45945</v>
      </c>
      <c r="Q338" s="7">
        <v>45951</v>
      </c>
      <c r="R338" t="s">
        <v>1049</v>
      </c>
    </row>
    <row r="339" spans="1:18" x14ac:dyDescent="0.3">
      <c r="A339" t="s">
        <v>914</v>
      </c>
      <c r="B339" t="s">
        <v>22</v>
      </c>
      <c r="C339" t="s">
        <v>841</v>
      </c>
      <c r="D339" s="7">
        <v>45951</v>
      </c>
      <c r="H339" t="s">
        <v>752</v>
      </c>
      <c r="I339" t="s">
        <v>756</v>
      </c>
      <c r="O339" s="7">
        <v>45951</v>
      </c>
      <c r="R339" t="s">
        <v>1050</v>
      </c>
    </row>
    <row r="340" spans="1:18" x14ac:dyDescent="0.3">
      <c r="A340" t="s">
        <v>59</v>
      </c>
      <c r="B340" t="s">
        <v>27</v>
      </c>
      <c r="C340" t="s">
        <v>16</v>
      </c>
      <c r="D340" s="7">
        <v>45957</v>
      </c>
      <c r="E340" s="7">
        <v>45960</v>
      </c>
      <c r="F340" s="7">
        <v>45965</v>
      </c>
      <c r="G340" s="7">
        <v>45968</v>
      </c>
      <c r="H340" t="s">
        <v>17</v>
      </c>
      <c r="J340" s="7">
        <v>45991</v>
      </c>
      <c r="K340">
        <v>3</v>
      </c>
      <c r="L340">
        <v>5</v>
      </c>
      <c r="M340">
        <v>3</v>
      </c>
      <c r="N340">
        <v>3</v>
      </c>
      <c r="O340" s="7">
        <v>45957</v>
      </c>
      <c r="P340" s="7">
        <v>45960</v>
      </c>
      <c r="Q340" s="7">
        <v>45968</v>
      </c>
      <c r="R340" t="s">
        <v>1049</v>
      </c>
    </row>
    <row r="341" spans="1:18" x14ac:dyDescent="0.3">
      <c r="A341" t="s">
        <v>915</v>
      </c>
      <c r="B341" t="s">
        <v>22</v>
      </c>
      <c r="C341" t="s">
        <v>841</v>
      </c>
      <c r="D341" s="7">
        <v>45946</v>
      </c>
      <c r="H341" t="s">
        <v>752</v>
      </c>
      <c r="I341" t="s">
        <v>756</v>
      </c>
      <c r="O341" s="7">
        <v>45946</v>
      </c>
      <c r="R341" t="s">
        <v>1050</v>
      </c>
    </row>
    <row r="342" spans="1:18" x14ac:dyDescent="0.3">
      <c r="A342" t="s">
        <v>347</v>
      </c>
      <c r="B342" t="s">
        <v>22</v>
      </c>
      <c r="C342" t="s">
        <v>16</v>
      </c>
      <c r="D342" s="7">
        <v>45933</v>
      </c>
      <c r="E342" s="7">
        <v>45934</v>
      </c>
      <c r="F342" s="7">
        <v>45935</v>
      </c>
      <c r="G342" s="7">
        <v>45939</v>
      </c>
      <c r="H342" t="s">
        <v>17</v>
      </c>
      <c r="J342" s="7">
        <v>45951</v>
      </c>
      <c r="K342">
        <v>1</v>
      </c>
      <c r="L342">
        <v>1</v>
      </c>
      <c r="M342">
        <v>4</v>
      </c>
      <c r="N342">
        <v>10</v>
      </c>
      <c r="O342" s="7">
        <v>45933</v>
      </c>
      <c r="P342" s="7">
        <v>45934</v>
      </c>
      <c r="Q342" s="7">
        <v>45939</v>
      </c>
      <c r="R342" t="s">
        <v>1049</v>
      </c>
    </row>
    <row r="343" spans="1:18" x14ac:dyDescent="0.3">
      <c r="A343" t="s">
        <v>162</v>
      </c>
      <c r="B343" t="s">
        <v>29</v>
      </c>
      <c r="C343" t="s">
        <v>16</v>
      </c>
      <c r="D343" s="7">
        <v>45946</v>
      </c>
      <c r="E343" s="7">
        <v>45951</v>
      </c>
      <c r="F343" s="7">
        <v>45952</v>
      </c>
      <c r="G343" s="7">
        <v>45954</v>
      </c>
      <c r="H343" t="s">
        <v>17</v>
      </c>
      <c r="J343" s="7">
        <v>45977</v>
      </c>
      <c r="K343">
        <v>5</v>
      </c>
      <c r="L343">
        <v>1</v>
      </c>
      <c r="M343">
        <v>2</v>
      </c>
      <c r="N343">
        <v>1</v>
      </c>
      <c r="O343" s="7">
        <v>45946</v>
      </c>
      <c r="P343" s="7">
        <v>45951</v>
      </c>
      <c r="Q343" s="7">
        <v>45954</v>
      </c>
      <c r="R343" t="s">
        <v>1049</v>
      </c>
    </row>
    <row r="344" spans="1:18" x14ac:dyDescent="0.3">
      <c r="A344" t="s">
        <v>257</v>
      </c>
      <c r="B344" t="s">
        <v>15</v>
      </c>
      <c r="C344" t="s">
        <v>16</v>
      </c>
      <c r="D344" s="7">
        <v>45942</v>
      </c>
      <c r="E344" s="7">
        <v>45946</v>
      </c>
      <c r="F344" s="7">
        <v>45950</v>
      </c>
      <c r="G344" s="7">
        <v>45957</v>
      </c>
      <c r="H344" t="s">
        <v>17</v>
      </c>
      <c r="J344" s="7">
        <v>45973</v>
      </c>
      <c r="K344">
        <v>4</v>
      </c>
      <c r="L344">
        <v>4</v>
      </c>
      <c r="M344">
        <v>7</v>
      </c>
      <c r="N344">
        <v>4</v>
      </c>
      <c r="O344" s="7">
        <v>45942</v>
      </c>
      <c r="P344" s="7">
        <v>45946</v>
      </c>
      <c r="Q344" s="7">
        <v>45957</v>
      </c>
      <c r="R344" t="s">
        <v>1049</v>
      </c>
    </row>
    <row r="345" spans="1:18" x14ac:dyDescent="0.3">
      <c r="A345" t="s">
        <v>60</v>
      </c>
      <c r="B345" t="s">
        <v>15</v>
      </c>
      <c r="C345" t="s">
        <v>16</v>
      </c>
      <c r="D345" s="7">
        <v>45944</v>
      </c>
      <c r="E345" s="7">
        <v>45947</v>
      </c>
      <c r="F345" s="7">
        <v>45950</v>
      </c>
      <c r="G345" s="7">
        <v>45954</v>
      </c>
      <c r="H345" t="s">
        <v>17</v>
      </c>
      <c r="J345" s="7">
        <v>45984</v>
      </c>
      <c r="K345">
        <v>3</v>
      </c>
      <c r="L345">
        <v>3</v>
      </c>
      <c r="M345">
        <v>4</v>
      </c>
      <c r="N345">
        <v>8</v>
      </c>
      <c r="O345" s="7">
        <v>45944</v>
      </c>
      <c r="P345" s="7">
        <v>45947</v>
      </c>
      <c r="Q345" s="7">
        <v>45954</v>
      </c>
      <c r="R345" t="s">
        <v>1049</v>
      </c>
    </row>
    <row r="346" spans="1:18" x14ac:dyDescent="0.3">
      <c r="A346" t="s">
        <v>61</v>
      </c>
      <c r="B346" t="s">
        <v>22</v>
      </c>
      <c r="C346" t="s">
        <v>16</v>
      </c>
      <c r="D346" s="7">
        <v>45941</v>
      </c>
      <c r="E346" s="7">
        <v>45944</v>
      </c>
      <c r="F346" s="7">
        <v>45945</v>
      </c>
      <c r="G346" s="7">
        <v>45949</v>
      </c>
      <c r="H346" t="s">
        <v>17</v>
      </c>
      <c r="J346" s="7">
        <v>45963</v>
      </c>
      <c r="K346">
        <v>3</v>
      </c>
      <c r="L346">
        <v>1</v>
      </c>
      <c r="M346">
        <v>4</v>
      </c>
      <c r="N346">
        <v>3</v>
      </c>
      <c r="O346" s="7">
        <v>45941</v>
      </c>
      <c r="P346" s="7">
        <v>45944</v>
      </c>
      <c r="Q346" s="7">
        <v>45949</v>
      </c>
      <c r="R346" t="s">
        <v>1049</v>
      </c>
    </row>
    <row r="347" spans="1:18" x14ac:dyDescent="0.3">
      <c r="A347" t="s">
        <v>163</v>
      </c>
      <c r="B347" t="s">
        <v>22</v>
      </c>
      <c r="C347" t="s">
        <v>16</v>
      </c>
      <c r="D347" s="7">
        <v>45941</v>
      </c>
      <c r="E347" s="7">
        <v>45946</v>
      </c>
      <c r="F347" s="7">
        <v>45951</v>
      </c>
      <c r="G347" s="7">
        <v>45953</v>
      </c>
      <c r="H347" t="s">
        <v>17</v>
      </c>
      <c r="J347" s="7">
        <v>45982</v>
      </c>
      <c r="K347">
        <v>5</v>
      </c>
      <c r="L347">
        <v>5</v>
      </c>
      <c r="M347">
        <v>2</v>
      </c>
      <c r="N347">
        <v>6</v>
      </c>
      <c r="O347" s="7">
        <v>45941</v>
      </c>
      <c r="P347" s="7">
        <v>45946</v>
      </c>
      <c r="Q347" s="7">
        <v>45953</v>
      </c>
      <c r="R347" t="s">
        <v>1049</v>
      </c>
    </row>
    <row r="348" spans="1:18" x14ac:dyDescent="0.3">
      <c r="A348" t="s">
        <v>413</v>
      </c>
      <c r="B348" t="s">
        <v>29</v>
      </c>
      <c r="C348" t="s">
        <v>16</v>
      </c>
      <c r="D348" s="7">
        <v>45952</v>
      </c>
      <c r="E348" s="7">
        <v>45954</v>
      </c>
      <c r="F348" s="7">
        <v>45955</v>
      </c>
      <c r="G348" s="7">
        <v>45959</v>
      </c>
      <c r="H348" t="s">
        <v>17</v>
      </c>
      <c r="J348" s="7">
        <v>45977</v>
      </c>
      <c r="K348">
        <v>2</v>
      </c>
      <c r="L348">
        <v>1</v>
      </c>
      <c r="M348">
        <v>4</v>
      </c>
      <c r="N348">
        <v>4</v>
      </c>
      <c r="O348" s="7">
        <v>45952</v>
      </c>
      <c r="P348" s="7">
        <v>45954</v>
      </c>
      <c r="Q348" s="7">
        <v>45959</v>
      </c>
      <c r="R348" t="s">
        <v>1049</v>
      </c>
    </row>
    <row r="349" spans="1:18" x14ac:dyDescent="0.3">
      <c r="A349" t="s">
        <v>546</v>
      </c>
      <c r="B349" t="s">
        <v>22</v>
      </c>
      <c r="C349" t="s">
        <v>474</v>
      </c>
      <c r="D349" s="7">
        <v>45934</v>
      </c>
      <c r="E349" s="7">
        <v>45937</v>
      </c>
      <c r="F349" s="7">
        <v>45938</v>
      </c>
      <c r="G349" s="7">
        <v>45945</v>
      </c>
      <c r="H349" t="s">
        <v>17</v>
      </c>
      <c r="J349" s="7">
        <v>45965</v>
      </c>
      <c r="K349">
        <v>3</v>
      </c>
      <c r="L349">
        <v>1</v>
      </c>
      <c r="M349">
        <v>7</v>
      </c>
      <c r="N349">
        <v>8</v>
      </c>
      <c r="O349" s="7">
        <v>45934</v>
      </c>
      <c r="P349" s="7">
        <v>45937</v>
      </c>
      <c r="Q349" s="7">
        <v>45945</v>
      </c>
      <c r="R349" t="s">
        <v>1049</v>
      </c>
    </row>
    <row r="350" spans="1:18" x14ac:dyDescent="0.3">
      <c r="A350" t="s">
        <v>348</v>
      </c>
      <c r="B350" t="s">
        <v>29</v>
      </c>
      <c r="C350" t="s">
        <v>16</v>
      </c>
      <c r="D350" s="7">
        <v>45958</v>
      </c>
      <c r="E350" s="7">
        <v>45959</v>
      </c>
      <c r="F350" s="7">
        <v>45963</v>
      </c>
      <c r="G350" s="7">
        <v>45970</v>
      </c>
      <c r="H350" t="s">
        <v>17</v>
      </c>
      <c r="J350" s="7">
        <v>45982</v>
      </c>
      <c r="K350">
        <v>1</v>
      </c>
      <c r="L350">
        <v>4</v>
      </c>
      <c r="M350">
        <v>7</v>
      </c>
      <c r="N350">
        <v>4</v>
      </c>
      <c r="O350" s="7">
        <v>45958</v>
      </c>
      <c r="P350" s="7">
        <v>45959</v>
      </c>
      <c r="Q350" s="7">
        <v>45970</v>
      </c>
      <c r="R350" t="s">
        <v>1049</v>
      </c>
    </row>
    <row r="351" spans="1:18" x14ac:dyDescent="0.3">
      <c r="A351" t="s">
        <v>164</v>
      </c>
      <c r="B351" t="s">
        <v>15</v>
      </c>
      <c r="C351" t="s">
        <v>16</v>
      </c>
      <c r="D351" s="7">
        <v>45936</v>
      </c>
      <c r="E351" s="7">
        <v>45941</v>
      </c>
      <c r="F351" s="7">
        <v>45942</v>
      </c>
      <c r="G351" s="7">
        <v>45945</v>
      </c>
      <c r="H351" t="s">
        <v>17</v>
      </c>
      <c r="J351" s="7">
        <v>45957</v>
      </c>
      <c r="K351">
        <v>5</v>
      </c>
      <c r="L351">
        <v>1</v>
      </c>
      <c r="M351">
        <v>3</v>
      </c>
      <c r="N351">
        <v>6</v>
      </c>
      <c r="O351" s="7">
        <v>45936</v>
      </c>
      <c r="P351" s="7">
        <v>45941</v>
      </c>
      <c r="Q351" s="7">
        <v>45945</v>
      </c>
      <c r="R351" t="s">
        <v>1049</v>
      </c>
    </row>
    <row r="352" spans="1:18" x14ac:dyDescent="0.3">
      <c r="A352" t="s">
        <v>787</v>
      </c>
      <c r="B352" t="s">
        <v>15</v>
      </c>
      <c r="C352" t="s">
        <v>16</v>
      </c>
      <c r="D352" s="7">
        <v>45941</v>
      </c>
      <c r="E352" s="7">
        <v>45943</v>
      </c>
      <c r="F352" s="7">
        <v>45946</v>
      </c>
      <c r="G352" s="7">
        <v>45948</v>
      </c>
      <c r="H352" t="s">
        <v>752</v>
      </c>
      <c r="I352" t="s">
        <v>758</v>
      </c>
      <c r="K352">
        <v>2</v>
      </c>
      <c r="L352">
        <v>3</v>
      </c>
      <c r="M352">
        <v>2</v>
      </c>
      <c r="O352" s="7">
        <v>45941</v>
      </c>
      <c r="P352" s="7">
        <v>45943</v>
      </c>
      <c r="Q352" s="7">
        <v>45948</v>
      </c>
      <c r="R352" t="s">
        <v>1049</v>
      </c>
    </row>
    <row r="353" spans="1:18" x14ac:dyDescent="0.3">
      <c r="A353" t="s">
        <v>788</v>
      </c>
      <c r="B353" t="s">
        <v>27</v>
      </c>
      <c r="C353" t="s">
        <v>16</v>
      </c>
      <c r="D353" s="7">
        <v>45944</v>
      </c>
      <c r="E353" s="7">
        <v>45947</v>
      </c>
      <c r="F353" s="7">
        <v>45951</v>
      </c>
      <c r="G353" s="7">
        <v>45956</v>
      </c>
      <c r="H353" t="s">
        <v>752</v>
      </c>
      <c r="I353" t="s">
        <v>753</v>
      </c>
      <c r="K353">
        <v>3</v>
      </c>
      <c r="L353">
        <v>4</v>
      </c>
      <c r="M353">
        <v>5</v>
      </c>
      <c r="O353" s="7">
        <v>45944</v>
      </c>
      <c r="P353" s="7">
        <v>45947</v>
      </c>
      <c r="Q353" s="7">
        <v>45956</v>
      </c>
      <c r="R353" t="s">
        <v>1049</v>
      </c>
    </row>
    <row r="354" spans="1:18" x14ac:dyDescent="0.3">
      <c r="A354" t="s">
        <v>62</v>
      </c>
      <c r="B354" t="s">
        <v>15</v>
      </c>
      <c r="C354" t="s">
        <v>16</v>
      </c>
      <c r="D354" s="7">
        <v>45953</v>
      </c>
      <c r="E354" s="7">
        <v>45956</v>
      </c>
      <c r="F354" s="7">
        <v>45958</v>
      </c>
      <c r="G354" s="7">
        <v>45965</v>
      </c>
      <c r="H354" t="s">
        <v>17</v>
      </c>
      <c r="J354" s="7">
        <v>45987</v>
      </c>
      <c r="K354">
        <v>3</v>
      </c>
      <c r="L354">
        <v>2</v>
      </c>
      <c r="M354">
        <v>7</v>
      </c>
      <c r="N354">
        <v>5</v>
      </c>
      <c r="O354" s="7">
        <v>45953</v>
      </c>
      <c r="P354" s="7">
        <v>45956</v>
      </c>
      <c r="Q354" s="7">
        <v>45965</v>
      </c>
      <c r="R354" t="s">
        <v>1049</v>
      </c>
    </row>
    <row r="355" spans="1:18" x14ac:dyDescent="0.3">
      <c r="A355" t="s">
        <v>916</v>
      </c>
      <c r="B355" t="s">
        <v>22</v>
      </c>
      <c r="C355" t="s">
        <v>841</v>
      </c>
      <c r="D355" s="7">
        <v>45946</v>
      </c>
      <c r="H355" t="s">
        <v>752</v>
      </c>
      <c r="I355" t="s">
        <v>777</v>
      </c>
      <c r="O355" s="7">
        <v>45946</v>
      </c>
      <c r="R355" t="s">
        <v>1050</v>
      </c>
    </row>
    <row r="356" spans="1:18" x14ac:dyDescent="0.3">
      <c r="A356" t="s">
        <v>547</v>
      </c>
      <c r="B356" t="s">
        <v>15</v>
      </c>
      <c r="C356" t="s">
        <v>474</v>
      </c>
      <c r="D356" s="7">
        <v>45940</v>
      </c>
      <c r="E356" s="7">
        <v>45944</v>
      </c>
      <c r="F356" s="7">
        <v>45946</v>
      </c>
      <c r="G356" s="7">
        <v>45950</v>
      </c>
      <c r="H356" t="s">
        <v>17</v>
      </c>
      <c r="J356" s="7">
        <v>45977</v>
      </c>
      <c r="K356">
        <v>4</v>
      </c>
      <c r="L356">
        <v>2</v>
      </c>
      <c r="M356">
        <v>4</v>
      </c>
      <c r="N356">
        <v>2</v>
      </c>
      <c r="O356" s="7">
        <v>45940</v>
      </c>
      <c r="P356" s="7">
        <v>45944</v>
      </c>
      <c r="Q356" s="7">
        <v>45950</v>
      </c>
      <c r="R356" t="s">
        <v>1049</v>
      </c>
    </row>
    <row r="357" spans="1:18" x14ac:dyDescent="0.3">
      <c r="A357" t="s">
        <v>414</v>
      </c>
      <c r="B357" t="s">
        <v>29</v>
      </c>
      <c r="C357" t="s">
        <v>16</v>
      </c>
      <c r="D357" s="7">
        <v>45952</v>
      </c>
      <c r="E357" s="7">
        <v>45954</v>
      </c>
      <c r="F357" s="7">
        <v>45958</v>
      </c>
      <c r="G357" s="7">
        <v>45965</v>
      </c>
      <c r="H357" t="s">
        <v>17</v>
      </c>
      <c r="J357" s="7">
        <v>45987</v>
      </c>
      <c r="K357">
        <v>2</v>
      </c>
      <c r="L357">
        <v>4</v>
      </c>
      <c r="M357">
        <v>7</v>
      </c>
      <c r="N357">
        <v>3</v>
      </c>
      <c r="O357" s="7">
        <v>45952</v>
      </c>
      <c r="P357" s="7">
        <v>45954</v>
      </c>
      <c r="Q357" s="7">
        <v>45965</v>
      </c>
      <c r="R357" t="s">
        <v>1049</v>
      </c>
    </row>
    <row r="358" spans="1:18" x14ac:dyDescent="0.3">
      <c r="A358" t="s">
        <v>165</v>
      </c>
      <c r="B358" t="s">
        <v>15</v>
      </c>
      <c r="C358" t="s">
        <v>16</v>
      </c>
      <c r="D358" s="7">
        <v>45961</v>
      </c>
      <c r="E358" s="7">
        <v>45966</v>
      </c>
      <c r="F358" s="7">
        <v>45969</v>
      </c>
      <c r="G358" s="7">
        <v>45976</v>
      </c>
      <c r="H358" t="s">
        <v>17</v>
      </c>
      <c r="J358" s="7">
        <v>46003</v>
      </c>
      <c r="K358">
        <v>5</v>
      </c>
      <c r="L358">
        <v>3</v>
      </c>
      <c r="M358">
        <v>7</v>
      </c>
      <c r="N358">
        <v>10</v>
      </c>
      <c r="O358" s="7">
        <v>45961</v>
      </c>
      <c r="P358" s="7">
        <v>45966</v>
      </c>
      <c r="Q358" s="7">
        <v>45976</v>
      </c>
      <c r="R358" t="s">
        <v>1049</v>
      </c>
    </row>
    <row r="359" spans="1:18" x14ac:dyDescent="0.3">
      <c r="A359" t="s">
        <v>349</v>
      </c>
      <c r="B359" t="s">
        <v>27</v>
      </c>
      <c r="C359" t="s">
        <v>16</v>
      </c>
      <c r="D359" s="7">
        <v>45943</v>
      </c>
      <c r="E359" s="7">
        <v>45944</v>
      </c>
      <c r="F359" s="7">
        <v>45948</v>
      </c>
      <c r="G359" s="7">
        <v>45951</v>
      </c>
      <c r="H359" t="s">
        <v>17</v>
      </c>
      <c r="J359" s="7">
        <v>45971</v>
      </c>
      <c r="K359">
        <v>1</v>
      </c>
      <c r="L359">
        <v>4</v>
      </c>
      <c r="M359">
        <v>3</v>
      </c>
      <c r="N359">
        <v>3</v>
      </c>
      <c r="O359" s="7">
        <v>45943</v>
      </c>
      <c r="P359" s="7">
        <v>45944</v>
      </c>
      <c r="Q359" s="7">
        <v>45951</v>
      </c>
      <c r="R359" t="s">
        <v>1049</v>
      </c>
    </row>
    <row r="360" spans="1:18" x14ac:dyDescent="0.3">
      <c r="A360" t="s">
        <v>917</v>
      </c>
      <c r="B360" t="s">
        <v>15</v>
      </c>
      <c r="C360" t="s">
        <v>841</v>
      </c>
      <c r="D360" s="7">
        <v>45957</v>
      </c>
      <c r="H360" t="s">
        <v>752</v>
      </c>
      <c r="I360" t="s">
        <v>758</v>
      </c>
      <c r="O360" s="7">
        <v>45957</v>
      </c>
      <c r="R360" t="s">
        <v>1050</v>
      </c>
    </row>
    <row r="361" spans="1:18" x14ac:dyDescent="0.3">
      <c r="A361" t="s">
        <v>548</v>
      </c>
      <c r="B361" t="s">
        <v>29</v>
      </c>
      <c r="C361" t="s">
        <v>474</v>
      </c>
      <c r="D361" s="7">
        <v>45955</v>
      </c>
      <c r="E361" s="7">
        <v>45958</v>
      </c>
      <c r="F361" s="7">
        <v>45962</v>
      </c>
      <c r="G361" s="7">
        <v>45967</v>
      </c>
      <c r="H361" t="s">
        <v>17</v>
      </c>
      <c r="J361" s="7">
        <v>45985</v>
      </c>
      <c r="K361">
        <v>3</v>
      </c>
      <c r="L361">
        <v>4</v>
      </c>
      <c r="M361">
        <v>5</v>
      </c>
      <c r="N361">
        <v>5</v>
      </c>
      <c r="O361" s="7">
        <v>45955</v>
      </c>
      <c r="P361" s="7">
        <v>45958</v>
      </c>
      <c r="Q361" s="7">
        <v>45967</v>
      </c>
      <c r="R361" t="s">
        <v>1049</v>
      </c>
    </row>
    <row r="362" spans="1:18" x14ac:dyDescent="0.3">
      <c r="A362" t="s">
        <v>166</v>
      </c>
      <c r="B362" t="s">
        <v>29</v>
      </c>
      <c r="C362" t="s">
        <v>16</v>
      </c>
      <c r="D362" s="7">
        <v>45948</v>
      </c>
      <c r="E362" s="7">
        <v>45953</v>
      </c>
      <c r="F362" s="7">
        <v>45957</v>
      </c>
      <c r="G362" s="7">
        <v>45964</v>
      </c>
      <c r="H362" t="s">
        <v>17</v>
      </c>
      <c r="J362" s="7">
        <v>45990</v>
      </c>
      <c r="K362">
        <v>5</v>
      </c>
      <c r="L362">
        <v>4</v>
      </c>
      <c r="M362">
        <v>7</v>
      </c>
      <c r="N362">
        <v>8</v>
      </c>
      <c r="O362" s="7">
        <v>45948</v>
      </c>
      <c r="P362" s="7">
        <v>45953</v>
      </c>
      <c r="Q362" s="7">
        <v>45964</v>
      </c>
      <c r="R362" t="s">
        <v>1049</v>
      </c>
    </row>
    <row r="363" spans="1:18" x14ac:dyDescent="0.3">
      <c r="A363" t="s">
        <v>258</v>
      </c>
      <c r="B363" t="s">
        <v>22</v>
      </c>
      <c r="C363" t="s">
        <v>16</v>
      </c>
      <c r="D363" s="7">
        <v>45932</v>
      </c>
      <c r="E363" s="7">
        <v>45936</v>
      </c>
      <c r="F363" s="7">
        <v>45940</v>
      </c>
      <c r="G363" s="7">
        <v>45942</v>
      </c>
      <c r="H363" t="s">
        <v>17</v>
      </c>
      <c r="J363" s="7">
        <v>45966</v>
      </c>
      <c r="K363">
        <v>4</v>
      </c>
      <c r="L363">
        <v>4</v>
      </c>
      <c r="M363">
        <v>2</v>
      </c>
      <c r="N363">
        <v>0</v>
      </c>
      <c r="O363" s="7">
        <v>45932</v>
      </c>
      <c r="P363" s="7">
        <v>45936</v>
      </c>
      <c r="Q363" s="7">
        <v>45942</v>
      </c>
      <c r="R363" t="s">
        <v>1049</v>
      </c>
    </row>
    <row r="364" spans="1:18" x14ac:dyDescent="0.3">
      <c r="A364" t="s">
        <v>63</v>
      </c>
      <c r="B364" t="s">
        <v>15</v>
      </c>
      <c r="C364" t="s">
        <v>16</v>
      </c>
      <c r="D364" s="7">
        <v>45945</v>
      </c>
      <c r="E364" s="7">
        <v>45948</v>
      </c>
      <c r="F364" s="7">
        <v>45949</v>
      </c>
      <c r="G364" s="7">
        <v>45956</v>
      </c>
      <c r="H364" t="s">
        <v>17</v>
      </c>
      <c r="J364" s="7">
        <v>45966</v>
      </c>
      <c r="K364">
        <v>3</v>
      </c>
      <c r="L364">
        <v>1</v>
      </c>
      <c r="M364">
        <v>7</v>
      </c>
      <c r="N364">
        <v>1</v>
      </c>
      <c r="O364" s="7">
        <v>45945</v>
      </c>
      <c r="P364" s="7">
        <v>45948</v>
      </c>
      <c r="Q364" s="7">
        <v>45956</v>
      </c>
      <c r="R364" t="s">
        <v>1049</v>
      </c>
    </row>
    <row r="365" spans="1:18" x14ac:dyDescent="0.3">
      <c r="A365" t="s">
        <v>415</v>
      </c>
      <c r="B365" t="s">
        <v>29</v>
      </c>
      <c r="C365" t="s">
        <v>16</v>
      </c>
      <c r="D365" s="7">
        <v>45933</v>
      </c>
      <c r="E365" s="7">
        <v>45935</v>
      </c>
      <c r="F365" s="7">
        <v>45940</v>
      </c>
      <c r="G365" s="7">
        <v>45942</v>
      </c>
      <c r="H365" t="s">
        <v>17</v>
      </c>
      <c r="J365" s="7">
        <v>45971</v>
      </c>
      <c r="K365">
        <v>2</v>
      </c>
      <c r="L365">
        <v>5</v>
      </c>
      <c r="M365">
        <v>2</v>
      </c>
      <c r="N365">
        <v>4</v>
      </c>
      <c r="O365" s="7">
        <v>45933</v>
      </c>
      <c r="P365" s="7">
        <v>45935</v>
      </c>
      <c r="Q365" s="7">
        <v>45942</v>
      </c>
      <c r="R365" t="s">
        <v>1049</v>
      </c>
    </row>
    <row r="366" spans="1:18" x14ac:dyDescent="0.3">
      <c r="A366" t="s">
        <v>167</v>
      </c>
      <c r="B366" t="s">
        <v>27</v>
      </c>
      <c r="C366" t="s">
        <v>16</v>
      </c>
      <c r="D366" s="7">
        <v>45941</v>
      </c>
      <c r="E366" s="7">
        <v>45946</v>
      </c>
      <c r="F366" s="7">
        <v>45948</v>
      </c>
      <c r="G366" s="7">
        <v>45950</v>
      </c>
      <c r="H366" t="s">
        <v>17</v>
      </c>
      <c r="J366" s="7">
        <v>45978</v>
      </c>
      <c r="K366">
        <v>5</v>
      </c>
      <c r="L366">
        <v>2</v>
      </c>
      <c r="M366">
        <v>2</v>
      </c>
      <c r="N366">
        <v>5</v>
      </c>
      <c r="O366" s="7">
        <v>45941</v>
      </c>
      <c r="P366" s="7">
        <v>45946</v>
      </c>
      <c r="Q366" s="7">
        <v>45950</v>
      </c>
      <c r="R366" t="s">
        <v>1049</v>
      </c>
    </row>
    <row r="367" spans="1:18" x14ac:dyDescent="0.3">
      <c r="A367" t="s">
        <v>350</v>
      </c>
      <c r="B367" t="s">
        <v>22</v>
      </c>
      <c r="C367" t="s">
        <v>16</v>
      </c>
      <c r="D367" s="7">
        <v>45939</v>
      </c>
      <c r="E367" s="7">
        <v>45940</v>
      </c>
      <c r="F367" s="7">
        <v>45943</v>
      </c>
      <c r="G367" s="7">
        <v>45946</v>
      </c>
      <c r="H367" t="s">
        <v>17</v>
      </c>
      <c r="J367" s="7">
        <v>45972</v>
      </c>
      <c r="K367">
        <v>1</v>
      </c>
      <c r="L367">
        <v>3</v>
      </c>
      <c r="M367">
        <v>3</v>
      </c>
      <c r="N367">
        <v>10</v>
      </c>
      <c r="O367" s="7">
        <v>45939</v>
      </c>
      <c r="P367" s="7">
        <v>45940</v>
      </c>
      <c r="Q367" s="7">
        <v>45946</v>
      </c>
      <c r="R367" t="s">
        <v>1049</v>
      </c>
    </row>
    <row r="368" spans="1:18" x14ac:dyDescent="0.3">
      <c r="A368" t="s">
        <v>259</v>
      </c>
      <c r="B368" t="s">
        <v>27</v>
      </c>
      <c r="C368" t="s">
        <v>16</v>
      </c>
      <c r="D368" s="7">
        <v>45941</v>
      </c>
      <c r="E368" s="7">
        <v>45945</v>
      </c>
      <c r="F368" s="7">
        <v>45946</v>
      </c>
      <c r="G368" s="7">
        <v>45951</v>
      </c>
      <c r="H368" t="s">
        <v>17</v>
      </c>
      <c r="J368" s="7">
        <v>45974</v>
      </c>
      <c r="K368">
        <v>4</v>
      </c>
      <c r="L368">
        <v>1</v>
      </c>
      <c r="M368">
        <v>5</v>
      </c>
      <c r="N368">
        <v>3</v>
      </c>
      <c r="O368" s="7">
        <v>45941</v>
      </c>
      <c r="P368" s="7">
        <v>45945</v>
      </c>
      <c r="Q368" s="7">
        <v>45951</v>
      </c>
      <c r="R368" t="s">
        <v>1049</v>
      </c>
    </row>
    <row r="369" spans="1:18" x14ac:dyDescent="0.3">
      <c r="A369" t="s">
        <v>789</v>
      </c>
      <c r="B369" t="s">
        <v>15</v>
      </c>
      <c r="C369" t="s">
        <v>474</v>
      </c>
      <c r="D369" s="7">
        <v>45934</v>
      </c>
      <c r="E369" s="7">
        <v>45939</v>
      </c>
      <c r="F369" s="7">
        <v>45941</v>
      </c>
      <c r="G369" s="7">
        <v>45943</v>
      </c>
      <c r="H369" t="s">
        <v>752</v>
      </c>
      <c r="I369" t="s">
        <v>777</v>
      </c>
      <c r="K369">
        <v>5</v>
      </c>
      <c r="L369">
        <v>2</v>
      </c>
      <c r="M369">
        <v>2</v>
      </c>
      <c r="O369" s="7">
        <v>45934</v>
      </c>
      <c r="P369" s="7">
        <v>45939</v>
      </c>
      <c r="Q369" s="7">
        <v>45943</v>
      </c>
      <c r="R369" t="s">
        <v>1049</v>
      </c>
    </row>
    <row r="370" spans="1:18" x14ac:dyDescent="0.3">
      <c r="A370" t="s">
        <v>64</v>
      </c>
      <c r="B370" t="s">
        <v>15</v>
      </c>
      <c r="C370" t="s">
        <v>16</v>
      </c>
      <c r="D370" s="7">
        <v>45955</v>
      </c>
      <c r="E370" s="7">
        <v>45958</v>
      </c>
      <c r="F370" s="7">
        <v>45963</v>
      </c>
      <c r="G370" s="7">
        <v>45966</v>
      </c>
      <c r="H370" t="s">
        <v>17</v>
      </c>
      <c r="J370" s="7">
        <v>45979</v>
      </c>
      <c r="K370">
        <v>3</v>
      </c>
      <c r="L370">
        <v>5</v>
      </c>
      <c r="M370">
        <v>3</v>
      </c>
      <c r="N370">
        <v>10</v>
      </c>
      <c r="O370" s="7">
        <v>45955</v>
      </c>
      <c r="P370" s="7">
        <v>45958</v>
      </c>
      <c r="Q370" s="7">
        <v>45966</v>
      </c>
      <c r="R370" t="s">
        <v>1049</v>
      </c>
    </row>
    <row r="371" spans="1:18" x14ac:dyDescent="0.3">
      <c r="A371" t="s">
        <v>549</v>
      </c>
      <c r="B371" t="s">
        <v>15</v>
      </c>
      <c r="C371" t="s">
        <v>474</v>
      </c>
      <c r="D371" s="7">
        <v>45943</v>
      </c>
      <c r="E371" s="7">
        <v>45944</v>
      </c>
      <c r="F371" s="7">
        <v>45948</v>
      </c>
      <c r="G371" s="7">
        <v>45954</v>
      </c>
      <c r="H371" t="s">
        <v>17</v>
      </c>
      <c r="J371" s="7">
        <v>45977</v>
      </c>
      <c r="K371">
        <v>1</v>
      </c>
      <c r="L371">
        <v>4</v>
      </c>
      <c r="M371">
        <v>6</v>
      </c>
      <c r="N371">
        <v>4</v>
      </c>
      <c r="O371" s="7">
        <v>45943</v>
      </c>
      <c r="P371" s="7">
        <v>45944</v>
      </c>
      <c r="Q371" s="7">
        <v>45954</v>
      </c>
      <c r="R371" t="s">
        <v>1049</v>
      </c>
    </row>
    <row r="372" spans="1:18" x14ac:dyDescent="0.3">
      <c r="A372" t="s">
        <v>65</v>
      </c>
      <c r="B372" t="s">
        <v>22</v>
      </c>
      <c r="C372" t="s">
        <v>16</v>
      </c>
      <c r="D372" s="7">
        <v>45958</v>
      </c>
      <c r="E372" s="7">
        <v>45961</v>
      </c>
      <c r="F372" s="7">
        <v>45966</v>
      </c>
      <c r="G372" s="7">
        <v>45969</v>
      </c>
      <c r="H372" t="s">
        <v>17</v>
      </c>
      <c r="J372" s="7">
        <v>45983</v>
      </c>
      <c r="K372">
        <v>3</v>
      </c>
      <c r="L372">
        <v>5</v>
      </c>
      <c r="M372">
        <v>3</v>
      </c>
      <c r="N372">
        <v>7</v>
      </c>
      <c r="O372" s="7">
        <v>45958</v>
      </c>
      <c r="P372" s="7">
        <v>45961</v>
      </c>
      <c r="Q372" s="7">
        <v>45969</v>
      </c>
      <c r="R372" t="s">
        <v>1049</v>
      </c>
    </row>
    <row r="373" spans="1:18" x14ac:dyDescent="0.3">
      <c r="A373" t="s">
        <v>66</v>
      </c>
      <c r="B373" t="s">
        <v>29</v>
      </c>
      <c r="C373" t="s">
        <v>16</v>
      </c>
      <c r="D373" s="7">
        <v>45947</v>
      </c>
      <c r="E373" s="7">
        <v>45950</v>
      </c>
      <c r="F373" s="7">
        <v>45952</v>
      </c>
      <c r="G373" s="7">
        <v>45958</v>
      </c>
      <c r="H373" t="s">
        <v>17</v>
      </c>
      <c r="J373" s="7">
        <v>45972</v>
      </c>
      <c r="K373">
        <v>3</v>
      </c>
      <c r="L373">
        <v>2</v>
      </c>
      <c r="M373">
        <v>6</v>
      </c>
      <c r="N373">
        <v>1</v>
      </c>
      <c r="O373" s="7">
        <v>45947</v>
      </c>
      <c r="P373" s="7">
        <v>45950</v>
      </c>
      <c r="Q373" s="7">
        <v>45958</v>
      </c>
      <c r="R373" t="s">
        <v>1049</v>
      </c>
    </row>
    <row r="374" spans="1:18" x14ac:dyDescent="0.3">
      <c r="A374" t="s">
        <v>416</v>
      </c>
      <c r="B374" t="s">
        <v>22</v>
      </c>
      <c r="C374" t="s">
        <v>16</v>
      </c>
      <c r="D374" s="7">
        <v>45957</v>
      </c>
      <c r="E374" s="7">
        <v>45959</v>
      </c>
      <c r="F374" s="7">
        <v>45961</v>
      </c>
      <c r="G374" s="7">
        <v>45968</v>
      </c>
      <c r="H374" t="s">
        <v>17</v>
      </c>
      <c r="J374" s="7">
        <v>45996</v>
      </c>
      <c r="K374">
        <v>2</v>
      </c>
      <c r="L374">
        <v>2</v>
      </c>
      <c r="M374">
        <v>7</v>
      </c>
      <c r="N374">
        <v>5</v>
      </c>
      <c r="O374" s="7">
        <v>45957</v>
      </c>
      <c r="P374" s="7">
        <v>45959</v>
      </c>
      <c r="Q374" s="7">
        <v>45968</v>
      </c>
      <c r="R374" t="s">
        <v>1049</v>
      </c>
    </row>
    <row r="375" spans="1:18" x14ac:dyDescent="0.3">
      <c r="A375" t="s">
        <v>417</v>
      </c>
      <c r="B375" t="s">
        <v>27</v>
      </c>
      <c r="C375" t="s">
        <v>16</v>
      </c>
      <c r="D375" s="7">
        <v>45931</v>
      </c>
      <c r="E375" s="7">
        <v>45933</v>
      </c>
      <c r="F375" s="7">
        <v>45934</v>
      </c>
      <c r="G375" s="7">
        <v>45939</v>
      </c>
      <c r="H375" t="s">
        <v>17</v>
      </c>
      <c r="J375" s="7">
        <v>45967</v>
      </c>
      <c r="K375">
        <v>2</v>
      </c>
      <c r="L375">
        <v>1</v>
      </c>
      <c r="M375">
        <v>5</v>
      </c>
      <c r="N375">
        <v>2</v>
      </c>
      <c r="O375" s="7">
        <v>45931</v>
      </c>
      <c r="P375" s="7">
        <v>45933</v>
      </c>
      <c r="Q375" s="7">
        <v>45939</v>
      </c>
      <c r="R375" t="s">
        <v>1049</v>
      </c>
    </row>
    <row r="376" spans="1:18" x14ac:dyDescent="0.3">
      <c r="A376" t="s">
        <v>550</v>
      </c>
      <c r="B376" t="s">
        <v>22</v>
      </c>
      <c r="C376" t="s">
        <v>474</v>
      </c>
      <c r="D376" s="7">
        <v>45952</v>
      </c>
      <c r="E376" s="7">
        <v>45955</v>
      </c>
      <c r="F376" s="7">
        <v>45956</v>
      </c>
      <c r="G376" s="7">
        <v>45958</v>
      </c>
      <c r="H376" t="s">
        <v>17</v>
      </c>
      <c r="J376" s="7">
        <v>45986</v>
      </c>
      <c r="K376">
        <v>3</v>
      </c>
      <c r="L376">
        <v>1</v>
      </c>
      <c r="M376">
        <v>2</v>
      </c>
      <c r="N376">
        <v>9</v>
      </c>
      <c r="O376" s="7">
        <v>45952</v>
      </c>
      <c r="P376" s="7">
        <v>45955</v>
      </c>
      <c r="Q376" s="7">
        <v>45958</v>
      </c>
      <c r="R376" t="s">
        <v>1049</v>
      </c>
    </row>
    <row r="377" spans="1:18" x14ac:dyDescent="0.3">
      <c r="A377" t="s">
        <v>790</v>
      </c>
      <c r="B377" t="s">
        <v>27</v>
      </c>
      <c r="C377" t="s">
        <v>16</v>
      </c>
      <c r="D377" s="7">
        <v>45958</v>
      </c>
      <c r="E377" s="7">
        <v>45962</v>
      </c>
      <c r="F377" s="7">
        <v>45965</v>
      </c>
      <c r="G377" s="7">
        <v>45967</v>
      </c>
      <c r="H377" t="s">
        <v>752</v>
      </c>
      <c r="I377" t="s">
        <v>753</v>
      </c>
      <c r="K377">
        <v>4</v>
      </c>
      <c r="L377">
        <v>3</v>
      </c>
      <c r="M377">
        <v>2</v>
      </c>
      <c r="O377" s="7">
        <v>45958</v>
      </c>
      <c r="P377" s="7">
        <v>45962</v>
      </c>
      <c r="Q377" s="7">
        <v>45967</v>
      </c>
      <c r="R377" t="s">
        <v>1049</v>
      </c>
    </row>
    <row r="378" spans="1:18" x14ac:dyDescent="0.3">
      <c r="A378" t="s">
        <v>418</v>
      </c>
      <c r="B378" t="s">
        <v>22</v>
      </c>
      <c r="C378" t="s">
        <v>16</v>
      </c>
      <c r="D378" s="7">
        <v>45948</v>
      </c>
      <c r="E378" s="7">
        <v>45950</v>
      </c>
      <c r="F378" s="7">
        <v>45954</v>
      </c>
      <c r="G378" s="7">
        <v>45961</v>
      </c>
      <c r="H378" t="s">
        <v>17</v>
      </c>
      <c r="J378" s="7">
        <v>45974</v>
      </c>
      <c r="K378">
        <v>2</v>
      </c>
      <c r="L378">
        <v>4</v>
      </c>
      <c r="M378">
        <v>7</v>
      </c>
      <c r="N378">
        <v>3</v>
      </c>
      <c r="O378" s="7">
        <v>45948</v>
      </c>
      <c r="P378" s="7">
        <v>45950</v>
      </c>
      <c r="Q378" s="7">
        <v>45961</v>
      </c>
      <c r="R378" t="s">
        <v>1049</v>
      </c>
    </row>
    <row r="379" spans="1:18" x14ac:dyDescent="0.3">
      <c r="A379" t="s">
        <v>419</v>
      </c>
      <c r="B379" t="s">
        <v>29</v>
      </c>
      <c r="C379" t="s">
        <v>16</v>
      </c>
      <c r="D379" s="7">
        <v>45945</v>
      </c>
      <c r="E379" s="7">
        <v>45947</v>
      </c>
      <c r="F379" s="7">
        <v>45952</v>
      </c>
      <c r="G379" s="7">
        <v>45956</v>
      </c>
      <c r="H379" t="s">
        <v>17</v>
      </c>
      <c r="J379" s="7">
        <v>45969</v>
      </c>
      <c r="K379">
        <v>2</v>
      </c>
      <c r="L379">
        <v>5</v>
      </c>
      <c r="M379">
        <v>4</v>
      </c>
      <c r="N379">
        <v>9</v>
      </c>
      <c r="O379" s="7">
        <v>45945</v>
      </c>
      <c r="P379" s="7">
        <v>45947</v>
      </c>
      <c r="Q379" s="7">
        <v>45956</v>
      </c>
      <c r="R379" t="s">
        <v>1049</v>
      </c>
    </row>
    <row r="380" spans="1:18" x14ac:dyDescent="0.3">
      <c r="A380" t="s">
        <v>918</v>
      </c>
      <c r="B380" t="s">
        <v>27</v>
      </c>
      <c r="C380" t="s">
        <v>841</v>
      </c>
      <c r="D380" s="7">
        <v>45944</v>
      </c>
      <c r="H380" t="s">
        <v>752</v>
      </c>
      <c r="I380" t="s">
        <v>756</v>
      </c>
      <c r="O380" s="7">
        <v>45944</v>
      </c>
      <c r="R380" t="s">
        <v>1050</v>
      </c>
    </row>
    <row r="381" spans="1:18" x14ac:dyDescent="0.3">
      <c r="A381" t="s">
        <v>551</v>
      </c>
      <c r="B381" t="s">
        <v>15</v>
      </c>
      <c r="C381" t="s">
        <v>474</v>
      </c>
      <c r="D381" s="7">
        <v>45932</v>
      </c>
      <c r="E381" s="7">
        <v>45934</v>
      </c>
      <c r="F381" s="7">
        <v>45938</v>
      </c>
      <c r="G381" s="7">
        <v>45940</v>
      </c>
      <c r="H381" t="s">
        <v>17</v>
      </c>
      <c r="J381" s="7">
        <v>45968</v>
      </c>
      <c r="K381">
        <v>2</v>
      </c>
      <c r="L381">
        <v>4</v>
      </c>
      <c r="M381">
        <v>2</v>
      </c>
      <c r="N381">
        <v>10</v>
      </c>
      <c r="O381" s="7">
        <v>45932</v>
      </c>
      <c r="P381" s="7">
        <v>45934</v>
      </c>
      <c r="Q381" s="7">
        <v>45940</v>
      </c>
      <c r="R381" t="s">
        <v>1049</v>
      </c>
    </row>
    <row r="382" spans="1:18" x14ac:dyDescent="0.3">
      <c r="A382" t="s">
        <v>420</v>
      </c>
      <c r="B382" t="s">
        <v>15</v>
      </c>
      <c r="C382" t="s">
        <v>16</v>
      </c>
      <c r="D382" s="7">
        <v>45937</v>
      </c>
      <c r="E382" s="7">
        <v>45939</v>
      </c>
      <c r="F382" s="7">
        <v>45944</v>
      </c>
      <c r="G382" s="7">
        <v>45949</v>
      </c>
      <c r="H382" t="s">
        <v>17</v>
      </c>
      <c r="J382" s="7">
        <v>45962</v>
      </c>
      <c r="K382">
        <v>2</v>
      </c>
      <c r="L382">
        <v>5</v>
      </c>
      <c r="M382">
        <v>5</v>
      </c>
      <c r="N382">
        <v>1</v>
      </c>
      <c r="O382" s="7">
        <v>45937</v>
      </c>
      <c r="P382" s="7">
        <v>45939</v>
      </c>
      <c r="Q382" s="7">
        <v>45949</v>
      </c>
      <c r="R382" t="s">
        <v>1049</v>
      </c>
    </row>
    <row r="383" spans="1:18" x14ac:dyDescent="0.3">
      <c r="A383" t="s">
        <v>351</v>
      </c>
      <c r="B383" t="s">
        <v>22</v>
      </c>
      <c r="C383" t="s">
        <v>16</v>
      </c>
      <c r="D383" s="7">
        <v>45947</v>
      </c>
      <c r="E383" s="7">
        <v>45948</v>
      </c>
      <c r="F383" s="7">
        <v>45952</v>
      </c>
      <c r="G383" s="7">
        <v>45959</v>
      </c>
      <c r="H383" t="s">
        <v>17</v>
      </c>
      <c r="J383" s="7">
        <v>45978</v>
      </c>
      <c r="K383">
        <v>1</v>
      </c>
      <c r="L383">
        <v>4</v>
      </c>
      <c r="M383">
        <v>7</v>
      </c>
      <c r="N383">
        <v>8</v>
      </c>
      <c r="O383" s="7">
        <v>45947</v>
      </c>
      <c r="P383" s="7">
        <v>45948</v>
      </c>
      <c r="Q383" s="7">
        <v>45959</v>
      </c>
      <c r="R383" t="s">
        <v>1049</v>
      </c>
    </row>
    <row r="384" spans="1:18" x14ac:dyDescent="0.3">
      <c r="A384" t="s">
        <v>67</v>
      </c>
      <c r="B384" t="s">
        <v>15</v>
      </c>
      <c r="C384" t="s">
        <v>16</v>
      </c>
      <c r="D384" s="7">
        <v>45942</v>
      </c>
      <c r="E384" s="7">
        <v>45945</v>
      </c>
      <c r="F384" s="7">
        <v>45947</v>
      </c>
      <c r="G384" s="7">
        <v>45950</v>
      </c>
      <c r="H384" t="s">
        <v>17</v>
      </c>
      <c r="J384" s="7">
        <v>45977</v>
      </c>
      <c r="K384">
        <v>3</v>
      </c>
      <c r="L384">
        <v>2</v>
      </c>
      <c r="M384">
        <v>3</v>
      </c>
      <c r="N384">
        <v>4</v>
      </c>
      <c r="O384" s="7">
        <v>45942</v>
      </c>
      <c r="P384" s="7">
        <v>45945</v>
      </c>
      <c r="Q384" s="7">
        <v>45950</v>
      </c>
      <c r="R384" t="s">
        <v>1049</v>
      </c>
    </row>
    <row r="385" spans="1:18" x14ac:dyDescent="0.3">
      <c r="A385" t="s">
        <v>552</v>
      </c>
      <c r="B385" t="s">
        <v>27</v>
      </c>
      <c r="C385" t="s">
        <v>474</v>
      </c>
      <c r="D385" s="7">
        <v>45950</v>
      </c>
      <c r="E385" s="7">
        <v>45951</v>
      </c>
      <c r="F385" s="7">
        <v>45953</v>
      </c>
      <c r="G385" s="7">
        <v>45958</v>
      </c>
      <c r="H385" t="s">
        <v>17</v>
      </c>
      <c r="J385" s="7">
        <v>45979</v>
      </c>
      <c r="K385">
        <v>1</v>
      </c>
      <c r="L385">
        <v>2</v>
      </c>
      <c r="M385">
        <v>5</v>
      </c>
      <c r="N385">
        <v>9</v>
      </c>
      <c r="O385" s="7">
        <v>45950</v>
      </c>
      <c r="P385" s="7">
        <v>45951</v>
      </c>
      <c r="Q385" s="7">
        <v>45958</v>
      </c>
      <c r="R385" t="s">
        <v>1049</v>
      </c>
    </row>
    <row r="386" spans="1:18" x14ac:dyDescent="0.3">
      <c r="A386" t="s">
        <v>791</v>
      </c>
      <c r="B386" t="s">
        <v>15</v>
      </c>
      <c r="C386" t="s">
        <v>474</v>
      </c>
      <c r="D386" s="7">
        <v>45955</v>
      </c>
      <c r="E386" s="7">
        <v>45960</v>
      </c>
      <c r="F386" s="7">
        <v>45964</v>
      </c>
      <c r="G386" s="7">
        <v>45966</v>
      </c>
      <c r="H386" t="s">
        <v>752</v>
      </c>
      <c r="I386" t="s">
        <v>777</v>
      </c>
      <c r="K386">
        <v>5</v>
      </c>
      <c r="L386">
        <v>4</v>
      </c>
      <c r="M386">
        <v>2</v>
      </c>
      <c r="O386" s="7">
        <v>45955</v>
      </c>
      <c r="P386" s="7">
        <v>45960</v>
      </c>
      <c r="Q386" s="7">
        <v>45966</v>
      </c>
      <c r="R386" t="s">
        <v>1049</v>
      </c>
    </row>
    <row r="387" spans="1:18" x14ac:dyDescent="0.3">
      <c r="A387" t="s">
        <v>919</v>
      </c>
      <c r="B387" t="s">
        <v>29</v>
      </c>
      <c r="C387" t="s">
        <v>841</v>
      </c>
      <c r="D387" s="7">
        <v>45946</v>
      </c>
      <c r="H387" t="s">
        <v>752</v>
      </c>
      <c r="I387" t="s">
        <v>765</v>
      </c>
      <c r="O387" s="7">
        <v>45946</v>
      </c>
      <c r="R387" t="s">
        <v>1050</v>
      </c>
    </row>
    <row r="388" spans="1:18" x14ac:dyDescent="0.3">
      <c r="A388" t="s">
        <v>168</v>
      </c>
      <c r="B388" t="s">
        <v>29</v>
      </c>
      <c r="C388" t="s">
        <v>16</v>
      </c>
      <c r="D388" s="7">
        <v>45951</v>
      </c>
      <c r="E388" s="7">
        <v>45956</v>
      </c>
      <c r="F388" s="7">
        <v>45959</v>
      </c>
      <c r="G388" s="7">
        <v>45962</v>
      </c>
      <c r="H388" t="s">
        <v>17</v>
      </c>
      <c r="J388" s="7">
        <v>45985</v>
      </c>
      <c r="K388">
        <v>5</v>
      </c>
      <c r="L388">
        <v>3</v>
      </c>
      <c r="M388">
        <v>3</v>
      </c>
      <c r="N388">
        <v>5</v>
      </c>
      <c r="O388" s="7">
        <v>45951</v>
      </c>
      <c r="P388" s="7">
        <v>45956</v>
      </c>
      <c r="Q388" s="7">
        <v>45962</v>
      </c>
      <c r="R388" t="s">
        <v>1049</v>
      </c>
    </row>
    <row r="389" spans="1:18" x14ac:dyDescent="0.3">
      <c r="A389" t="s">
        <v>792</v>
      </c>
      <c r="B389" t="s">
        <v>22</v>
      </c>
      <c r="C389" t="s">
        <v>16</v>
      </c>
      <c r="D389" s="7">
        <v>45945</v>
      </c>
      <c r="E389" s="7">
        <v>45950</v>
      </c>
      <c r="F389" s="7">
        <v>45952</v>
      </c>
      <c r="G389" s="7">
        <v>45957</v>
      </c>
      <c r="H389" t="s">
        <v>752</v>
      </c>
      <c r="I389" t="s">
        <v>765</v>
      </c>
      <c r="K389">
        <v>5</v>
      </c>
      <c r="L389">
        <v>2</v>
      </c>
      <c r="M389">
        <v>5</v>
      </c>
      <c r="O389" s="7">
        <v>45945</v>
      </c>
      <c r="P389" s="7">
        <v>45950</v>
      </c>
      <c r="Q389" s="7">
        <v>45957</v>
      </c>
      <c r="R389" t="s">
        <v>1049</v>
      </c>
    </row>
    <row r="390" spans="1:18" x14ac:dyDescent="0.3">
      <c r="A390" t="s">
        <v>352</v>
      </c>
      <c r="B390" t="s">
        <v>27</v>
      </c>
      <c r="C390" t="s">
        <v>16</v>
      </c>
      <c r="D390" s="7">
        <v>45955</v>
      </c>
      <c r="E390" s="7">
        <v>45956</v>
      </c>
      <c r="F390" s="7">
        <v>45959</v>
      </c>
      <c r="G390" s="7">
        <v>45961</v>
      </c>
      <c r="H390" t="s">
        <v>17</v>
      </c>
      <c r="J390" s="7">
        <v>45979</v>
      </c>
      <c r="K390">
        <v>1</v>
      </c>
      <c r="L390">
        <v>3</v>
      </c>
      <c r="M390">
        <v>2</v>
      </c>
      <c r="N390">
        <v>3</v>
      </c>
      <c r="O390" s="7">
        <v>45955</v>
      </c>
      <c r="P390" s="7">
        <v>45956</v>
      </c>
      <c r="Q390" s="7">
        <v>45961</v>
      </c>
      <c r="R390" t="s">
        <v>1049</v>
      </c>
    </row>
    <row r="391" spans="1:18" x14ac:dyDescent="0.3">
      <c r="A391" t="s">
        <v>68</v>
      </c>
      <c r="B391" t="s">
        <v>29</v>
      </c>
      <c r="C391" t="s">
        <v>16</v>
      </c>
      <c r="D391" s="7">
        <v>45932</v>
      </c>
      <c r="E391" s="7">
        <v>45935</v>
      </c>
      <c r="F391" s="7">
        <v>45937</v>
      </c>
      <c r="G391" s="7">
        <v>45944</v>
      </c>
      <c r="H391" t="s">
        <v>17</v>
      </c>
      <c r="J391" s="7">
        <v>45966</v>
      </c>
      <c r="K391">
        <v>3</v>
      </c>
      <c r="L391">
        <v>2</v>
      </c>
      <c r="M391">
        <v>7</v>
      </c>
      <c r="N391">
        <v>6</v>
      </c>
      <c r="O391" s="7">
        <v>45932</v>
      </c>
      <c r="P391" s="7">
        <v>45935</v>
      </c>
      <c r="Q391" s="7">
        <v>45944</v>
      </c>
      <c r="R391" t="s">
        <v>1049</v>
      </c>
    </row>
    <row r="392" spans="1:18" x14ac:dyDescent="0.3">
      <c r="A392" t="s">
        <v>708</v>
      </c>
      <c r="B392" t="s">
        <v>29</v>
      </c>
      <c r="C392" t="s">
        <v>474</v>
      </c>
      <c r="D392" s="7">
        <v>45937</v>
      </c>
      <c r="E392" s="7">
        <v>45942</v>
      </c>
      <c r="F392" s="7">
        <v>45943</v>
      </c>
      <c r="G392" s="7">
        <v>45945</v>
      </c>
      <c r="H392" t="s">
        <v>17</v>
      </c>
      <c r="J392" s="7">
        <v>45975</v>
      </c>
      <c r="K392">
        <v>5</v>
      </c>
      <c r="L392">
        <v>1</v>
      </c>
      <c r="M392">
        <v>2</v>
      </c>
      <c r="N392">
        <v>1</v>
      </c>
      <c r="O392" s="7">
        <v>45937</v>
      </c>
      <c r="P392" s="7">
        <v>45942</v>
      </c>
      <c r="Q392" s="7">
        <v>45945</v>
      </c>
      <c r="R392" t="s">
        <v>1049</v>
      </c>
    </row>
    <row r="393" spans="1:18" x14ac:dyDescent="0.3">
      <c r="A393" t="s">
        <v>421</v>
      </c>
      <c r="B393" t="s">
        <v>27</v>
      </c>
      <c r="C393" t="s">
        <v>16</v>
      </c>
      <c r="D393" s="7">
        <v>45939</v>
      </c>
      <c r="E393" s="7">
        <v>45941</v>
      </c>
      <c r="F393" s="7">
        <v>45942</v>
      </c>
      <c r="G393" s="7">
        <v>45944</v>
      </c>
      <c r="H393" t="s">
        <v>17</v>
      </c>
      <c r="J393" s="7">
        <v>45969</v>
      </c>
      <c r="K393">
        <v>2</v>
      </c>
      <c r="L393">
        <v>1</v>
      </c>
      <c r="M393">
        <v>2</v>
      </c>
      <c r="N393">
        <v>4</v>
      </c>
      <c r="O393" s="7">
        <v>45939</v>
      </c>
      <c r="P393" s="7">
        <v>45941</v>
      </c>
      <c r="Q393" s="7">
        <v>45944</v>
      </c>
      <c r="R393" t="s">
        <v>1049</v>
      </c>
    </row>
    <row r="394" spans="1:18" x14ac:dyDescent="0.3">
      <c r="A394" t="s">
        <v>169</v>
      </c>
      <c r="B394" t="s">
        <v>15</v>
      </c>
      <c r="C394" t="s">
        <v>16</v>
      </c>
      <c r="D394" s="7">
        <v>45948</v>
      </c>
      <c r="E394" s="7">
        <v>45953</v>
      </c>
      <c r="F394" s="7">
        <v>45957</v>
      </c>
      <c r="G394" s="7">
        <v>45961</v>
      </c>
      <c r="H394" t="s">
        <v>17</v>
      </c>
      <c r="J394" s="7">
        <v>45989</v>
      </c>
      <c r="K394">
        <v>5</v>
      </c>
      <c r="L394">
        <v>4</v>
      </c>
      <c r="M394">
        <v>4</v>
      </c>
      <c r="N394">
        <v>6</v>
      </c>
      <c r="O394" s="7">
        <v>45948</v>
      </c>
      <c r="P394" s="7">
        <v>45953</v>
      </c>
      <c r="Q394" s="7">
        <v>45961</v>
      </c>
      <c r="R394" t="s">
        <v>1049</v>
      </c>
    </row>
    <row r="395" spans="1:18" x14ac:dyDescent="0.3">
      <c r="A395" t="s">
        <v>920</v>
      </c>
      <c r="B395" t="s">
        <v>15</v>
      </c>
      <c r="C395" t="s">
        <v>841</v>
      </c>
      <c r="D395" s="7">
        <v>45935</v>
      </c>
      <c r="H395" t="s">
        <v>752</v>
      </c>
      <c r="I395" t="s">
        <v>758</v>
      </c>
      <c r="O395" s="7">
        <v>45935</v>
      </c>
      <c r="R395" t="s">
        <v>1050</v>
      </c>
    </row>
    <row r="396" spans="1:18" x14ac:dyDescent="0.3">
      <c r="A396" t="s">
        <v>553</v>
      </c>
      <c r="B396" t="s">
        <v>22</v>
      </c>
      <c r="C396" t="s">
        <v>474</v>
      </c>
      <c r="D396" s="7">
        <v>45960</v>
      </c>
      <c r="E396" s="7">
        <v>45964</v>
      </c>
      <c r="F396" s="7">
        <v>45969</v>
      </c>
      <c r="G396" s="7">
        <v>45973</v>
      </c>
      <c r="H396" t="s">
        <v>17</v>
      </c>
      <c r="J396" s="7">
        <v>46002</v>
      </c>
      <c r="K396">
        <v>4</v>
      </c>
      <c r="L396">
        <v>5</v>
      </c>
      <c r="M396">
        <v>4</v>
      </c>
      <c r="N396">
        <v>2</v>
      </c>
      <c r="O396" s="7">
        <v>45960</v>
      </c>
      <c r="P396" s="7">
        <v>45964</v>
      </c>
      <c r="Q396" s="7">
        <v>45973</v>
      </c>
      <c r="R396" t="s">
        <v>1049</v>
      </c>
    </row>
    <row r="397" spans="1:18" x14ac:dyDescent="0.3">
      <c r="A397" t="s">
        <v>422</v>
      </c>
      <c r="B397" t="s">
        <v>15</v>
      </c>
      <c r="C397" t="s">
        <v>16</v>
      </c>
      <c r="D397" s="7">
        <v>45940</v>
      </c>
      <c r="E397" s="7">
        <v>45942</v>
      </c>
      <c r="F397" s="7">
        <v>45943</v>
      </c>
      <c r="G397" s="7">
        <v>45947</v>
      </c>
      <c r="H397" t="s">
        <v>17</v>
      </c>
      <c r="J397" s="7">
        <v>45972</v>
      </c>
      <c r="K397">
        <v>2</v>
      </c>
      <c r="L397">
        <v>1</v>
      </c>
      <c r="M397">
        <v>4</v>
      </c>
      <c r="N397">
        <v>8</v>
      </c>
      <c r="O397" s="7">
        <v>45940</v>
      </c>
      <c r="P397" s="7">
        <v>45942</v>
      </c>
      <c r="Q397" s="7">
        <v>45947</v>
      </c>
      <c r="R397" t="s">
        <v>1049</v>
      </c>
    </row>
    <row r="398" spans="1:18" x14ac:dyDescent="0.3">
      <c r="A398" t="s">
        <v>423</v>
      </c>
      <c r="B398" t="s">
        <v>27</v>
      </c>
      <c r="C398" t="s">
        <v>16</v>
      </c>
      <c r="D398" s="7">
        <v>45945</v>
      </c>
      <c r="E398" s="7">
        <v>45947</v>
      </c>
      <c r="F398" s="7">
        <v>45949</v>
      </c>
      <c r="G398" s="7">
        <v>45952</v>
      </c>
      <c r="H398" t="s">
        <v>17</v>
      </c>
      <c r="J398" s="7">
        <v>45963</v>
      </c>
      <c r="K398">
        <v>2</v>
      </c>
      <c r="L398">
        <v>2</v>
      </c>
      <c r="M398">
        <v>3</v>
      </c>
      <c r="N398">
        <v>6</v>
      </c>
      <c r="O398" s="7">
        <v>45945</v>
      </c>
      <c r="P398" s="7">
        <v>45947</v>
      </c>
      <c r="Q398" s="7">
        <v>45952</v>
      </c>
      <c r="R398" t="s">
        <v>1049</v>
      </c>
    </row>
    <row r="399" spans="1:18" x14ac:dyDescent="0.3">
      <c r="A399" t="s">
        <v>424</v>
      </c>
      <c r="B399" t="s">
        <v>29</v>
      </c>
      <c r="C399" t="s">
        <v>16</v>
      </c>
      <c r="D399" s="7">
        <v>45959</v>
      </c>
      <c r="E399" s="7">
        <v>45961</v>
      </c>
      <c r="F399" s="7">
        <v>45963</v>
      </c>
      <c r="G399" s="7">
        <v>45968</v>
      </c>
      <c r="H399" t="s">
        <v>17</v>
      </c>
      <c r="J399" s="7">
        <v>45983</v>
      </c>
      <c r="K399">
        <v>2</v>
      </c>
      <c r="L399">
        <v>2</v>
      </c>
      <c r="M399">
        <v>5</v>
      </c>
      <c r="N399">
        <v>2</v>
      </c>
      <c r="O399" s="7">
        <v>45959</v>
      </c>
      <c r="P399" s="7">
        <v>45961</v>
      </c>
      <c r="Q399" s="7">
        <v>45968</v>
      </c>
      <c r="R399" t="s">
        <v>1049</v>
      </c>
    </row>
    <row r="400" spans="1:18" x14ac:dyDescent="0.3">
      <c r="A400" t="s">
        <v>170</v>
      </c>
      <c r="B400" t="s">
        <v>15</v>
      </c>
      <c r="C400" t="s">
        <v>16</v>
      </c>
      <c r="D400" s="7">
        <v>45953</v>
      </c>
      <c r="E400" s="7">
        <v>45958</v>
      </c>
      <c r="F400" s="7">
        <v>45959</v>
      </c>
      <c r="G400" s="7">
        <v>45962</v>
      </c>
      <c r="H400" t="s">
        <v>17</v>
      </c>
      <c r="J400" s="7">
        <v>45980</v>
      </c>
      <c r="K400">
        <v>5</v>
      </c>
      <c r="L400">
        <v>1</v>
      </c>
      <c r="M400">
        <v>3</v>
      </c>
      <c r="N400">
        <v>6</v>
      </c>
      <c r="O400" s="7">
        <v>45953</v>
      </c>
      <c r="P400" s="7">
        <v>45958</v>
      </c>
      <c r="Q400" s="7">
        <v>45962</v>
      </c>
      <c r="R400" t="s">
        <v>1049</v>
      </c>
    </row>
    <row r="401" spans="1:18" x14ac:dyDescent="0.3">
      <c r="A401" t="s">
        <v>425</v>
      </c>
      <c r="B401" t="s">
        <v>22</v>
      </c>
      <c r="C401" t="s">
        <v>16</v>
      </c>
      <c r="D401" s="7">
        <v>45946</v>
      </c>
      <c r="E401" s="7">
        <v>45948</v>
      </c>
      <c r="F401" s="7">
        <v>45949</v>
      </c>
      <c r="G401" s="7">
        <v>45956</v>
      </c>
      <c r="H401" t="s">
        <v>17</v>
      </c>
      <c r="J401" s="7">
        <v>45978</v>
      </c>
      <c r="K401">
        <v>2</v>
      </c>
      <c r="L401">
        <v>1</v>
      </c>
      <c r="M401">
        <v>7</v>
      </c>
      <c r="N401">
        <v>7</v>
      </c>
      <c r="O401" s="7">
        <v>45946</v>
      </c>
      <c r="P401" s="7">
        <v>45948</v>
      </c>
      <c r="Q401" s="7">
        <v>45956</v>
      </c>
      <c r="R401" t="s">
        <v>1049</v>
      </c>
    </row>
    <row r="402" spans="1:18" x14ac:dyDescent="0.3">
      <c r="A402" t="s">
        <v>260</v>
      </c>
      <c r="B402" t="s">
        <v>15</v>
      </c>
      <c r="C402" t="s">
        <v>16</v>
      </c>
      <c r="D402" s="7">
        <v>45934</v>
      </c>
      <c r="E402" s="7">
        <v>45938</v>
      </c>
      <c r="F402" s="7">
        <v>45943</v>
      </c>
      <c r="G402" s="7">
        <v>45950</v>
      </c>
      <c r="H402" t="s">
        <v>17</v>
      </c>
      <c r="J402" s="7">
        <v>45964</v>
      </c>
      <c r="K402">
        <v>4</v>
      </c>
      <c r="L402">
        <v>5</v>
      </c>
      <c r="M402">
        <v>7</v>
      </c>
      <c r="N402">
        <v>1</v>
      </c>
      <c r="O402" s="7">
        <v>45934</v>
      </c>
      <c r="P402" s="7">
        <v>45938</v>
      </c>
      <c r="Q402" s="7">
        <v>45950</v>
      </c>
      <c r="R402" t="s">
        <v>1049</v>
      </c>
    </row>
    <row r="403" spans="1:18" x14ac:dyDescent="0.3">
      <c r="A403" t="s">
        <v>353</v>
      </c>
      <c r="B403" t="s">
        <v>27</v>
      </c>
      <c r="C403" t="s">
        <v>16</v>
      </c>
      <c r="D403" s="7">
        <v>45931</v>
      </c>
      <c r="E403" s="7">
        <v>45932</v>
      </c>
      <c r="F403" s="7">
        <v>45933</v>
      </c>
      <c r="G403" s="7">
        <v>45936</v>
      </c>
      <c r="H403" t="s">
        <v>17</v>
      </c>
      <c r="J403" s="7">
        <v>45965</v>
      </c>
      <c r="K403">
        <v>1</v>
      </c>
      <c r="L403">
        <v>1</v>
      </c>
      <c r="M403">
        <v>3</v>
      </c>
      <c r="N403">
        <v>8</v>
      </c>
      <c r="O403" s="7">
        <v>45931</v>
      </c>
      <c r="P403" s="7">
        <v>45932</v>
      </c>
      <c r="Q403" s="7">
        <v>45936</v>
      </c>
      <c r="R403" t="s">
        <v>1049</v>
      </c>
    </row>
    <row r="404" spans="1:18" x14ac:dyDescent="0.3">
      <c r="A404" t="s">
        <v>261</v>
      </c>
      <c r="B404" t="s">
        <v>22</v>
      </c>
      <c r="C404" t="s">
        <v>16</v>
      </c>
      <c r="D404" s="7">
        <v>45951</v>
      </c>
      <c r="E404" s="7">
        <v>45955</v>
      </c>
      <c r="F404" s="7">
        <v>45959</v>
      </c>
      <c r="G404" s="7">
        <v>45961</v>
      </c>
      <c r="H404" t="s">
        <v>17</v>
      </c>
      <c r="J404" s="7">
        <v>45990</v>
      </c>
      <c r="K404">
        <v>4</v>
      </c>
      <c r="L404">
        <v>4</v>
      </c>
      <c r="M404">
        <v>2</v>
      </c>
      <c r="N404">
        <v>7</v>
      </c>
      <c r="O404" s="7">
        <v>45951</v>
      </c>
      <c r="P404" s="7">
        <v>45955</v>
      </c>
      <c r="Q404" s="7">
        <v>45961</v>
      </c>
      <c r="R404" t="s">
        <v>1049</v>
      </c>
    </row>
    <row r="405" spans="1:18" x14ac:dyDescent="0.3">
      <c r="A405" t="s">
        <v>921</v>
      </c>
      <c r="B405" t="s">
        <v>15</v>
      </c>
      <c r="C405" t="s">
        <v>841</v>
      </c>
      <c r="D405" s="7">
        <v>45950</v>
      </c>
      <c r="H405" t="s">
        <v>752</v>
      </c>
      <c r="I405" t="s">
        <v>753</v>
      </c>
      <c r="O405" s="7">
        <v>45950</v>
      </c>
      <c r="R405" t="s">
        <v>1050</v>
      </c>
    </row>
    <row r="406" spans="1:18" x14ac:dyDescent="0.3">
      <c r="A406" t="s">
        <v>793</v>
      </c>
      <c r="B406" t="s">
        <v>22</v>
      </c>
      <c r="C406" t="s">
        <v>16</v>
      </c>
      <c r="D406" s="7">
        <v>45956</v>
      </c>
      <c r="E406" s="7">
        <v>45959</v>
      </c>
      <c r="F406" s="7">
        <v>45964</v>
      </c>
      <c r="G406" s="7">
        <v>45970</v>
      </c>
      <c r="H406" t="s">
        <v>752</v>
      </c>
      <c r="I406" t="s">
        <v>758</v>
      </c>
      <c r="K406">
        <v>3</v>
      </c>
      <c r="L406">
        <v>5</v>
      </c>
      <c r="M406">
        <v>6</v>
      </c>
      <c r="O406" s="7">
        <v>45956</v>
      </c>
      <c r="P406" s="7">
        <v>45959</v>
      </c>
      <c r="Q406" s="7">
        <v>45970</v>
      </c>
      <c r="R406" t="s">
        <v>1049</v>
      </c>
    </row>
    <row r="407" spans="1:18" x14ac:dyDescent="0.3">
      <c r="A407" t="s">
        <v>426</v>
      </c>
      <c r="B407" t="s">
        <v>27</v>
      </c>
      <c r="C407" t="s">
        <v>16</v>
      </c>
      <c r="D407" s="7">
        <v>45938</v>
      </c>
      <c r="E407" s="7">
        <v>45940</v>
      </c>
      <c r="F407" s="7">
        <v>45941</v>
      </c>
      <c r="G407" s="7">
        <v>45947</v>
      </c>
      <c r="H407" t="s">
        <v>17</v>
      </c>
      <c r="J407" s="7">
        <v>45969</v>
      </c>
      <c r="K407">
        <v>2</v>
      </c>
      <c r="L407">
        <v>1</v>
      </c>
      <c r="M407">
        <v>6</v>
      </c>
      <c r="N407">
        <v>7</v>
      </c>
      <c r="O407" s="7">
        <v>45938</v>
      </c>
      <c r="P407" s="7">
        <v>45940</v>
      </c>
      <c r="Q407" s="7">
        <v>45947</v>
      </c>
      <c r="R407" t="s">
        <v>1049</v>
      </c>
    </row>
    <row r="408" spans="1:18" x14ac:dyDescent="0.3">
      <c r="A408" t="s">
        <v>554</v>
      </c>
      <c r="B408" t="s">
        <v>29</v>
      </c>
      <c r="C408" t="s">
        <v>474</v>
      </c>
      <c r="D408" s="7">
        <v>45953</v>
      </c>
      <c r="E408" s="7">
        <v>45957</v>
      </c>
      <c r="F408" s="7">
        <v>45959</v>
      </c>
      <c r="G408" s="7">
        <v>45961</v>
      </c>
      <c r="H408" t="s">
        <v>17</v>
      </c>
      <c r="J408" s="7">
        <v>45972</v>
      </c>
      <c r="K408">
        <v>4</v>
      </c>
      <c r="L408">
        <v>2</v>
      </c>
      <c r="M408">
        <v>2</v>
      </c>
      <c r="N408">
        <v>7</v>
      </c>
      <c r="O408" s="7">
        <v>45953</v>
      </c>
      <c r="P408" s="7">
        <v>45957</v>
      </c>
      <c r="Q408" s="7">
        <v>45961</v>
      </c>
      <c r="R408" t="s">
        <v>1049</v>
      </c>
    </row>
    <row r="409" spans="1:18" x14ac:dyDescent="0.3">
      <c r="A409" t="s">
        <v>922</v>
      </c>
      <c r="B409" t="s">
        <v>27</v>
      </c>
      <c r="C409" t="s">
        <v>841</v>
      </c>
      <c r="D409" s="7">
        <v>45936</v>
      </c>
      <c r="H409" t="s">
        <v>752</v>
      </c>
      <c r="I409" t="s">
        <v>758</v>
      </c>
      <c r="O409" s="7">
        <v>45936</v>
      </c>
      <c r="R409" t="s">
        <v>1050</v>
      </c>
    </row>
    <row r="410" spans="1:18" x14ac:dyDescent="0.3">
      <c r="A410" t="s">
        <v>794</v>
      </c>
      <c r="B410" t="s">
        <v>27</v>
      </c>
      <c r="C410" t="s">
        <v>474</v>
      </c>
      <c r="D410" s="7">
        <v>45940</v>
      </c>
      <c r="E410" s="7">
        <v>45945</v>
      </c>
      <c r="F410" s="7">
        <v>45946</v>
      </c>
      <c r="G410" s="7">
        <v>45952</v>
      </c>
      <c r="H410" t="s">
        <v>752</v>
      </c>
      <c r="I410" t="s">
        <v>758</v>
      </c>
      <c r="K410">
        <v>5</v>
      </c>
      <c r="L410">
        <v>1</v>
      </c>
      <c r="M410">
        <v>6</v>
      </c>
      <c r="O410" s="7">
        <v>45940</v>
      </c>
      <c r="P410" s="7">
        <v>45945</v>
      </c>
      <c r="Q410" s="7">
        <v>45952</v>
      </c>
      <c r="R410" t="s">
        <v>1049</v>
      </c>
    </row>
    <row r="411" spans="1:18" x14ac:dyDescent="0.3">
      <c r="A411" t="s">
        <v>555</v>
      </c>
      <c r="B411" t="s">
        <v>27</v>
      </c>
      <c r="C411" t="s">
        <v>474</v>
      </c>
      <c r="D411" s="7">
        <v>45948</v>
      </c>
      <c r="E411" s="7">
        <v>45951</v>
      </c>
      <c r="F411" s="7">
        <v>45955</v>
      </c>
      <c r="G411" s="7">
        <v>45962</v>
      </c>
      <c r="H411" t="s">
        <v>17</v>
      </c>
      <c r="J411" s="7">
        <v>45984</v>
      </c>
      <c r="K411">
        <v>3</v>
      </c>
      <c r="L411">
        <v>4</v>
      </c>
      <c r="M411">
        <v>7</v>
      </c>
      <c r="N411">
        <v>1</v>
      </c>
      <c r="O411" s="7">
        <v>45948</v>
      </c>
      <c r="P411" s="7">
        <v>45951</v>
      </c>
      <c r="Q411" s="7">
        <v>45962</v>
      </c>
      <c r="R411" t="s">
        <v>1049</v>
      </c>
    </row>
    <row r="412" spans="1:18" x14ac:dyDescent="0.3">
      <c r="A412" t="s">
        <v>556</v>
      </c>
      <c r="B412" t="s">
        <v>27</v>
      </c>
      <c r="C412" t="s">
        <v>474</v>
      </c>
      <c r="D412" s="7">
        <v>45931</v>
      </c>
      <c r="E412" s="7">
        <v>45935</v>
      </c>
      <c r="F412" s="7">
        <v>45939</v>
      </c>
      <c r="G412" s="7">
        <v>45942</v>
      </c>
      <c r="H412" t="s">
        <v>17</v>
      </c>
      <c r="J412" s="7">
        <v>45962</v>
      </c>
      <c r="K412">
        <v>4</v>
      </c>
      <c r="L412">
        <v>4</v>
      </c>
      <c r="M412">
        <v>3</v>
      </c>
      <c r="N412">
        <v>1</v>
      </c>
      <c r="O412" s="7">
        <v>45931</v>
      </c>
      <c r="P412" s="7">
        <v>45935</v>
      </c>
      <c r="Q412" s="7">
        <v>45942</v>
      </c>
      <c r="R412" t="s">
        <v>1049</v>
      </c>
    </row>
    <row r="413" spans="1:18" x14ac:dyDescent="0.3">
      <c r="A413" t="s">
        <v>427</v>
      </c>
      <c r="B413" t="s">
        <v>29</v>
      </c>
      <c r="C413" t="s">
        <v>16</v>
      </c>
      <c r="D413" s="7">
        <v>45948</v>
      </c>
      <c r="E413" s="7">
        <v>45950</v>
      </c>
      <c r="F413" s="7">
        <v>45952</v>
      </c>
      <c r="G413" s="7">
        <v>45957</v>
      </c>
      <c r="H413" t="s">
        <v>17</v>
      </c>
      <c r="J413" s="7">
        <v>45974</v>
      </c>
      <c r="K413">
        <v>2</v>
      </c>
      <c r="L413">
        <v>2</v>
      </c>
      <c r="M413">
        <v>5</v>
      </c>
      <c r="N413">
        <v>10</v>
      </c>
      <c r="O413" s="7">
        <v>45948</v>
      </c>
      <c r="P413" s="7">
        <v>45950</v>
      </c>
      <c r="Q413" s="7">
        <v>45957</v>
      </c>
      <c r="R413" t="s">
        <v>1049</v>
      </c>
    </row>
    <row r="414" spans="1:18" x14ac:dyDescent="0.3">
      <c r="A414" t="s">
        <v>709</v>
      </c>
      <c r="B414" t="s">
        <v>29</v>
      </c>
      <c r="C414" t="s">
        <v>474</v>
      </c>
      <c r="D414" s="7">
        <v>45944</v>
      </c>
      <c r="E414" s="7">
        <v>45949</v>
      </c>
      <c r="F414" s="7">
        <v>45954</v>
      </c>
      <c r="G414" s="7">
        <v>45958</v>
      </c>
      <c r="H414" t="s">
        <v>17</v>
      </c>
      <c r="J414" s="7">
        <v>45969</v>
      </c>
      <c r="K414">
        <v>5</v>
      </c>
      <c r="L414">
        <v>5</v>
      </c>
      <c r="M414">
        <v>4</v>
      </c>
      <c r="N414">
        <v>7</v>
      </c>
      <c r="O414" s="7">
        <v>45944</v>
      </c>
      <c r="P414" s="7">
        <v>45949</v>
      </c>
      <c r="Q414" s="7">
        <v>45958</v>
      </c>
      <c r="R414" t="s">
        <v>1049</v>
      </c>
    </row>
    <row r="415" spans="1:18" x14ac:dyDescent="0.3">
      <c r="A415" t="s">
        <v>557</v>
      </c>
      <c r="B415" t="s">
        <v>22</v>
      </c>
      <c r="C415" t="s">
        <v>474</v>
      </c>
      <c r="D415" s="7">
        <v>45933</v>
      </c>
      <c r="E415" s="7">
        <v>45935</v>
      </c>
      <c r="F415" s="7">
        <v>45937</v>
      </c>
      <c r="G415" s="7">
        <v>45944</v>
      </c>
      <c r="H415" t="s">
        <v>17</v>
      </c>
      <c r="J415" s="7">
        <v>45969</v>
      </c>
      <c r="K415">
        <v>2</v>
      </c>
      <c r="L415">
        <v>2</v>
      </c>
      <c r="M415">
        <v>7</v>
      </c>
      <c r="N415">
        <v>3</v>
      </c>
      <c r="O415" s="7">
        <v>45933</v>
      </c>
      <c r="P415" s="7">
        <v>45935</v>
      </c>
      <c r="Q415" s="7">
        <v>45944</v>
      </c>
      <c r="R415" t="s">
        <v>1049</v>
      </c>
    </row>
    <row r="416" spans="1:18" x14ac:dyDescent="0.3">
      <c r="A416" t="s">
        <v>795</v>
      </c>
      <c r="B416" t="s">
        <v>15</v>
      </c>
      <c r="C416" t="s">
        <v>474</v>
      </c>
      <c r="D416" s="7">
        <v>45938</v>
      </c>
      <c r="E416" s="7">
        <v>45941</v>
      </c>
      <c r="F416" s="7">
        <v>45942</v>
      </c>
      <c r="G416" s="7">
        <v>45945</v>
      </c>
      <c r="H416" t="s">
        <v>752</v>
      </c>
      <c r="I416" t="s">
        <v>765</v>
      </c>
      <c r="K416">
        <v>3</v>
      </c>
      <c r="L416">
        <v>1</v>
      </c>
      <c r="M416">
        <v>3</v>
      </c>
      <c r="O416" s="7">
        <v>45938</v>
      </c>
      <c r="P416" s="7">
        <v>45941</v>
      </c>
      <c r="Q416" s="7">
        <v>45945</v>
      </c>
      <c r="R416" t="s">
        <v>1049</v>
      </c>
    </row>
    <row r="417" spans="1:18" x14ac:dyDescent="0.3">
      <c r="A417" t="s">
        <v>558</v>
      </c>
      <c r="B417" t="s">
        <v>29</v>
      </c>
      <c r="C417" t="s">
        <v>474</v>
      </c>
      <c r="D417" s="7">
        <v>45957</v>
      </c>
      <c r="E417" s="7">
        <v>45961</v>
      </c>
      <c r="F417" s="7">
        <v>45963</v>
      </c>
      <c r="G417" s="7">
        <v>45970</v>
      </c>
      <c r="H417" t="s">
        <v>17</v>
      </c>
      <c r="J417" s="7">
        <v>45988</v>
      </c>
      <c r="K417">
        <v>4</v>
      </c>
      <c r="L417">
        <v>2</v>
      </c>
      <c r="M417">
        <v>7</v>
      </c>
      <c r="N417">
        <v>0</v>
      </c>
      <c r="O417" s="7">
        <v>45957</v>
      </c>
      <c r="P417" s="7">
        <v>45961</v>
      </c>
      <c r="Q417" s="7">
        <v>45970</v>
      </c>
      <c r="R417" t="s">
        <v>1049</v>
      </c>
    </row>
    <row r="418" spans="1:18" x14ac:dyDescent="0.3">
      <c r="A418" t="s">
        <v>428</v>
      </c>
      <c r="B418" t="s">
        <v>29</v>
      </c>
      <c r="C418" t="s">
        <v>16</v>
      </c>
      <c r="D418" s="7">
        <v>45960</v>
      </c>
      <c r="E418" s="7">
        <v>45962</v>
      </c>
      <c r="F418" s="7">
        <v>45967</v>
      </c>
      <c r="G418" s="7">
        <v>45974</v>
      </c>
      <c r="H418" t="s">
        <v>17</v>
      </c>
      <c r="J418" s="7">
        <v>45995</v>
      </c>
      <c r="K418">
        <v>2</v>
      </c>
      <c r="L418">
        <v>5</v>
      </c>
      <c r="M418">
        <v>7</v>
      </c>
      <c r="N418">
        <v>4</v>
      </c>
      <c r="O418" s="7">
        <v>45960</v>
      </c>
      <c r="P418" s="7">
        <v>45962</v>
      </c>
      <c r="Q418" s="7">
        <v>45974</v>
      </c>
      <c r="R418" t="s">
        <v>1049</v>
      </c>
    </row>
    <row r="419" spans="1:18" x14ac:dyDescent="0.3">
      <c r="A419" t="s">
        <v>69</v>
      </c>
      <c r="B419" t="s">
        <v>15</v>
      </c>
      <c r="C419" t="s">
        <v>16</v>
      </c>
      <c r="D419" s="7">
        <v>45934</v>
      </c>
      <c r="E419" s="7">
        <v>45937</v>
      </c>
      <c r="F419" s="7">
        <v>45940</v>
      </c>
      <c r="G419" s="7">
        <v>45943</v>
      </c>
      <c r="H419" t="s">
        <v>17</v>
      </c>
      <c r="J419" s="7">
        <v>45953</v>
      </c>
      <c r="K419">
        <v>3</v>
      </c>
      <c r="L419">
        <v>3</v>
      </c>
      <c r="M419">
        <v>3</v>
      </c>
      <c r="N419">
        <v>10</v>
      </c>
      <c r="O419" s="7">
        <v>45934</v>
      </c>
      <c r="P419" s="7">
        <v>45937</v>
      </c>
      <c r="Q419" s="7">
        <v>45943</v>
      </c>
      <c r="R419" t="s">
        <v>1049</v>
      </c>
    </row>
    <row r="420" spans="1:18" x14ac:dyDescent="0.3">
      <c r="A420" t="s">
        <v>171</v>
      </c>
      <c r="B420" t="s">
        <v>29</v>
      </c>
      <c r="C420" t="s">
        <v>16</v>
      </c>
      <c r="D420" s="7">
        <v>45945</v>
      </c>
      <c r="E420" s="7">
        <v>45950</v>
      </c>
      <c r="F420" s="7">
        <v>45952</v>
      </c>
      <c r="G420" s="7">
        <v>45957</v>
      </c>
      <c r="H420" t="s">
        <v>17</v>
      </c>
      <c r="J420" s="7">
        <v>45977</v>
      </c>
      <c r="K420">
        <v>5</v>
      </c>
      <c r="L420">
        <v>2</v>
      </c>
      <c r="M420">
        <v>5</v>
      </c>
      <c r="N420">
        <v>9</v>
      </c>
      <c r="O420" s="7">
        <v>45945</v>
      </c>
      <c r="P420" s="7">
        <v>45950</v>
      </c>
      <c r="Q420" s="7">
        <v>45957</v>
      </c>
      <c r="R420" t="s">
        <v>1049</v>
      </c>
    </row>
    <row r="421" spans="1:18" x14ac:dyDescent="0.3">
      <c r="A421" t="s">
        <v>262</v>
      </c>
      <c r="B421" t="s">
        <v>27</v>
      </c>
      <c r="C421" t="s">
        <v>16</v>
      </c>
      <c r="D421" s="7">
        <v>45961</v>
      </c>
      <c r="E421" s="7">
        <v>45965</v>
      </c>
      <c r="F421" s="7">
        <v>45970</v>
      </c>
      <c r="G421" s="7">
        <v>45976</v>
      </c>
      <c r="H421" t="s">
        <v>17</v>
      </c>
      <c r="J421" s="7">
        <v>45995</v>
      </c>
      <c r="K421">
        <v>4</v>
      </c>
      <c r="L421">
        <v>5</v>
      </c>
      <c r="M421">
        <v>6</v>
      </c>
      <c r="N421">
        <v>5</v>
      </c>
      <c r="O421" s="7">
        <v>45961</v>
      </c>
      <c r="P421" s="7">
        <v>45965</v>
      </c>
      <c r="Q421" s="7">
        <v>45976</v>
      </c>
      <c r="R421" t="s">
        <v>1049</v>
      </c>
    </row>
    <row r="422" spans="1:18" x14ac:dyDescent="0.3">
      <c r="A422" t="s">
        <v>263</v>
      </c>
      <c r="B422" t="s">
        <v>27</v>
      </c>
      <c r="C422" t="s">
        <v>16</v>
      </c>
      <c r="D422" s="7">
        <v>45934</v>
      </c>
      <c r="E422" s="7">
        <v>45938</v>
      </c>
      <c r="F422" s="7">
        <v>45941</v>
      </c>
      <c r="G422" s="7">
        <v>45948</v>
      </c>
      <c r="H422" t="s">
        <v>17</v>
      </c>
      <c r="J422" s="7">
        <v>45967</v>
      </c>
      <c r="K422">
        <v>4</v>
      </c>
      <c r="L422">
        <v>3</v>
      </c>
      <c r="M422">
        <v>7</v>
      </c>
      <c r="N422">
        <v>1</v>
      </c>
      <c r="O422" s="7">
        <v>45934</v>
      </c>
      <c r="P422" s="7">
        <v>45938</v>
      </c>
      <c r="Q422" s="7">
        <v>45948</v>
      </c>
      <c r="R422" t="s">
        <v>1049</v>
      </c>
    </row>
    <row r="423" spans="1:18" x14ac:dyDescent="0.3">
      <c r="A423" t="s">
        <v>559</v>
      </c>
      <c r="B423" t="s">
        <v>15</v>
      </c>
      <c r="C423" t="s">
        <v>474</v>
      </c>
      <c r="D423" s="7">
        <v>45951</v>
      </c>
      <c r="E423" s="7">
        <v>45954</v>
      </c>
      <c r="F423" s="7">
        <v>45959</v>
      </c>
      <c r="G423" s="7">
        <v>45964</v>
      </c>
      <c r="H423" t="s">
        <v>17</v>
      </c>
      <c r="J423" s="7">
        <v>45982</v>
      </c>
      <c r="K423">
        <v>3</v>
      </c>
      <c r="L423">
        <v>5</v>
      </c>
      <c r="M423">
        <v>5</v>
      </c>
      <c r="N423">
        <v>7</v>
      </c>
      <c r="O423" s="7">
        <v>45951</v>
      </c>
      <c r="P423" s="7">
        <v>45954</v>
      </c>
      <c r="Q423" s="7">
        <v>45964</v>
      </c>
      <c r="R423" t="s">
        <v>1049</v>
      </c>
    </row>
    <row r="424" spans="1:18" x14ac:dyDescent="0.3">
      <c r="A424" t="s">
        <v>264</v>
      </c>
      <c r="B424" t="s">
        <v>22</v>
      </c>
      <c r="C424" t="s">
        <v>16</v>
      </c>
      <c r="D424" s="7">
        <v>45957</v>
      </c>
      <c r="E424" s="7">
        <v>45961</v>
      </c>
      <c r="F424" s="7">
        <v>45966</v>
      </c>
      <c r="G424" s="7">
        <v>45969</v>
      </c>
      <c r="H424" t="s">
        <v>17</v>
      </c>
      <c r="J424" s="7">
        <v>45994</v>
      </c>
      <c r="K424">
        <v>4</v>
      </c>
      <c r="L424">
        <v>5</v>
      </c>
      <c r="M424">
        <v>3</v>
      </c>
      <c r="N424">
        <v>2</v>
      </c>
      <c r="O424" s="7">
        <v>45957</v>
      </c>
      <c r="P424" s="7">
        <v>45961</v>
      </c>
      <c r="Q424" s="7">
        <v>45969</v>
      </c>
      <c r="R424" t="s">
        <v>1049</v>
      </c>
    </row>
    <row r="425" spans="1:18" x14ac:dyDescent="0.3">
      <c r="A425" t="s">
        <v>923</v>
      </c>
      <c r="B425" t="s">
        <v>22</v>
      </c>
      <c r="C425" t="s">
        <v>841</v>
      </c>
      <c r="D425" s="7">
        <v>45935</v>
      </c>
      <c r="H425" t="s">
        <v>752</v>
      </c>
      <c r="I425" t="s">
        <v>765</v>
      </c>
      <c r="O425" s="7">
        <v>45935</v>
      </c>
      <c r="R425" t="s">
        <v>1050</v>
      </c>
    </row>
    <row r="426" spans="1:18" x14ac:dyDescent="0.3">
      <c r="A426" t="s">
        <v>172</v>
      </c>
      <c r="B426" t="s">
        <v>15</v>
      </c>
      <c r="C426" t="s">
        <v>16</v>
      </c>
      <c r="D426" s="7">
        <v>45946</v>
      </c>
      <c r="E426" s="7">
        <v>45951</v>
      </c>
      <c r="F426" s="7">
        <v>45954</v>
      </c>
      <c r="G426" s="7">
        <v>45956</v>
      </c>
      <c r="H426" t="s">
        <v>17</v>
      </c>
      <c r="J426" s="7">
        <v>45969</v>
      </c>
      <c r="K426">
        <v>5</v>
      </c>
      <c r="L426">
        <v>3</v>
      </c>
      <c r="M426">
        <v>2</v>
      </c>
      <c r="N426">
        <v>3</v>
      </c>
      <c r="O426" s="7">
        <v>45946</v>
      </c>
      <c r="P426" s="7">
        <v>45951</v>
      </c>
      <c r="Q426" s="7">
        <v>45956</v>
      </c>
      <c r="R426" t="s">
        <v>1049</v>
      </c>
    </row>
    <row r="427" spans="1:18" x14ac:dyDescent="0.3">
      <c r="A427" t="s">
        <v>710</v>
      </c>
      <c r="B427" t="s">
        <v>15</v>
      </c>
      <c r="C427" t="s">
        <v>474</v>
      </c>
      <c r="D427" s="7">
        <v>45960</v>
      </c>
      <c r="E427" s="7">
        <v>45965</v>
      </c>
      <c r="F427" s="7">
        <v>45967</v>
      </c>
      <c r="G427" s="7">
        <v>45969</v>
      </c>
      <c r="H427" t="s">
        <v>17</v>
      </c>
      <c r="J427" s="7">
        <v>45986</v>
      </c>
      <c r="K427">
        <v>5</v>
      </c>
      <c r="L427">
        <v>2</v>
      </c>
      <c r="M427">
        <v>2</v>
      </c>
      <c r="N427">
        <v>3</v>
      </c>
      <c r="O427" s="7">
        <v>45960</v>
      </c>
      <c r="P427" s="7">
        <v>45965</v>
      </c>
      <c r="Q427" s="7">
        <v>45969</v>
      </c>
      <c r="R427" t="s">
        <v>1049</v>
      </c>
    </row>
    <row r="428" spans="1:18" x14ac:dyDescent="0.3">
      <c r="A428" t="s">
        <v>265</v>
      </c>
      <c r="B428" t="s">
        <v>27</v>
      </c>
      <c r="C428" t="s">
        <v>16</v>
      </c>
      <c r="D428" s="7">
        <v>45953</v>
      </c>
      <c r="E428" s="7">
        <v>45957</v>
      </c>
      <c r="F428" s="7">
        <v>45960</v>
      </c>
      <c r="G428" s="7">
        <v>45963</v>
      </c>
      <c r="H428" t="s">
        <v>17</v>
      </c>
      <c r="J428" s="7">
        <v>45977</v>
      </c>
      <c r="K428">
        <v>4</v>
      </c>
      <c r="L428">
        <v>3</v>
      </c>
      <c r="M428">
        <v>3</v>
      </c>
      <c r="N428">
        <v>6</v>
      </c>
      <c r="O428" s="7">
        <v>45953</v>
      </c>
      <c r="P428" s="7">
        <v>45957</v>
      </c>
      <c r="Q428" s="7">
        <v>45963</v>
      </c>
      <c r="R428" t="s">
        <v>1049</v>
      </c>
    </row>
    <row r="429" spans="1:18" x14ac:dyDescent="0.3">
      <c r="A429" t="s">
        <v>429</v>
      </c>
      <c r="B429" t="s">
        <v>22</v>
      </c>
      <c r="C429" t="s">
        <v>16</v>
      </c>
      <c r="D429" s="7">
        <v>45940</v>
      </c>
      <c r="E429" s="7">
        <v>45942</v>
      </c>
      <c r="F429" s="7">
        <v>45944</v>
      </c>
      <c r="G429" s="7">
        <v>45946</v>
      </c>
      <c r="H429" t="s">
        <v>17</v>
      </c>
      <c r="J429" s="7">
        <v>45965</v>
      </c>
      <c r="K429">
        <v>2</v>
      </c>
      <c r="L429">
        <v>2</v>
      </c>
      <c r="M429">
        <v>2</v>
      </c>
      <c r="N429">
        <v>7</v>
      </c>
      <c r="O429" s="7">
        <v>45940</v>
      </c>
      <c r="P429" s="7">
        <v>45942</v>
      </c>
      <c r="Q429" s="7">
        <v>45946</v>
      </c>
      <c r="R429" t="s">
        <v>1049</v>
      </c>
    </row>
    <row r="430" spans="1:18" x14ac:dyDescent="0.3">
      <c r="A430" t="s">
        <v>430</v>
      </c>
      <c r="B430" t="s">
        <v>29</v>
      </c>
      <c r="C430" t="s">
        <v>16</v>
      </c>
      <c r="D430" s="7">
        <v>45947</v>
      </c>
      <c r="E430" s="7">
        <v>45949</v>
      </c>
      <c r="F430" s="7">
        <v>45954</v>
      </c>
      <c r="G430" s="7">
        <v>45960</v>
      </c>
      <c r="H430" t="s">
        <v>17</v>
      </c>
      <c r="J430" s="7">
        <v>45984</v>
      </c>
      <c r="K430">
        <v>2</v>
      </c>
      <c r="L430">
        <v>5</v>
      </c>
      <c r="M430">
        <v>6</v>
      </c>
      <c r="N430">
        <v>8</v>
      </c>
      <c r="O430" s="7">
        <v>45947</v>
      </c>
      <c r="P430" s="7">
        <v>45949</v>
      </c>
      <c r="Q430" s="7">
        <v>45960</v>
      </c>
      <c r="R430" t="s">
        <v>1049</v>
      </c>
    </row>
    <row r="431" spans="1:18" x14ac:dyDescent="0.3">
      <c r="A431" t="s">
        <v>711</v>
      </c>
      <c r="B431" t="s">
        <v>27</v>
      </c>
      <c r="C431" t="s">
        <v>474</v>
      </c>
      <c r="D431" s="7">
        <v>45953</v>
      </c>
      <c r="E431" s="7">
        <v>45958</v>
      </c>
      <c r="F431" s="7">
        <v>45960</v>
      </c>
      <c r="G431" s="7">
        <v>45967</v>
      </c>
      <c r="H431" t="s">
        <v>17</v>
      </c>
      <c r="J431" s="7">
        <v>45987</v>
      </c>
      <c r="K431">
        <v>5</v>
      </c>
      <c r="L431">
        <v>2</v>
      </c>
      <c r="M431">
        <v>7</v>
      </c>
      <c r="N431">
        <v>6</v>
      </c>
      <c r="O431" s="7">
        <v>45953</v>
      </c>
      <c r="P431" s="7">
        <v>45958</v>
      </c>
      <c r="Q431" s="7">
        <v>45967</v>
      </c>
      <c r="R431" t="s">
        <v>1049</v>
      </c>
    </row>
    <row r="432" spans="1:18" x14ac:dyDescent="0.3">
      <c r="A432" t="s">
        <v>560</v>
      </c>
      <c r="B432" t="s">
        <v>15</v>
      </c>
      <c r="C432" t="s">
        <v>474</v>
      </c>
      <c r="D432" s="7">
        <v>45939</v>
      </c>
      <c r="E432" s="7">
        <v>45941</v>
      </c>
      <c r="F432" s="7">
        <v>45945</v>
      </c>
      <c r="G432" s="7">
        <v>45950</v>
      </c>
      <c r="H432" t="s">
        <v>17</v>
      </c>
      <c r="J432" s="7">
        <v>45968</v>
      </c>
      <c r="K432">
        <v>2</v>
      </c>
      <c r="L432">
        <v>4</v>
      </c>
      <c r="M432">
        <v>5</v>
      </c>
      <c r="N432">
        <v>10</v>
      </c>
      <c r="O432" s="7">
        <v>45939</v>
      </c>
      <c r="P432" s="7">
        <v>45941</v>
      </c>
      <c r="Q432" s="7">
        <v>45950</v>
      </c>
      <c r="R432" t="s">
        <v>1049</v>
      </c>
    </row>
    <row r="433" spans="1:18" x14ac:dyDescent="0.3">
      <c r="A433" t="s">
        <v>561</v>
      </c>
      <c r="B433" t="s">
        <v>22</v>
      </c>
      <c r="C433" t="s">
        <v>474</v>
      </c>
      <c r="D433" s="7">
        <v>45944</v>
      </c>
      <c r="E433" s="7">
        <v>45947</v>
      </c>
      <c r="F433" s="7">
        <v>45950</v>
      </c>
      <c r="G433" s="7">
        <v>45954</v>
      </c>
      <c r="H433" t="s">
        <v>17</v>
      </c>
      <c r="J433" s="7">
        <v>45977</v>
      </c>
      <c r="K433">
        <v>3</v>
      </c>
      <c r="L433">
        <v>3</v>
      </c>
      <c r="M433">
        <v>4</v>
      </c>
      <c r="N433">
        <v>4</v>
      </c>
      <c r="O433" s="7">
        <v>45944</v>
      </c>
      <c r="P433" s="7">
        <v>45947</v>
      </c>
      <c r="Q433" s="7">
        <v>45954</v>
      </c>
      <c r="R433" t="s">
        <v>1049</v>
      </c>
    </row>
    <row r="434" spans="1:18" x14ac:dyDescent="0.3">
      <c r="A434" t="s">
        <v>924</v>
      </c>
      <c r="B434" t="s">
        <v>29</v>
      </c>
      <c r="C434" t="s">
        <v>841</v>
      </c>
      <c r="D434" s="7">
        <v>45957</v>
      </c>
      <c r="H434" t="s">
        <v>752</v>
      </c>
      <c r="I434" t="s">
        <v>758</v>
      </c>
      <c r="O434" s="7">
        <v>45957</v>
      </c>
      <c r="R434" t="s">
        <v>1050</v>
      </c>
    </row>
    <row r="435" spans="1:18" x14ac:dyDescent="0.3">
      <c r="A435" t="s">
        <v>354</v>
      </c>
      <c r="B435" t="s">
        <v>29</v>
      </c>
      <c r="C435" t="s">
        <v>16</v>
      </c>
      <c r="D435" s="7">
        <v>45946</v>
      </c>
      <c r="E435" s="7">
        <v>45947</v>
      </c>
      <c r="F435" s="7">
        <v>45950</v>
      </c>
      <c r="G435" s="7">
        <v>45955</v>
      </c>
      <c r="H435" t="s">
        <v>17</v>
      </c>
      <c r="J435" s="7">
        <v>45984</v>
      </c>
      <c r="K435">
        <v>1</v>
      </c>
      <c r="L435">
        <v>3</v>
      </c>
      <c r="M435">
        <v>5</v>
      </c>
      <c r="N435">
        <v>1</v>
      </c>
      <c r="O435" s="7">
        <v>45946</v>
      </c>
      <c r="P435" s="7">
        <v>45947</v>
      </c>
      <c r="Q435" s="7">
        <v>45955</v>
      </c>
      <c r="R435" t="s">
        <v>1049</v>
      </c>
    </row>
    <row r="436" spans="1:18" x14ac:dyDescent="0.3">
      <c r="A436" t="s">
        <v>562</v>
      </c>
      <c r="B436" t="s">
        <v>27</v>
      </c>
      <c r="C436" t="s">
        <v>474</v>
      </c>
      <c r="D436" s="7">
        <v>45946</v>
      </c>
      <c r="E436" s="7">
        <v>45950</v>
      </c>
      <c r="F436" s="7">
        <v>45951</v>
      </c>
      <c r="G436" s="7">
        <v>45955</v>
      </c>
      <c r="H436" t="s">
        <v>17</v>
      </c>
      <c r="J436" s="7">
        <v>45985</v>
      </c>
      <c r="K436">
        <v>4</v>
      </c>
      <c r="L436">
        <v>1</v>
      </c>
      <c r="M436">
        <v>4</v>
      </c>
      <c r="N436">
        <v>3</v>
      </c>
      <c r="O436" s="7">
        <v>45946</v>
      </c>
      <c r="P436" s="7">
        <v>45950</v>
      </c>
      <c r="Q436" s="7">
        <v>45955</v>
      </c>
      <c r="R436" t="s">
        <v>1049</v>
      </c>
    </row>
    <row r="437" spans="1:18" x14ac:dyDescent="0.3">
      <c r="A437" t="s">
        <v>563</v>
      </c>
      <c r="B437" t="s">
        <v>22</v>
      </c>
      <c r="C437" t="s">
        <v>474</v>
      </c>
      <c r="D437" s="7">
        <v>45938</v>
      </c>
      <c r="E437" s="7">
        <v>45941</v>
      </c>
      <c r="F437" s="7">
        <v>45946</v>
      </c>
      <c r="G437" s="7">
        <v>45949</v>
      </c>
      <c r="H437" t="s">
        <v>17</v>
      </c>
      <c r="J437" s="7">
        <v>45961</v>
      </c>
      <c r="K437">
        <v>3</v>
      </c>
      <c r="L437">
        <v>5</v>
      </c>
      <c r="M437">
        <v>3</v>
      </c>
      <c r="N437">
        <v>7</v>
      </c>
      <c r="O437" s="7">
        <v>45938</v>
      </c>
      <c r="P437" s="7">
        <v>45941</v>
      </c>
      <c r="Q437" s="7">
        <v>45949</v>
      </c>
      <c r="R437" t="s">
        <v>1049</v>
      </c>
    </row>
    <row r="438" spans="1:18" x14ac:dyDescent="0.3">
      <c r="A438" t="s">
        <v>173</v>
      </c>
      <c r="B438" t="s">
        <v>22</v>
      </c>
      <c r="C438" t="s">
        <v>16</v>
      </c>
      <c r="D438" s="7">
        <v>45945</v>
      </c>
      <c r="E438" s="7">
        <v>45950</v>
      </c>
      <c r="F438" s="7">
        <v>45955</v>
      </c>
      <c r="G438" s="7">
        <v>45958</v>
      </c>
      <c r="H438" t="s">
        <v>17</v>
      </c>
      <c r="J438" s="7">
        <v>45974</v>
      </c>
      <c r="K438">
        <v>5</v>
      </c>
      <c r="L438">
        <v>5</v>
      </c>
      <c r="M438">
        <v>3</v>
      </c>
      <c r="N438">
        <v>3</v>
      </c>
      <c r="O438" s="7">
        <v>45945</v>
      </c>
      <c r="P438" s="7">
        <v>45950</v>
      </c>
      <c r="Q438" s="7">
        <v>45958</v>
      </c>
      <c r="R438" t="s">
        <v>1049</v>
      </c>
    </row>
    <row r="439" spans="1:18" x14ac:dyDescent="0.3">
      <c r="A439" t="s">
        <v>564</v>
      </c>
      <c r="B439" t="s">
        <v>15</v>
      </c>
      <c r="C439" t="s">
        <v>474</v>
      </c>
      <c r="D439" s="7">
        <v>45948</v>
      </c>
      <c r="E439" s="7">
        <v>45949</v>
      </c>
      <c r="F439" s="7">
        <v>45951</v>
      </c>
      <c r="G439" s="7">
        <v>45955</v>
      </c>
      <c r="H439" t="s">
        <v>17</v>
      </c>
      <c r="J439" s="7">
        <v>45979</v>
      </c>
      <c r="K439">
        <v>1</v>
      </c>
      <c r="L439">
        <v>2</v>
      </c>
      <c r="M439">
        <v>4</v>
      </c>
      <c r="N439">
        <v>8</v>
      </c>
      <c r="O439" s="7">
        <v>45948</v>
      </c>
      <c r="P439" s="7">
        <v>45949</v>
      </c>
      <c r="Q439" s="7">
        <v>45955</v>
      </c>
      <c r="R439" t="s">
        <v>1049</v>
      </c>
    </row>
    <row r="440" spans="1:18" x14ac:dyDescent="0.3">
      <c r="A440" t="s">
        <v>712</v>
      </c>
      <c r="B440" t="s">
        <v>22</v>
      </c>
      <c r="C440" t="s">
        <v>474</v>
      </c>
      <c r="D440" s="7">
        <v>45935</v>
      </c>
      <c r="E440" s="7">
        <v>45940</v>
      </c>
      <c r="F440" s="7">
        <v>45944</v>
      </c>
      <c r="G440" s="7">
        <v>45951</v>
      </c>
      <c r="H440" t="s">
        <v>17</v>
      </c>
      <c r="J440" s="7">
        <v>45967</v>
      </c>
      <c r="K440">
        <v>5</v>
      </c>
      <c r="L440">
        <v>4</v>
      </c>
      <c r="M440">
        <v>7</v>
      </c>
      <c r="N440">
        <v>7</v>
      </c>
      <c r="O440" s="7">
        <v>45935</v>
      </c>
      <c r="P440" s="7">
        <v>45940</v>
      </c>
      <c r="Q440" s="7">
        <v>45951</v>
      </c>
      <c r="R440" t="s">
        <v>1049</v>
      </c>
    </row>
    <row r="441" spans="1:18" x14ac:dyDescent="0.3">
      <c r="A441" t="s">
        <v>925</v>
      </c>
      <c r="B441" t="s">
        <v>22</v>
      </c>
      <c r="C441" t="s">
        <v>841</v>
      </c>
      <c r="D441" s="7">
        <v>45943</v>
      </c>
      <c r="H441" t="s">
        <v>752</v>
      </c>
      <c r="I441" t="s">
        <v>765</v>
      </c>
      <c r="O441" s="7">
        <v>45943</v>
      </c>
      <c r="R441" t="s">
        <v>1050</v>
      </c>
    </row>
    <row r="442" spans="1:18" x14ac:dyDescent="0.3">
      <c r="A442" t="s">
        <v>565</v>
      </c>
      <c r="B442" t="s">
        <v>27</v>
      </c>
      <c r="C442" t="s">
        <v>474</v>
      </c>
      <c r="D442" s="7">
        <v>45937</v>
      </c>
      <c r="E442" s="7">
        <v>45938</v>
      </c>
      <c r="F442" s="7">
        <v>45943</v>
      </c>
      <c r="G442" s="7">
        <v>45945</v>
      </c>
      <c r="H442" t="s">
        <v>17</v>
      </c>
      <c r="J442" s="7">
        <v>45968</v>
      </c>
      <c r="K442">
        <v>1</v>
      </c>
      <c r="L442">
        <v>5</v>
      </c>
      <c r="M442">
        <v>2</v>
      </c>
      <c r="N442">
        <v>1</v>
      </c>
      <c r="O442" s="7">
        <v>45937</v>
      </c>
      <c r="P442" s="7">
        <v>45938</v>
      </c>
      <c r="Q442" s="7">
        <v>45945</v>
      </c>
      <c r="R442" t="s">
        <v>1049</v>
      </c>
    </row>
    <row r="443" spans="1:18" x14ac:dyDescent="0.3">
      <c r="A443" t="s">
        <v>70</v>
      </c>
      <c r="B443" t="s">
        <v>22</v>
      </c>
      <c r="C443" t="s">
        <v>16</v>
      </c>
      <c r="D443" s="7">
        <v>45960</v>
      </c>
      <c r="E443" s="7">
        <v>45963</v>
      </c>
      <c r="F443" s="7">
        <v>45967</v>
      </c>
      <c r="G443" s="7">
        <v>45970</v>
      </c>
      <c r="H443" t="s">
        <v>17</v>
      </c>
      <c r="J443" s="7">
        <v>45995</v>
      </c>
      <c r="K443">
        <v>3</v>
      </c>
      <c r="L443">
        <v>4</v>
      </c>
      <c r="M443">
        <v>3</v>
      </c>
      <c r="N443">
        <v>8</v>
      </c>
      <c r="O443" s="7">
        <v>45960</v>
      </c>
      <c r="P443" s="7">
        <v>45963</v>
      </c>
      <c r="Q443" s="7">
        <v>45970</v>
      </c>
      <c r="R443" t="s">
        <v>1049</v>
      </c>
    </row>
    <row r="444" spans="1:18" x14ac:dyDescent="0.3">
      <c r="A444" t="s">
        <v>926</v>
      </c>
      <c r="B444" t="s">
        <v>29</v>
      </c>
      <c r="C444" t="s">
        <v>841</v>
      </c>
      <c r="D444" s="7">
        <v>45950</v>
      </c>
      <c r="H444" t="s">
        <v>752</v>
      </c>
      <c r="I444" t="s">
        <v>753</v>
      </c>
      <c r="O444" s="7">
        <v>45950</v>
      </c>
      <c r="R444" t="s">
        <v>1050</v>
      </c>
    </row>
    <row r="445" spans="1:18" x14ac:dyDescent="0.3">
      <c r="A445" t="s">
        <v>355</v>
      </c>
      <c r="B445" t="s">
        <v>27</v>
      </c>
      <c r="C445" t="s">
        <v>16</v>
      </c>
      <c r="D445" s="7">
        <v>45947</v>
      </c>
      <c r="E445" s="7">
        <v>45948</v>
      </c>
      <c r="F445" s="7">
        <v>45949</v>
      </c>
      <c r="G445" s="7">
        <v>45955</v>
      </c>
      <c r="H445" t="s">
        <v>17</v>
      </c>
      <c r="J445" s="7">
        <v>45981</v>
      </c>
      <c r="K445">
        <v>1</v>
      </c>
      <c r="L445">
        <v>1</v>
      </c>
      <c r="M445">
        <v>6</v>
      </c>
      <c r="N445">
        <v>6</v>
      </c>
      <c r="O445" s="7">
        <v>45947</v>
      </c>
      <c r="P445" s="7">
        <v>45948</v>
      </c>
      <c r="Q445" s="7">
        <v>45955</v>
      </c>
      <c r="R445" t="s">
        <v>1049</v>
      </c>
    </row>
    <row r="446" spans="1:18" x14ac:dyDescent="0.3">
      <c r="A446" t="s">
        <v>796</v>
      </c>
      <c r="B446" t="s">
        <v>27</v>
      </c>
      <c r="C446" t="s">
        <v>474</v>
      </c>
      <c r="D446" s="7">
        <v>45954</v>
      </c>
      <c r="E446" s="7">
        <v>45956</v>
      </c>
      <c r="F446" s="7">
        <v>45959</v>
      </c>
      <c r="G446" s="7">
        <v>45965</v>
      </c>
      <c r="H446" t="s">
        <v>752</v>
      </c>
      <c r="I446" t="s">
        <v>758</v>
      </c>
      <c r="K446">
        <v>2</v>
      </c>
      <c r="L446">
        <v>3</v>
      </c>
      <c r="M446">
        <v>6</v>
      </c>
      <c r="O446" s="7">
        <v>45954</v>
      </c>
      <c r="P446" s="7">
        <v>45956</v>
      </c>
      <c r="Q446" s="7">
        <v>45965</v>
      </c>
      <c r="R446" t="s">
        <v>1049</v>
      </c>
    </row>
    <row r="447" spans="1:18" x14ac:dyDescent="0.3">
      <c r="A447" t="s">
        <v>566</v>
      </c>
      <c r="B447" t="s">
        <v>15</v>
      </c>
      <c r="C447" t="s">
        <v>474</v>
      </c>
      <c r="D447" s="7">
        <v>45959</v>
      </c>
      <c r="E447" s="7">
        <v>45962</v>
      </c>
      <c r="F447" s="7">
        <v>45966</v>
      </c>
      <c r="G447" s="7">
        <v>45972</v>
      </c>
      <c r="H447" t="s">
        <v>17</v>
      </c>
      <c r="J447" s="7">
        <v>45993</v>
      </c>
      <c r="K447">
        <v>3</v>
      </c>
      <c r="L447">
        <v>4</v>
      </c>
      <c r="M447">
        <v>6</v>
      </c>
      <c r="N447">
        <v>3</v>
      </c>
      <c r="O447" s="7">
        <v>45959</v>
      </c>
      <c r="P447" s="7">
        <v>45962</v>
      </c>
      <c r="Q447" s="7">
        <v>45972</v>
      </c>
      <c r="R447" t="s">
        <v>1049</v>
      </c>
    </row>
    <row r="448" spans="1:18" x14ac:dyDescent="0.3">
      <c r="A448" t="s">
        <v>927</v>
      </c>
      <c r="B448" t="s">
        <v>22</v>
      </c>
      <c r="C448" t="s">
        <v>841</v>
      </c>
      <c r="D448" s="7">
        <v>45935</v>
      </c>
      <c r="H448" t="s">
        <v>752</v>
      </c>
      <c r="I448" t="s">
        <v>765</v>
      </c>
      <c r="O448" s="7">
        <v>45935</v>
      </c>
      <c r="R448" t="s">
        <v>1050</v>
      </c>
    </row>
    <row r="449" spans="1:18" x14ac:dyDescent="0.3">
      <c r="A449" t="s">
        <v>928</v>
      </c>
      <c r="B449" t="s">
        <v>15</v>
      </c>
      <c r="C449" t="s">
        <v>841</v>
      </c>
      <c r="D449" s="7">
        <v>45958</v>
      </c>
      <c r="H449" t="s">
        <v>752</v>
      </c>
      <c r="I449" t="s">
        <v>777</v>
      </c>
      <c r="O449" s="7">
        <v>45958</v>
      </c>
      <c r="R449" t="s">
        <v>1050</v>
      </c>
    </row>
    <row r="450" spans="1:18" x14ac:dyDescent="0.3">
      <c r="A450" t="s">
        <v>266</v>
      </c>
      <c r="B450" t="s">
        <v>29</v>
      </c>
      <c r="C450" t="s">
        <v>16</v>
      </c>
      <c r="D450" s="7">
        <v>45933</v>
      </c>
      <c r="E450" s="7">
        <v>45937</v>
      </c>
      <c r="F450" s="7">
        <v>45942</v>
      </c>
      <c r="G450" s="7">
        <v>45949</v>
      </c>
      <c r="H450" t="s">
        <v>17</v>
      </c>
      <c r="J450" s="7">
        <v>45960</v>
      </c>
      <c r="K450">
        <v>4</v>
      </c>
      <c r="L450">
        <v>5</v>
      </c>
      <c r="M450">
        <v>7</v>
      </c>
      <c r="N450">
        <v>3</v>
      </c>
      <c r="O450" s="7">
        <v>45933</v>
      </c>
      <c r="P450" s="7">
        <v>45937</v>
      </c>
      <c r="Q450" s="7">
        <v>45949</v>
      </c>
      <c r="R450" t="s">
        <v>1049</v>
      </c>
    </row>
    <row r="451" spans="1:18" x14ac:dyDescent="0.3">
      <c r="A451" t="s">
        <v>713</v>
      </c>
      <c r="B451" t="s">
        <v>27</v>
      </c>
      <c r="C451" t="s">
        <v>474</v>
      </c>
      <c r="D451" s="7">
        <v>45939</v>
      </c>
      <c r="E451" s="7">
        <v>45944</v>
      </c>
      <c r="F451" s="7">
        <v>45947</v>
      </c>
      <c r="G451" s="7">
        <v>45953</v>
      </c>
      <c r="H451" t="s">
        <v>17</v>
      </c>
      <c r="J451" s="7">
        <v>45979</v>
      </c>
      <c r="K451">
        <v>5</v>
      </c>
      <c r="L451">
        <v>3</v>
      </c>
      <c r="M451">
        <v>6</v>
      </c>
      <c r="N451">
        <v>3</v>
      </c>
      <c r="O451" s="7">
        <v>45939</v>
      </c>
      <c r="P451" s="7">
        <v>45944</v>
      </c>
      <c r="Q451" s="7">
        <v>45953</v>
      </c>
      <c r="R451" t="s">
        <v>1049</v>
      </c>
    </row>
    <row r="452" spans="1:18" x14ac:dyDescent="0.3">
      <c r="A452" t="s">
        <v>431</v>
      </c>
      <c r="B452" t="s">
        <v>27</v>
      </c>
      <c r="C452" t="s">
        <v>16</v>
      </c>
      <c r="D452" s="7">
        <v>45955</v>
      </c>
      <c r="E452" s="7">
        <v>45957</v>
      </c>
      <c r="F452" s="7">
        <v>45961</v>
      </c>
      <c r="G452" s="7">
        <v>45965</v>
      </c>
      <c r="H452" t="s">
        <v>17</v>
      </c>
      <c r="J452" s="7">
        <v>45980</v>
      </c>
      <c r="K452">
        <v>2</v>
      </c>
      <c r="L452">
        <v>4</v>
      </c>
      <c r="M452">
        <v>4</v>
      </c>
      <c r="N452">
        <v>0</v>
      </c>
      <c r="O452" s="7">
        <v>45955</v>
      </c>
      <c r="P452" s="7">
        <v>45957</v>
      </c>
      <c r="Q452" s="7">
        <v>45965</v>
      </c>
      <c r="R452" t="s">
        <v>1049</v>
      </c>
    </row>
    <row r="453" spans="1:18" x14ac:dyDescent="0.3">
      <c r="A453" t="s">
        <v>929</v>
      </c>
      <c r="B453" t="s">
        <v>27</v>
      </c>
      <c r="C453" t="s">
        <v>841</v>
      </c>
      <c r="D453" s="7">
        <v>45956</v>
      </c>
      <c r="H453" t="s">
        <v>752</v>
      </c>
      <c r="I453" t="s">
        <v>758</v>
      </c>
      <c r="O453" s="7">
        <v>45956</v>
      </c>
      <c r="R453" t="s">
        <v>1050</v>
      </c>
    </row>
    <row r="454" spans="1:18" x14ac:dyDescent="0.3">
      <c r="A454" t="s">
        <v>267</v>
      </c>
      <c r="B454" t="s">
        <v>29</v>
      </c>
      <c r="C454" t="s">
        <v>16</v>
      </c>
      <c r="D454" s="7">
        <v>45958</v>
      </c>
      <c r="E454" s="7">
        <v>45962</v>
      </c>
      <c r="F454" s="7">
        <v>45966</v>
      </c>
      <c r="G454" s="7">
        <v>45973</v>
      </c>
      <c r="H454" t="s">
        <v>17</v>
      </c>
      <c r="J454" s="7">
        <v>45985</v>
      </c>
      <c r="K454">
        <v>4</v>
      </c>
      <c r="L454">
        <v>4</v>
      </c>
      <c r="M454">
        <v>7</v>
      </c>
      <c r="N454">
        <v>4</v>
      </c>
      <c r="O454" s="7">
        <v>45958</v>
      </c>
      <c r="P454" s="7">
        <v>45962</v>
      </c>
      <c r="Q454" s="7">
        <v>45973</v>
      </c>
      <c r="R454" t="s">
        <v>1049</v>
      </c>
    </row>
    <row r="455" spans="1:18" x14ac:dyDescent="0.3">
      <c r="A455" t="s">
        <v>930</v>
      </c>
      <c r="B455" t="s">
        <v>29</v>
      </c>
      <c r="C455" t="s">
        <v>841</v>
      </c>
      <c r="D455" s="7">
        <v>45944</v>
      </c>
      <c r="H455" t="s">
        <v>752</v>
      </c>
      <c r="I455" t="s">
        <v>758</v>
      </c>
      <c r="O455" s="7">
        <v>45944</v>
      </c>
      <c r="R455" t="s">
        <v>1050</v>
      </c>
    </row>
    <row r="456" spans="1:18" x14ac:dyDescent="0.3">
      <c r="A456" t="s">
        <v>931</v>
      </c>
      <c r="B456" t="s">
        <v>15</v>
      </c>
      <c r="C456" t="s">
        <v>841</v>
      </c>
      <c r="D456" s="7">
        <v>45941</v>
      </c>
      <c r="H456" t="s">
        <v>752</v>
      </c>
      <c r="I456" t="s">
        <v>753</v>
      </c>
      <c r="O456" s="7">
        <v>45941</v>
      </c>
      <c r="R456" t="s">
        <v>1050</v>
      </c>
    </row>
    <row r="457" spans="1:18" x14ac:dyDescent="0.3">
      <c r="A457" t="s">
        <v>356</v>
      </c>
      <c r="B457" t="s">
        <v>15</v>
      </c>
      <c r="C457" t="s">
        <v>16</v>
      </c>
      <c r="D457" s="7">
        <v>45960</v>
      </c>
      <c r="E457" s="7">
        <v>45961</v>
      </c>
      <c r="F457" s="7">
        <v>45963</v>
      </c>
      <c r="G457" s="7">
        <v>45965</v>
      </c>
      <c r="H457" t="s">
        <v>17</v>
      </c>
      <c r="J457" s="7">
        <v>45984</v>
      </c>
      <c r="K457">
        <v>1</v>
      </c>
      <c r="L457">
        <v>2</v>
      </c>
      <c r="M457">
        <v>2</v>
      </c>
      <c r="N457">
        <v>9</v>
      </c>
      <c r="O457" s="7">
        <v>45960</v>
      </c>
      <c r="P457" s="7">
        <v>45961</v>
      </c>
      <c r="Q457" s="7">
        <v>45965</v>
      </c>
      <c r="R457" t="s">
        <v>1049</v>
      </c>
    </row>
    <row r="458" spans="1:18" x14ac:dyDescent="0.3">
      <c r="A458" t="s">
        <v>797</v>
      </c>
      <c r="B458" t="s">
        <v>15</v>
      </c>
      <c r="C458" t="s">
        <v>16</v>
      </c>
      <c r="D458" s="7">
        <v>45956</v>
      </c>
      <c r="E458" s="7">
        <v>45958</v>
      </c>
      <c r="F458" s="7">
        <v>45961</v>
      </c>
      <c r="G458" s="7">
        <v>45968</v>
      </c>
      <c r="H458" t="s">
        <v>752</v>
      </c>
      <c r="I458" t="s">
        <v>756</v>
      </c>
      <c r="K458">
        <v>2</v>
      </c>
      <c r="L458">
        <v>3</v>
      </c>
      <c r="M458">
        <v>7</v>
      </c>
      <c r="O458" s="7">
        <v>45956</v>
      </c>
      <c r="P458" s="7">
        <v>45958</v>
      </c>
      <c r="Q458" s="7">
        <v>45968</v>
      </c>
      <c r="R458" t="s">
        <v>1049</v>
      </c>
    </row>
    <row r="459" spans="1:18" x14ac:dyDescent="0.3">
      <c r="A459" t="s">
        <v>268</v>
      </c>
      <c r="B459" t="s">
        <v>22</v>
      </c>
      <c r="C459" t="s">
        <v>16</v>
      </c>
      <c r="D459" s="7">
        <v>45947</v>
      </c>
      <c r="E459" s="7">
        <v>45951</v>
      </c>
      <c r="F459" s="7">
        <v>45955</v>
      </c>
      <c r="G459" s="7">
        <v>45959</v>
      </c>
      <c r="H459" t="s">
        <v>17</v>
      </c>
      <c r="J459" s="7">
        <v>45985</v>
      </c>
      <c r="K459">
        <v>4</v>
      </c>
      <c r="L459">
        <v>4</v>
      </c>
      <c r="M459">
        <v>4</v>
      </c>
      <c r="N459">
        <v>5</v>
      </c>
      <c r="O459" s="7">
        <v>45947</v>
      </c>
      <c r="P459" s="7">
        <v>45951</v>
      </c>
      <c r="Q459" s="7">
        <v>45959</v>
      </c>
      <c r="R459" t="s">
        <v>1049</v>
      </c>
    </row>
    <row r="460" spans="1:18" x14ac:dyDescent="0.3">
      <c r="A460" t="s">
        <v>567</v>
      </c>
      <c r="B460" t="s">
        <v>27</v>
      </c>
      <c r="C460" t="s">
        <v>474</v>
      </c>
      <c r="D460" s="7">
        <v>45939</v>
      </c>
      <c r="E460" s="7">
        <v>45942</v>
      </c>
      <c r="F460" s="7">
        <v>45944</v>
      </c>
      <c r="G460" s="7">
        <v>45947</v>
      </c>
      <c r="H460" t="s">
        <v>17</v>
      </c>
      <c r="J460" s="7">
        <v>45969</v>
      </c>
      <c r="K460">
        <v>3</v>
      </c>
      <c r="L460">
        <v>2</v>
      </c>
      <c r="M460">
        <v>3</v>
      </c>
      <c r="N460">
        <v>5</v>
      </c>
      <c r="O460" s="7">
        <v>45939</v>
      </c>
      <c r="P460" s="7">
        <v>45942</v>
      </c>
      <c r="Q460" s="7">
        <v>45947</v>
      </c>
      <c r="R460" t="s">
        <v>1049</v>
      </c>
    </row>
    <row r="461" spans="1:18" x14ac:dyDescent="0.3">
      <c r="A461" t="s">
        <v>357</v>
      </c>
      <c r="B461" t="s">
        <v>27</v>
      </c>
      <c r="C461" t="s">
        <v>16</v>
      </c>
      <c r="D461" s="7">
        <v>45957</v>
      </c>
      <c r="E461" s="7">
        <v>45958</v>
      </c>
      <c r="F461" s="7">
        <v>45963</v>
      </c>
      <c r="G461" s="7">
        <v>45969</v>
      </c>
      <c r="H461" t="s">
        <v>17</v>
      </c>
      <c r="J461" s="7">
        <v>45983</v>
      </c>
      <c r="K461">
        <v>1</v>
      </c>
      <c r="L461">
        <v>5</v>
      </c>
      <c r="M461">
        <v>6</v>
      </c>
      <c r="N461">
        <v>1</v>
      </c>
      <c r="O461" s="7">
        <v>45957</v>
      </c>
      <c r="P461" s="7">
        <v>45958</v>
      </c>
      <c r="Q461" s="7">
        <v>45969</v>
      </c>
      <c r="R461" t="s">
        <v>1049</v>
      </c>
    </row>
    <row r="462" spans="1:18" x14ac:dyDescent="0.3">
      <c r="A462" t="s">
        <v>798</v>
      </c>
      <c r="B462" t="s">
        <v>15</v>
      </c>
      <c r="C462" t="s">
        <v>16</v>
      </c>
      <c r="D462" s="7">
        <v>45931</v>
      </c>
      <c r="E462" s="7">
        <v>45935</v>
      </c>
      <c r="F462" s="7">
        <v>45939</v>
      </c>
      <c r="G462" s="7">
        <v>45945</v>
      </c>
      <c r="H462" t="s">
        <v>752</v>
      </c>
      <c r="I462" t="s">
        <v>756</v>
      </c>
      <c r="K462">
        <v>4</v>
      </c>
      <c r="L462">
        <v>4</v>
      </c>
      <c r="M462">
        <v>6</v>
      </c>
      <c r="O462" s="7">
        <v>45931</v>
      </c>
      <c r="P462" s="7">
        <v>45935</v>
      </c>
      <c r="Q462" s="7">
        <v>45945</v>
      </c>
      <c r="R462" t="s">
        <v>1049</v>
      </c>
    </row>
    <row r="463" spans="1:18" x14ac:dyDescent="0.3">
      <c r="A463" t="s">
        <v>932</v>
      </c>
      <c r="B463" t="s">
        <v>27</v>
      </c>
      <c r="C463" t="s">
        <v>841</v>
      </c>
      <c r="D463" s="7">
        <v>45940</v>
      </c>
      <c r="H463" t="s">
        <v>752</v>
      </c>
      <c r="I463" t="s">
        <v>753</v>
      </c>
      <c r="O463" s="7">
        <v>45940</v>
      </c>
      <c r="R463" t="s">
        <v>1050</v>
      </c>
    </row>
    <row r="464" spans="1:18" x14ac:dyDescent="0.3">
      <c r="A464" t="s">
        <v>933</v>
      </c>
      <c r="B464" t="s">
        <v>15</v>
      </c>
      <c r="C464" t="s">
        <v>841</v>
      </c>
      <c r="D464" s="7">
        <v>45954</v>
      </c>
      <c r="H464" t="s">
        <v>752</v>
      </c>
      <c r="I464" t="s">
        <v>753</v>
      </c>
      <c r="O464" s="7">
        <v>45954</v>
      </c>
      <c r="R464" t="s">
        <v>1050</v>
      </c>
    </row>
    <row r="465" spans="1:18" x14ac:dyDescent="0.3">
      <c r="A465" t="s">
        <v>358</v>
      </c>
      <c r="B465" t="s">
        <v>22</v>
      </c>
      <c r="C465" t="s">
        <v>16</v>
      </c>
      <c r="D465" s="7">
        <v>45940</v>
      </c>
      <c r="E465" s="7">
        <v>45941</v>
      </c>
      <c r="F465" s="7">
        <v>45943</v>
      </c>
      <c r="G465" s="7">
        <v>45949</v>
      </c>
      <c r="H465" t="s">
        <v>17</v>
      </c>
      <c r="J465" s="7">
        <v>45975</v>
      </c>
      <c r="K465">
        <v>1</v>
      </c>
      <c r="L465">
        <v>2</v>
      </c>
      <c r="M465">
        <v>6</v>
      </c>
      <c r="N465">
        <v>1</v>
      </c>
      <c r="O465" s="7">
        <v>45940</v>
      </c>
      <c r="P465" s="7">
        <v>45941</v>
      </c>
      <c r="Q465" s="7">
        <v>45949</v>
      </c>
      <c r="R465" t="s">
        <v>1049</v>
      </c>
    </row>
    <row r="466" spans="1:18" x14ac:dyDescent="0.3">
      <c r="A466" t="s">
        <v>568</v>
      </c>
      <c r="B466" t="s">
        <v>22</v>
      </c>
      <c r="C466" t="s">
        <v>474</v>
      </c>
      <c r="D466" s="7">
        <v>45957</v>
      </c>
      <c r="E466" s="7">
        <v>45961</v>
      </c>
      <c r="F466" s="7">
        <v>45963</v>
      </c>
      <c r="G466" s="7">
        <v>45966</v>
      </c>
      <c r="H466" t="s">
        <v>17</v>
      </c>
      <c r="J466" s="7">
        <v>45994</v>
      </c>
      <c r="K466">
        <v>4</v>
      </c>
      <c r="L466">
        <v>2</v>
      </c>
      <c r="M466">
        <v>3</v>
      </c>
      <c r="N466">
        <v>4</v>
      </c>
      <c r="O466" s="7">
        <v>45957</v>
      </c>
      <c r="P466" s="7">
        <v>45961</v>
      </c>
      <c r="Q466" s="7">
        <v>45966</v>
      </c>
      <c r="R466" t="s">
        <v>1049</v>
      </c>
    </row>
    <row r="467" spans="1:18" x14ac:dyDescent="0.3">
      <c r="A467" t="s">
        <v>714</v>
      </c>
      <c r="B467" t="s">
        <v>29</v>
      </c>
      <c r="C467" t="s">
        <v>474</v>
      </c>
      <c r="D467" s="7">
        <v>45949</v>
      </c>
      <c r="E467" s="7">
        <v>45954</v>
      </c>
      <c r="F467" s="7">
        <v>45957</v>
      </c>
      <c r="G467" s="7">
        <v>45964</v>
      </c>
      <c r="H467" t="s">
        <v>17</v>
      </c>
      <c r="J467" s="7">
        <v>45974</v>
      </c>
      <c r="K467">
        <v>5</v>
      </c>
      <c r="L467">
        <v>3</v>
      </c>
      <c r="M467">
        <v>7</v>
      </c>
      <c r="N467">
        <v>4</v>
      </c>
      <c r="O467" s="7">
        <v>45949</v>
      </c>
      <c r="P467" s="7">
        <v>45954</v>
      </c>
      <c r="Q467" s="7">
        <v>45964</v>
      </c>
      <c r="R467" t="s">
        <v>1049</v>
      </c>
    </row>
    <row r="468" spans="1:18" x14ac:dyDescent="0.3">
      <c r="A468" t="s">
        <v>569</v>
      </c>
      <c r="B468" t="s">
        <v>22</v>
      </c>
      <c r="C468" t="s">
        <v>474</v>
      </c>
      <c r="D468" s="7">
        <v>45949</v>
      </c>
      <c r="E468" s="7">
        <v>45952</v>
      </c>
      <c r="F468" s="7">
        <v>45954</v>
      </c>
      <c r="G468" s="7">
        <v>45959</v>
      </c>
      <c r="H468" t="s">
        <v>17</v>
      </c>
      <c r="J468" s="7">
        <v>45974</v>
      </c>
      <c r="K468">
        <v>3</v>
      </c>
      <c r="L468">
        <v>2</v>
      </c>
      <c r="M468">
        <v>5</v>
      </c>
      <c r="N468">
        <v>1</v>
      </c>
      <c r="O468" s="7">
        <v>45949</v>
      </c>
      <c r="P468" s="7">
        <v>45952</v>
      </c>
      <c r="Q468" s="7">
        <v>45959</v>
      </c>
      <c r="R468" t="s">
        <v>1049</v>
      </c>
    </row>
    <row r="469" spans="1:18" x14ac:dyDescent="0.3">
      <c r="A469" t="s">
        <v>432</v>
      </c>
      <c r="B469" t="s">
        <v>15</v>
      </c>
      <c r="C469" t="s">
        <v>16</v>
      </c>
      <c r="D469" s="7">
        <v>45952</v>
      </c>
      <c r="E469" s="7">
        <v>45954</v>
      </c>
      <c r="F469" s="7">
        <v>45958</v>
      </c>
      <c r="G469" s="7">
        <v>45962</v>
      </c>
      <c r="H469" t="s">
        <v>17</v>
      </c>
      <c r="J469" s="7">
        <v>45978</v>
      </c>
      <c r="K469">
        <v>2</v>
      </c>
      <c r="L469">
        <v>4</v>
      </c>
      <c r="M469">
        <v>4</v>
      </c>
      <c r="N469">
        <v>1</v>
      </c>
      <c r="O469" s="7">
        <v>45952</v>
      </c>
      <c r="P469" s="7">
        <v>45954</v>
      </c>
      <c r="Q469" s="7">
        <v>45962</v>
      </c>
      <c r="R469" t="s">
        <v>1049</v>
      </c>
    </row>
    <row r="470" spans="1:18" x14ac:dyDescent="0.3">
      <c r="A470" t="s">
        <v>269</v>
      </c>
      <c r="B470" t="s">
        <v>22</v>
      </c>
      <c r="C470" t="s">
        <v>16</v>
      </c>
      <c r="D470" s="7">
        <v>45946</v>
      </c>
      <c r="E470" s="7">
        <v>45950</v>
      </c>
      <c r="F470" s="7">
        <v>45951</v>
      </c>
      <c r="G470" s="7">
        <v>45958</v>
      </c>
      <c r="H470" t="s">
        <v>17</v>
      </c>
      <c r="J470" s="7">
        <v>45974</v>
      </c>
      <c r="K470">
        <v>4</v>
      </c>
      <c r="L470">
        <v>1</v>
      </c>
      <c r="M470">
        <v>7</v>
      </c>
      <c r="N470">
        <v>0</v>
      </c>
      <c r="O470" s="7">
        <v>45946</v>
      </c>
      <c r="P470" s="7">
        <v>45950</v>
      </c>
      <c r="Q470" s="7">
        <v>45958</v>
      </c>
      <c r="R470" t="s">
        <v>1049</v>
      </c>
    </row>
    <row r="471" spans="1:18" x14ac:dyDescent="0.3">
      <c r="A471" t="s">
        <v>934</v>
      </c>
      <c r="B471" t="s">
        <v>29</v>
      </c>
      <c r="C471" t="s">
        <v>841</v>
      </c>
      <c r="D471" s="7">
        <v>45958</v>
      </c>
      <c r="H471" t="s">
        <v>752</v>
      </c>
      <c r="I471" t="s">
        <v>753</v>
      </c>
      <c r="O471" s="7">
        <v>45958</v>
      </c>
      <c r="R471" t="s">
        <v>1050</v>
      </c>
    </row>
    <row r="472" spans="1:18" x14ac:dyDescent="0.3">
      <c r="A472" t="s">
        <v>359</v>
      </c>
      <c r="B472" t="s">
        <v>27</v>
      </c>
      <c r="C472" t="s">
        <v>16</v>
      </c>
      <c r="D472" s="7">
        <v>45935</v>
      </c>
      <c r="E472" s="7">
        <v>45936</v>
      </c>
      <c r="F472" s="7">
        <v>45941</v>
      </c>
      <c r="G472" s="7">
        <v>45943</v>
      </c>
      <c r="H472" t="s">
        <v>17</v>
      </c>
      <c r="J472" s="7">
        <v>45954</v>
      </c>
      <c r="K472">
        <v>1</v>
      </c>
      <c r="L472">
        <v>5</v>
      </c>
      <c r="M472">
        <v>2</v>
      </c>
      <c r="N472">
        <v>7</v>
      </c>
      <c r="O472" s="7">
        <v>45935</v>
      </c>
      <c r="P472" s="7">
        <v>45936</v>
      </c>
      <c r="Q472" s="7">
        <v>45943</v>
      </c>
      <c r="R472" t="s">
        <v>1049</v>
      </c>
    </row>
    <row r="473" spans="1:18" x14ac:dyDescent="0.3">
      <c r="A473" t="s">
        <v>935</v>
      </c>
      <c r="B473" t="s">
        <v>15</v>
      </c>
      <c r="C473" t="s">
        <v>841</v>
      </c>
      <c r="D473" s="7">
        <v>45945</v>
      </c>
      <c r="H473" t="s">
        <v>752</v>
      </c>
      <c r="I473" t="s">
        <v>756</v>
      </c>
      <c r="O473" s="7">
        <v>45945</v>
      </c>
      <c r="R473" t="s">
        <v>1050</v>
      </c>
    </row>
    <row r="474" spans="1:18" x14ac:dyDescent="0.3">
      <c r="A474" t="s">
        <v>936</v>
      </c>
      <c r="B474" t="s">
        <v>27</v>
      </c>
      <c r="C474" t="s">
        <v>841</v>
      </c>
      <c r="D474" s="7">
        <v>45948</v>
      </c>
      <c r="H474" t="s">
        <v>752</v>
      </c>
      <c r="I474" t="s">
        <v>753</v>
      </c>
      <c r="O474" s="7">
        <v>45948</v>
      </c>
      <c r="R474" t="s">
        <v>1050</v>
      </c>
    </row>
    <row r="475" spans="1:18" x14ac:dyDescent="0.3">
      <c r="A475" t="s">
        <v>71</v>
      </c>
      <c r="B475" t="s">
        <v>29</v>
      </c>
      <c r="C475" t="s">
        <v>16</v>
      </c>
      <c r="D475" s="7">
        <v>45946</v>
      </c>
      <c r="E475" s="7">
        <v>45949</v>
      </c>
      <c r="F475" s="7">
        <v>45953</v>
      </c>
      <c r="G475" s="7">
        <v>45956</v>
      </c>
      <c r="H475" t="s">
        <v>17</v>
      </c>
      <c r="J475" s="7">
        <v>45973</v>
      </c>
      <c r="K475">
        <v>3</v>
      </c>
      <c r="L475">
        <v>4</v>
      </c>
      <c r="M475">
        <v>3</v>
      </c>
      <c r="N475">
        <v>8</v>
      </c>
      <c r="O475" s="7">
        <v>45946</v>
      </c>
      <c r="P475" s="7">
        <v>45949</v>
      </c>
      <c r="Q475" s="7">
        <v>45956</v>
      </c>
      <c r="R475" t="s">
        <v>1049</v>
      </c>
    </row>
    <row r="476" spans="1:18" x14ac:dyDescent="0.3">
      <c r="A476" t="s">
        <v>937</v>
      </c>
      <c r="B476" t="s">
        <v>29</v>
      </c>
      <c r="C476" t="s">
        <v>841</v>
      </c>
      <c r="D476" s="7">
        <v>45942</v>
      </c>
      <c r="H476" t="s">
        <v>752</v>
      </c>
      <c r="I476" t="s">
        <v>765</v>
      </c>
      <c r="O476" s="7">
        <v>45942</v>
      </c>
      <c r="R476" t="s">
        <v>1050</v>
      </c>
    </row>
    <row r="477" spans="1:18" x14ac:dyDescent="0.3">
      <c r="A477" t="s">
        <v>799</v>
      </c>
      <c r="B477" t="s">
        <v>29</v>
      </c>
      <c r="C477" t="s">
        <v>16</v>
      </c>
      <c r="D477" s="7">
        <v>45941</v>
      </c>
      <c r="E477" s="7">
        <v>45943</v>
      </c>
      <c r="F477" s="7">
        <v>45947</v>
      </c>
      <c r="G477" s="7">
        <v>45952</v>
      </c>
      <c r="H477" t="s">
        <v>752</v>
      </c>
      <c r="I477" t="s">
        <v>758</v>
      </c>
      <c r="K477">
        <v>2</v>
      </c>
      <c r="L477">
        <v>4</v>
      </c>
      <c r="M477">
        <v>5</v>
      </c>
      <c r="O477" s="7">
        <v>45941</v>
      </c>
      <c r="P477" s="7">
        <v>45943</v>
      </c>
      <c r="Q477" s="7">
        <v>45952</v>
      </c>
      <c r="R477" t="s">
        <v>1049</v>
      </c>
    </row>
    <row r="478" spans="1:18" x14ac:dyDescent="0.3">
      <c r="A478" t="s">
        <v>570</v>
      </c>
      <c r="B478" t="s">
        <v>27</v>
      </c>
      <c r="C478" t="s">
        <v>474</v>
      </c>
      <c r="D478" s="7">
        <v>45948</v>
      </c>
      <c r="E478" s="7">
        <v>45949</v>
      </c>
      <c r="F478" s="7">
        <v>45954</v>
      </c>
      <c r="G478" s="7">
        <v>45959</v>
      </c>
      <c r="H478" t="s">
        <v>17</v>
      </c>
      <c r="J478" s="7">
        <v>45970</v>
      </c>
      <c r="K478">
        <v>1</v>
      </c>
      <c r="L478">
        <v>5</v>
      </c>
      <c r="M478">
        <v>5</v>
      </c>
      <c r="N478">
        <v>2</v>
      </c>
      <c r="O478" s="7">
        <v>45948</v>
      </c>
      <c r="P478" s="7">
        <v>45949</v>
      </c>
      <c r="Q478" s="7">
        <v>45959</v>
      </c>
      <c r="R478" t="s">
        <v>1049</v>
      </c>
    </row>
    <row r="479" spans="1:18" x14ac:dyDescent="0.3">
      <c r="A479" t="s">
        <v>800</v>
      </c>
      <c r="B479" t="s">
        <v>27</v>
      </c>
      <c r="C479" t="s">
        <v>16</v>
      </c>
      <c r="D479" s="7">
        <v>45955</v>
      </c>
      <c r="E479" s="7">
        <v>45958</v>
      </c>
      <c r="F479" s="7">
        <v>45963</v>
      </c>
      <c r="G479" s="7">
        <v>45965</v>
      </c>
      <c r="H479" t="s">
        <v>752</v>
      </c>
      <c r="I479" t="s">
        <v>758</v>
      </c>
      <c r="K479">
        <v>3</v>
      </c>
      <c r="L479">
        <v>5</v>
      </c>
      <c r="M479">
        <v>2</v>
      </c>
      <c r="O479" s="7">
        <v>45955</v>
      </c>
      <c r="P479" s="7">
        <v>45958</v>
      </c>
      <c r="Q479" s="7">
        <v>45965</v>
      </c>
      <c r="R479" t="s">
        <v>1049</v>
      </c>
    </row>
    <row r="480" spans="1:18" x14ac:dyDescent="0.3">
      <c r="A480" t="s">
        <v>360</v>
      </c>
      <c r="B480" t="s">
        <v>27</v>
      </c>
      <c r="C480" t="s">
        <v>16</v>
      </c>
      <c r="D480" s="7">
        <v>45948</v>
      </c>
      <c r="E480" s="7">
        <v>45949</v>
      </c>
      <c r="F480" s="7">
        <v>45951</v>
      </c>
      <c r="G480" s="7">
        <v>45954</v>
      </c>
      <c r="H480" t="s">
        <v>17</v>
      </c>
      <c r="J480" s="7">
        <v>45978</v>
      </c>
      <c r="K480">
        <v>1</v>
      </c>
      <c r="L480">
        <v>2</v>
      </c>
      <c r="M480">
        <v>3</v>
      </c>
      <c r="N480">
        <v>7</v>
      </c>
      <c r="O480" s="7">
        <v>45948</v>
      </c>
      <c r="P480" s="7">
        <v>45949</v>
      </c>
      <c r="Q480" s="7">
        <v>45954</v>
      </c>
      <c r="R480" t="s">
        <v>1049</v>
      </c>
    </row>
    <row r="481" spans="1:18" x14ac:dyDescent="0.3">
      <c r="A481" t="s">
        <v>801</v>
      </c>
      <c r="B481" t="s">
        <v>27</v>
      </c>
      <c r="C481" t="s">
        <v>16</v>
      </c>
      <c r="D481" s="7">
        <v>45943</v>
      </c>
      <c r="E481" s="7">
        <v>45946</v>
      </c>
      <c r="F481" s="7">
        <v>45950</v>
      </c>
      <c r="G481" s="7">
        <v>45955</v>
      </c>
      <c r="H481" t="s">
        <v>752</v>
      </c>
      <c r="I481" t="s">
        <v>777</v>
      </c>
      <c r="K481">
        <v>3</v>
      </c>
      <c r="L481">
        <v>4</v>
      </c>
      <c r="M481">
        <v>5</v>
      </c>
      <c r="O481" s="7">
        <v>45943</v>
      </c>
      <c r="P481" s="7">
        <v>45946</v>
      </c>
      <c r="Q481" s="7">
        <v>45955</v>
      </c>
      <c r="R481" t="s">
        <v>1049</v>
      </c>
    </row>
    <row r="482" spans="1:18" x14ac:dyDescent="0.3">
      <c r="A482" t="s">
        <v>433</v>
      </c>
      <c r="B482" t="s">
        <v>29</v>
      </c>
      <c r="C482" t="s">
        <v>16</v>
      </c>
      <c r="D482" s="7">
        <v>45945</v>
      </c>
      <c r="E482" s="7">
        <v>45947</v>
      </c>
      <c r="F482" s="7">
        <v>45949</v>
      </c>
      <c r="G482" s="7">
        <v>45956</v>
      </c>
      <c r="H482" t="s">
        <v>17</v>
      </c>
      <c r="J482" s="7">
        <v>45967</v>
      </c>
      <c r="K482">
        <v>2</v>
      </c>
      <c r="L482">
        <v>2</v>
      </c>
      <c r="M482">
        <v>7</v>
      </c>
      <c r="N482">
        <v>2</v>
      </c>
      <c r="O482" s="7">
        <v>45945</v>
      </c>
      <c r="P482" s="7">
        <v>45947</v>
      </c>
      <c r="Q482" s="7">
        <v>45956</v>
      </c>
      <c r="R482" t="s">
        <v>1049</v>
      </c>
    </row>
    <row r="483" spans="1:18" x14ac:dyDescent="0.3">
      <c r="A483" t="s">
        <v>434</v>
      </c>
      <c r="B483" t="s">
        <v>29</v>
      </c>
      <c r="C483" t="s">
        <v>16</v>
      </c>
      <c r="D483" s="7">
        <v>45960</v>
      </c>
      <c r="E483" s="7">
        <v>45962</v>
      </c>
      <c r="F483" s="7">
        <v>45965</v>
      </c>
      <c r="G483" s="7">
        <v>45971</v>
      </c>
      <c r="H483" t="s">
        <v>17</v>
      </c>
      <c r="J483" s="7">
        <v>45992</v>
      </c>
      <c r="K483">
        <v>2</v>
      </c>
      <c r="L483">
        <v>3</v>
      </c>
      <c r="M483">
        <v>6</v>
      </c>
      <c r="N483">
        <v>8</v>
      </c>
      <c r="O483" s="7">
        <v>45960</v>
      </c>
      <c r="P483" s="7">
        <v>45962</v>
      </c>
      <c r="Q483" s="7">
        <v>45971</v>
      </c>
      <c r="R483" t="s">
        <v>1049</v>
      </c>
    </row>
    <row r="484" spans="1:18" x14ac:dyDescent="0.3">
      <c r="A484" t="s">
        <v>361</v>
      </c>
      <c r="B484" t="s">
        <v>15</v>
      </c>
      <c r="C484" t="s">
        <v>16</v>
      </c>
      <c r="D484" s="7">
        <v>45941</v>
      </c>
      <c r="E484" s="7">
        <v>45942</v>
      </c>
      <c r="F484" s="7">
        <v>45944</v>
      </c>
      <c r="G484" s="7">
        <v>45946</v>
      </c>
      <c r="H484" t="s">
        <v>17</v>
      </c>
      <c r="J484" s="7">
        <v>45962</v>
      </c>
      <c r="K484">
        <v>1</v>
      </c>
      <c r="L484">
        <v>2</v>
      </c>
      <c r="M484">
        <v>2</v>
      </c>
      <c r="N484">
        <v>5</v>
      </c>
      <c r="O484" s="7">
        <v>45941</v>
      </c>
      <c r="P484" s="7">
        <v>45942</v>
      </c>
      <c r="Q484" s="7">
        <v>45946</v>
      </c>
      <c r="R484" t="s">
        <v>1049</v>
      </c>
    </row>
    <row r="485" spans="1:18" x14ac:dyDescent="0.3">
      <c r="A485" t="s">
        <v>72</v>
      </c>
      <c r="B485" t="s">
        <v>15</v>
      </c>
      <c r="C485" t="s">
        <v>16</v>
      </c>
      <c r="D485" s="7">
        <v>45958</v>
      </c>
      <c r="E485" s="7">
        <v>45961</v>
      </c>
      <c r="F485" s="7">
        <v>45964</v>
      </c>
      <c r="G485" s="7">
        <v>45970</v>
      </c>
      <c r="H485" t="s">
        <v>17</v>
      </c>
      <c r="J485" s="7">
        <v>45988</v>
      </c>
      <c r="K485">
        <v>3</v>
      </c>
      <c r="L485">
        <v>3</v>
      </c>
      <c r="M485">
        <v>6</v>
      </c>
      <c r="N485">
        <v>5</v>
      </c>
      <c r="O485" s="7">
        <v>45958</v>
      </c>
      <c r="P485" s="7">
        <v>45961</v>
      </c>
      <c r="Q485" s="7">
        <v>45970</v>
      </c>
      <c r="R485" t="s">
        <v>1049</v>
      </c>
    </row>
    <row r="486" spans="1:18" x14ac:dyDescent="0.3">
      <c r="A486" t="s">
        <v>270</v>
      </c>
      <c r="B486" t="s">
        <v>27</v>
      </c>
      <c r="C486" t="s">
        <v>16</v>
      </c>
      <c r="D486" s="7">
        <v>45937</v>
      </c>
      <c r="E486" s="7">
        <v>45941</v>
      </c>
      <c r="F486" s="7">
        <v>45942</v>
      </c>
      <c r="G486" s="7">
        <v>45944</v>
      </c>
      <c r="H486" t="s">
        <v>17</v>
      </c>
      <c r="J486" s="7">
        <v>45965</v>
      </c>
      <c r="K486">
        <v>4</v>
      </c>
      <c r="L486">
        <v>1</v>
      </c>
      <c r="M486">
        <v>2</v>
      </c>
      <c r="N486">
        <v>6</v>
      </c>
      <c r="O486" s="7">
        <v>45937</v>
      </c>
      <c r="P486" s="7">
        <v>45941</v>
      </c>
      <c r="Q486" s="7">
        <v>45944</v>
      </c>
      <c r="R486" t="s">
        <v>1049</v>
      </c>
    </row>
    <row r="487" spans="1:18" x14ac:dyDescent="0.3">
      <c r="A487" t="s">
        <v>802</v>
      </c>
      <c r="B487" t="s">
        <v>22</v>
      </c>
      <c r="C487" t="s">
        <v>16</v>
      </c>
      <c r="D487" s="7">
        <v>45953</v>
      </c>
      <c r="E487" s="7">
        <v>45955</v>
      </c>
      <c r="F487" s="7">
        <v>45959</v>
      </c>
      <c r="G487" s="7">
        <v>45963</v>
      </c>
      <c r="H487" t="s">
        <v>752</v>
      </c>
      <c r="I487" t="s">
        <v>777</v>
      </c>
      <c r="K487">
        <v>2</v>
      </c>
      <c r="L487">
        <v>4</v>
      </c>
      <c r="M487">
        <v>4</v>
      </c>
      <c r="O487" s="7">
        <v>45953</v>
      </c>
      <c r="P487" s="7">
        <v>45955</v>
      </c>
      <c r="Q487" s="7">
        <v>45963</v>
      </c>
      <c r="R487" t="s">
        <v>1049</v>
      </c>
    </row>
    <row r="488" spans="1:18" x14ac:dyDescent="0.3">
      <c r="A488" t="s">
        <v>271</v>
      </c>
      <c r="B488" t="s">
        <v>22</v>
      </c>
      <c r="C488" t="s">
        <v>16</v>
      </c>
      <c r="D488" s="7">
        <v>45938</v>
      </c>
      <c r="E488" s="7">
        <v>45942</v>
      </c>
      <c r="F488" s="7">
        <v>45945</v>
      </c>
      <c r="G488" s="7">
        <v>45949</v>
      </c>
      <c r="H488" t="s">
        <v>17</v>
      </c>
      <c r="J488" s="7">
        <v>45973</v>
      </c>
      <c r="K488">
        <v>4</v>
      </c>
      <c r="L488">
        <v>3</v>
      </c>
      <c r="M488">
        <v>4</v>
      </c>
      <c r="N488">
        <v>9</v>
      </c>
      <c r="O488" s="7">
        <v>45938</v>
      </c>
      <c r="P488" s="7">
        <v>45942</v>
      </c>
      <c r="Q488" s="7">
        <v>45949</v>
      </c>
      <c r="R488" t="s">
        <v>1049</v>
      </c>
    </row>
    <row r="489" spans="1:18" x14ac:dyDescent="0.3">
      <c r="A489" t="s">
        <v>571</v>
      </c>
      <c r="B489" t="s">
        <v>29</v>
      </c>
      <c r="C489" t="s">
        <v>474</v>
      </c>
      <c r="D489" s="7">
        <v>45949</v>
      </c>
      <c r="E489" s="7">
        <v>45953</v>
      </c>
      <c r="F489" s="7">
        <v>45954</v>
      </c>
      <c r="G489" s="7">
        <v>45957</v>
      </c>
      <c r="H489" t="s">
        <v>17</v>
      </c>
      <c r="J489" s="7">
        <v>45983</v>
      </c>
      <c r="K489">
        <v>4</v>
      </c>
      <c r="L489">
        <v>1</v>
      </c>
      <c r="M489">
        <v>3</v>
      </c>
      <c r="N489">
        <v>4</v>
      </c>
      <c r="O489" s="7">
        <v>45949</v>
      </c>
      <c r="P489" s="7">
        <v>45953</v>
      </c>
      <c r="Q489" s="7">
        <v>45957</v>
      </c>
      <c r="R489" t="s">
        <v>1049</v>
      </c>
    </row>
    <row r="490" spans="1:18" x14ac:dyDescent="0.3">
      <c r="A490" t="s">
        <v>174</v>
      </c>
      <c r="B490" t="s">
        <v>29</v>
      </c>
      <c r="C490" t="s">
        <v>16</v>
      </c>
      <c r="D490" s="7">
        <v>45943</v>
      </c>
      <c r="E490" s="7">
        <v>45948</v>
      </c>
      <c r="F490" s="7">
        <v>45953</v>
      </c>
      <c r="G490" s="7">
        <v>45958</v>
      </c>
      <c r="H490" t="s">
        <v>17</v>
      </c>
      <c r="J490" s="7">
        <v>45980</v>
      </c>
      <c r="K490">
        <v>5</v>
      </c>
      <c r="L490">
        <v>5</v>
      </c>
      <c r="M490">
        <v>5</v>
      </c>
      <c r="N490">
        <v>5</v>
      </c>
      <c r="O490" s="7">
        <v>45943</v>
      </c>
      <c r="P490" s="7">
        <v>45948</v>
      </c>
      <c r="Q490" s="7">
        <v>45958</v>
      </c>
      <c r="R490" t="s">
        <v>1049</v>
      </c>
    </row>
    <row r="491" spans="1:18" x14ac:dyDescent="0.3">
      <c r="A491" t="s">
        <v>572</v>
      </c>
      <c r="B491" t="s">
        <v>29</v>
      </c>
      <c r="C491" t="s">
        <v>474</v>
      </c>
      <c r="D491" s="7">
        <v>45938</v>
      </c>
      <c r="E491" s="7">
        <v>45939</v>
      </c>
      <c r="F491" s="7">
        <v>45941</v>
      </c>
      <c r="G491" s="7">
        <v>45947</v>
      </c>
      <c r="H491" t="s">
        <v>17</v>
      </c>
      <c r="J491" s="7">
        <v>45977</v>
      </c>
      <c r="K491">
        <v>1</v>
      </c>
      <c r="L491">
        <v>2</v>
      </c>
      <c r="M491">
        <v>6</v>
      </c>
      <c r="N491">
        <v>2</v>
      </c>
      <c r="O491" s="7">
        <v>45938</v>
      </c>
      <c r="P491" s="7">
        <v>45939</v>
      </c>
      <c r="Q491" s="7">
        <v>45947</v>
      </c>
      <c r="R491" t="s">
        <v>1049</v>
      </c>
    </row>
    <row r="492" spans="1:18" x14ac:dyDescent="0.3">
      <c r="A492" t="s">
        <v>362</v>
      </c>
      <c r="B492" t="s">
        <v>15</v>
      </c>
      <c r="C492" t="s">
        <v>16</v>
      </c>
      <c r="D492" s="7">
        <v>45958</v>
      </c>
      <c r="E492" s="7">
        <v>45959</v>
      </c>
      <c r="F492" s="7">
        <v>45960</v>
      </c>
      <c r="G492" s="7">
        <v>45965</v>
      </c>
      <c r="H492" t="s">
        <v>17</v>
      </c>
      <c r="J492" s="7">
        <v>45978</v>
      </c>
      <c r="K492">
        <v>1</v>
      </c>
      <c r="L492">
        <v>1</v>
      </c>
      <c r="M492">
        <v>5</v>
      </c>
      <c r="N492">
        <v>9</v>
      </c>
      <c r="O492" s="7">
        <v>45958</v>
      </c>
      <c r="P492" s="7">
        <v>45959</v>
      </c>
      <c r="Q492" s="7">
        <v>45965</v>
      </c>
      <c r="R492" t="s">
        <v>1049</v>
      </c>
    </row>
    <row r="493" spans="1:18" x14ac:dyDescent="0.3">
      <c r="A493" t="s">
        <v>803</v>
      </c>
      <c r="B493" t="s">
        <v>15</v>
      </c>
      <c r="C493" t="s">
        <v>16</v>
      </c>
      <c r="D493" s="7">
        <v>45955</v>
      </c>
      <c r="E493" s="7">
        <v>45956</v>
      </c>
      <c r="F493" s="7">
        <v>45959</v>
      </c>
      <c r="G493" s="7">
        <v>45963</v>
      </c>
      <c r="H493" t="s">
        <v>752</v>
      </c>
      <c r="I493" t="s">
        <v>758</v>
      </c>
      <c r="K493">
        <v>1</v>
      </c>
      <c r="L493">
        <v>3</v>
      </c>
      <c r="M493">
        <v>4</v>
      </c>
      <c r="O493" s="7">
        <v>45955</v>
      </c>
      <c r="P493" s="7">
        <v>45956</v>
      </c>
      <c r="Q493" s="7">
        <v>45963</v>
      </c>
      <c r="R493" t="s">
        <v>1049</v>
      </c>
    </row>
    <row r="494" spans="1:18" x14ac:dyDescent="0.3">
      <c r="A494" t="s">
        <v>73</v>
      </c>
      <c r="B494" t="s">
        <v>29</v>
      </c>
      <c r="C494" t="s">
        <v>16</v>
      </c>
      <c r="D494" s="7">
        <v>45944</v>
      </c>
      <c r="E494" s="7">
        <v>45947</v>
      </c>
      <c r="F494" s="7">
        <v>45951</v>
      </c>
      <c r="G494" s="7">
        <v>45957</v>
      </c>
      <c r="H494" t="s">
        <v>17</v>
      </c>
      <c r="J494" s="7">
        <v>45967</v>
      </c>
      <c r="K494">
        <v>3</v>
      </c>
      <c r="L494">
        <v>4</v>
      </c>
      <c r="M494">
        <v>6</v>
      </c>
      <c r="N494">
        <v>3</v>
      </c>
      <c r="O494" s="7">
        <v>45944</v>
      </c>
      <c r="P494" s="7">
        <v>45947</v>
      </c>
      <c r="Q494" s="7">
        <v>45957</v>
      </c>
      <c r="R494" t="s">
        <v>1049</v>
      </c>
    </row>
    <row r="495" spans="1:18" x14ac:dyDescent="0.3">
      <c r="A495" t="s">
        <v>435</v>
      </c>
      <c r="B495" t="s">
        <v>29</v>
      </c>
      <c r="C495" t="s">
        <v>16</v>
      </c>
      <c r="D495" s="7">
        <v>45932</v>
      </c>
      <c r="E495" s="7">
        <v>45934</v>
      </c>
      <c r="F495" s="7">
        <v>45939</v>
      </c>
      <c r="G495" s="7">
        <v>45946</v>
      </c>
      <c r="H495" t="s">
        <v>17</v>
      </c>
      <c r="J495" s="7">
        <v>45963</v>
      </c>
      <c r="K495">
        <v>2</v>
      </c>
      <c r="L495">
        <v>5</v>
      </c>
      <c r="M495">
        <v>7</v>
      </c>
      <c r="N495">
        <v>1</v>
      </c>
      <c r="O495" s="7">
        <v>45932</v>
      </c>
      <c r="P495" s="7">
        <v>45934</v>
      </c>
      <c r="Q495" s="7">
        <v>45946</v>
      </c>
      <c r="R495" t="s">
        <v>1049</v>
      </c>
    </row>
    <row r="496" spans="1:18" x14ac:dyDescent="0.3">
      <c r="A496" t="s">
        <v>938</v>
      </c>
      <c r="B496" t="s">
        <v>29</v>
      </c>
      <c r="C496" t="s">
        <v>841</v>
      </c>
      <c r="D496" s="7">
        <v>45941</v>
      </c>
      <c r="H496" t="s">
        <v>752</v>
      </c>
      <c r="I496" t="s">
        <v>765</v>
      </c>
      <c r="O496" s="7">
        <v>45941</v>
      </c>
      <c r="R496" t="s">
        <v>1050</v>
      </c>
    </row>
    <row r="497" spans="1:18" x14ac:dyDescent="0.3">
      <c r="A497" t="s">
        <v>939</v>
      </c>
      <c r="B497" t="s">
        <v>22</v>
      </c>
      <c r="C497" t="s">
        <v>841</v>
      </c>
      <c r="D497" s="7">
        <v>45954</v>
      </c>
      <c r="H497" t="s">
        <v>752</v>
      </c>
      <c r="I497" t="s">
        <v>756</v>
      </c>
      <c r="O497" s="7">
        <v>45954</v>
      </c>
      <c r="R497" t="s">
        <v>1050</v>
      </c>
    </row>
    <row r="498" spans="1:18" x14ac:dyDescent="0.3">
      <c r="A498" t="s">
        <v>940</v>
      </c>
      <c r="B498" t="s">
        <v>15</v>
      </c>
      <c r="C498" t="s">
        <v>841</v>
      </c>
      <c r="D498" s="7">
        <v>45946</v>
      </c>
      <c r="H498" t="s">
        <v>752</v>
      </c>
      <c r="I498" t="s">
        <v>756</v>
      </c>
      <c r="O498" s="7">
        <v>45946</v>
      </c>
      <c r="R498" t="s">
        <v>1050</v>
      </c>
    </row>
    <row r="499" spans="1:18" x14ac:dyDescent="0.3">
      <c r="A499" t="s">
        <v>941</v>
      </c>
      <c r="B499" t="s">
        <v>22</v>
      </c>
      <c r="C499" t="s">
        <v>841</v>
      </c>
      <c r="D499" s="7">
        <v>45953</v>
      </c>
      <c r="H499" t="s">
        <v>752</v>
      </c>
      <c r="I499" t="s">
        <v>765</v>
      </c>
      <c r="O499" s="7">
        <v>45953</v>
      </c>
      <c r="R499" t="s">
        <v>1050</v>
      </c>
    </row>
    <row r="500" spans="1:18" x14ac:dyDescent="0.3">
      <c r="A500" t="s">
        <v>573</v>
      </c>
      <c r="B500" t="s">
        <v>22</v>
      </c>
      <c r="C500" t="s">
        <v>474</v>
      </c>
      <c r="D500" s="7">
        <v>45960</v>
      </c>
      <c r="E500" s="7">
        <v>45962</v>
      </c>
      <c r="F500" s="7">
        <v>45967</v>
      </c>
      <c r="G500" s="7">
        <v>45970</v>
      </c>
      <c r="H500" t="s">
        <v>17</v>
      </c>
      <c r="J500" s="7">
        <v>45991</v>
      </c>
      <c r="K500">
        <v>2</v>
      </c>
      <c r="L500">
        <v>5</v>
      </c>
      <c r="M500">
        <v>3</v>
      </c>
      <c r="N500">
        <v>8</v>
      </c>
      <c r="O500" s="7">
        <v>45960</v>
      </c>
      <c r="P500" s="7">
        <v>45962</v>
      </c>
      <c r="Q500" s="7">
        <v>45970</v>
      </c>
      <c r="R500" t="s">
        <v>1049</v>
      </c>
    </row>
    <row r="501" spans="1:18" x14ac:dyDescent="0.3">
      <c r="A501" t="s">
        <v>715</v>
      </c>
      <c r="B501" t="s">
        <v>29</v>
      </c>
      <c r="C501" t="s">
        <v>474</v>
      </c>
      <c r="D501" s="7">
        <v>45956</v>
      </c>
      <c r="E501" s="7">
        <v>45961</v>
      </c>
      <c r="F501" s="7">
        <v>45962</v>
      </c>
      <c r="G501" s="7">
        <v>45967</v>
      </c>
      <c r="H501" t="s">
        <v>17</v>
      </c>
      <c r="J501" s="7">
        <v>45992</v>
      </c>
      <c r="K501">
        <v>5</v>
      </c>
      <c r="L501">
        <v>1</v>
      </c>
      <c r="M501">
        <v>5</v>
      </c>
      <c r="N501">
        <v>7</v>
      </c>
      <c r="O501" s="7">
        <v>45956</v>
      </c>
      <c r="P501" s="7">
        <v>45961</v>
      </c>
      <c r="Q501" s="7">
        <v>45967</v>
      </c>
      <c r="R501" t="s">
        <v>1049</v>
      </c>
    </row>
    <row r="502" spans="1:18" x14ac:dyDescent="0.3">
      <c r="A502" t="s">
        <v>175</v>
      </c>
      <c r="B502" t="s">
        <v>29</v>
      </c>
      <c r="C502" t="s">
        <v>16</v>
      </c>
      <c r="D502" s="7">
        <v>45943</v>
      </c>
      <c r="E502" s="7">
        <v>45948</v>
      </c>
      <c r="F502" s="7">
        <v>45949</v>
      </c>
      <c r="G502" s="7">
        <v>45951</v>
      </c>
      <c r="H502" t="s">
        <v>17</v>
      </c>
      <c r="J502" s="7">
        <v>45980</v>
      </c>
      <c r="K502">
        <v>5</v>
      </c>
      <c r="L502">
        <v>1</v>
      </c>
      <c r="M502">
        <v>2</v>
      </c>
      <c r="N502">
        <v>9</v>
      </c>
      <c r="O502" s="7">
        <v>45943</v>
      </c>
      <c r="P502" s="7">
        <v>45948</v>
      </c>
      <c r="Q502" s="7">
        <v>45951</v>
      </c>
      <c r="R502" t="s">
        <v>1049</v>
      </c>
    </row>
    <row r="503" spans="1:18" x14ac:dyDescent="0.3">
      <c r="A503" t="s">
        <v>716</v>
      </c>
      <c r="B503" t="s">
        <v>27</v>
      </c>
      <c r="C503" t="s">
        <v>474</v>
      </c>
      <c r="D503" s="7">
        <v>45943</v>
      </c>
      <c r="E503" s="7">
        <v>45948</v>
      </c>
      <c r="F503" s="7">
        <v>45950</v>
      </c>
      <c r="G503" s="7">
        <v>45952</v>
      </c>
      <c r="H503" t="s">
        <v>17</v>
      </c>
      <c r="J503" s="7">
        <v>45976</v>
      </c>
      <c r="K503">
        <v>5</v>
      </c>
      <c r="L503">
        <v>2</v>
      </c>
      <c r="M503">
        <v>2</v>
      </c>
      <c r="N503">
        <v>4</v>
      </c>
      <c r="O503" s="7">
        <v>45943</v>
      </c>
      <c r="P503" s="7">
        <v>45948</v>
      </c>
      <c r="Q503" s="7">
        <v>45952</v>
      </c>
      <c r="R503" t="s">
        <v>1049</v>
      </c>
    </row>
    <row r="504" spans="1:18" x14ac:dyDescent="0.3">
      <c r="A504" t="s">
        <v>272</v>
      </c>
      <c r="B504" t="s">
        <v>27</v>
      </c>
      <c r="C504" t="s">
        <v>16</v>
      </c>
      <c r="D504" s="7">
        <v>45952</v>
      </c>
      <c r="E504" s="7">
        <v>45956</v>
      </c>
      <c r="F504" s="7">
        <v>45961</v>
      </c>
      <c r="G504" s="7">
        <v>45967</v>
      </c>
      <c r="H504" t="s">
        <v>17</v>
      </c>
      <c r="J504" s="7">
        <v>45982</v>
      </c>
      <c r="K504">
        <v>4</v>
      </c>
      <c r="L504">
        <v>5</v>
      </c>
      <c r="M504">
        <v>6</v>
      </c>
      <c r="N504">
        <v>5</v>
      </c>
      <c r="O504" s="7">
        <v>45952</v>
      </c>
      <c r="P504" s="7">
        <v>45956</v>
      </c>
      <c r="Q504" s="7">
        <v>45967</v>
      </c>
      <c r="R504" t="s">
        <v>1049</v>
      </c>
    </row>
    <row r="505" spans="1:18" x14ac:dyDescent="0.3">
      <c r="A505" t="s">
        <v>363</v>
      </c>
      <c r="B505" t="s">
        <v>22</v>
      </c>
      <c r="C505" t="s">
        <v>16</v>
      </c>
      <c r="D505" s="7">
        <v>45956</v>
      </c>
      <c r="E505" s="7">
        <v>45957</v>
      </c>
      <c r="F505" s="7">
        <v>45962</v>
      </c>
      <c r="G505" s="7">
        <v>45964</v>
      </c>
      <c r="H505" t="s">
        <v>17</v>
      </c>
      <c r="J505" s="7">
        <v>45989</v>
      </c>
      <c r="K505">
        <v>1</v>
      </c>
      <c r="L505">
        <v>5</v>
      </c>
      <c r="M505">
        <v>2</v>
      </c>
      <c r="N505">
        <v>10</v>
      </c>
      <c r="O505" s="7">
        <v>45956</v>
      </c>
      <c r="P505" s="7">
        <v>45957</v>
      </c>
      <c r="Q505" s="7">
        <v>45964</v>
      </c>
      <c r="R505" t="s">
        <v>1049</v>
      </c>
    </row>
    <row r="506" spans="1:18" x14ac:dyDescent="0.3">
      <c r="A506" t="s">
        <v>74</v>
      </c>
      <c r="B506" t="s">
        <v>15</v>
      </c>
      <c r="C506" t="s">
        <v>16</v>
      </c>
      <c r="D506" s="7">
        <v>45957</v>
      </c>
      <c r="E506" s="7">
        <v>45960</v>
      </c>
      <c r="F506" s="7">
        <v>45962</v>
      </c>
      <c r="G506" s="7">
        <v>45964</v>
      </c>
      <c r="H506" t="s">
        <v>17</v>
      </c>
      <c r="J506" s="7">
        <v>45992</v>
      </c>
      <c r="K506">
        <v>3</v>
      </c>
      <c r="L506">
        <v>2</v>
      </c>
      <c r="M506">
        <v>2</v>
      </c>
      <c r="N506">
        <v>1</v>
      </c>
      <c r="O506" s="7">
        <v>45957</v>
      </c>
      <c r="P506" s="7">
        <v>45960</v>
      </c>
      <c r="Q506" s="7">
        <v>45964</v>
      </c>
      <c r="R506" t="s">
        <v>1049</v>
      </c>
    </row>
    <row r="507" spans="1:18" x14ac:dyDescent="0.3">
      <c r="A507" t="s">
        <v>436</v>
      </c>
      <c r="B507" t="s">
        <v>29</v>
      </c>
      <c r="C507" t="s">
        <v>16</v>
      </c>
      <c r="D507" s="7">
        <v>45951</v>
      </c>
      <c r="E507" s="7">
        <v>45953</v>
      </c>
      <c r="F507" s="7">
        <v>45957</v>
      </c>
      <c r="G507" s="7">
        <v>45961</v>
      </c>
      <c r="H507" t="s">
        <v>17</v>
      </c>
      <c r="J507" s="7">
        <v>45988</v>
      </c>
      <c r="K507">
        <v>2</v>
      </c>
      <c r="L507">
        <v>4</v>
      </c>
      <c r="M507">
        <v>4</v>
      </c>
      <c r="N507">
        <v>10</v>
      </c>
      <c r="O507" s="7">
        <v>45951</v>
      </c>
      <c r="P507" s="7">
        <v>45953</v>
      </c>
      <c r="Q507" s="7">
        <v>45961</v>
      </c>
      <c r="R507" t="s">
        <v>1049</v>
      </c>
    </row>
    <row r="508" spans="1:18" x14ac:dyDescent="0.3">
      <c r="A508" t="s">
        <v>75</v>
      </c>
      <c r="B508" t="s">
        <v>29</v>
      </c>
      <c r="C508" t="s">
        <v>16</v>
      </c>
      <c r="D508" s="7">
        <v>45935</v>
      </c>
      <c r="E508" s="7">
        <v>45938</v>
      </c>
      <c r="F508" s="7">
        <v>45940</v>
      </c>
      <c r="G508" s="7">
        <v>45943</v>
      </c>
      <c r="H508" t="s">
        <v>17</v>
      </c>
      <c r="J508" s="7">
        <v>45964</v>
      </c>
      <c r="K508">
        <v>3</v>
      </c>
      <c r="L508">
        <v>2</v>
      </c>
      <c r="M508">
        <v>3</v>
      </c>
      <c r="N508">
        <v>5</v>
      </c>
      <c r="O508" s="7">
        <v>45935</v>
      </c>
      <c r="P508" s="7">
        <v>45938</v>
      </c>
      <c r="Q508" s="7">
        <v>45943</v>
      </c>
      <c r="R508" t="s">
        <v>1049</v>
      </c>
    </row>
    <row r="509" spans="1:18" x14ac:dyDescent="0.3">
      <c r="A509" t="s">
        <v>364</v>
      </c>
      <c r="B509" t="s">
        <v>22</v>
      </c>
      <c r="C509" t="s">
        <v>16</v>
      </c>
      <c r="D509" s="7">
        <v>45946</v>
      </c>
      <c r="E509" s="7">
        <v>45947</v>
      </c>
      <c r="F509" s="7">
        <v>45950</v>
      </c>
      <c r="G509" s="7">
        <v>45952</v>
      </c>
      <c r="H509" t="s">
        <v>17</v>
      </c>
      <c r="J509" s="7">
        <v>45973</v>
      </c>
      <c r="K509">
        <v>1</v>
      </c>
      <c r="L509">
        <v>3</v>
      </c>
      <c r="M509">
        <v>2</v>
      </c>
      <c r="N509">
        <v>5</v>
      </c>
      <c r="O509" s="7">
        <v>45946</v>
      </c>
      <c r="P509" s="7">
        <v>45947</v>
      </c>
      <c r="Q509" s="7">
        <v>45952</v>
      </c>
      <c r="R509" t="s">
        <v>1049</v>
      </c>
    </row>
    <row r="510" spans="1:18" x14ac:dyDescent="0.3">
      <c r="A510" t="s">
        <v>942</v>
      </c>
      <c r="B510" t="s">
        <v>27</v>
      </c>
      <c r="C510" t="s">
        <v>841</v>
      </c>
      <c r="D510" s="7">
        <v>45961</v>
      </c>
      <c r="H510" t="s">
        <v>752</v>
      </c>
      <c r="I510" t="s">
        <v>756</v>
      </c>
      <c r="O510" s="7">
        <v>45961</v>
      </c>
      <c r="R510" t="s">
        <v>1050</v>
      </c>
    </row>
    <row r="511" spans="1:18" x14ac:dyDescent="0.3">
      <c r="A511" t="s">
        <v>365</v>
      </c>
      <c r="B511" t="s">
        <v>15</v>
      </c>
      <c r="C511" t="s">
        <v>16</v>
      </c>
      <c r="D511" s="7">
        <v>45932</v>
      </c>
      <c r="E511" s="7">
        <v>45933</v>
      </c>
      <c r="F511" s="7">
        <v>45936</v>
      </c>
      <c r="G511" s="7">
        <v>45938</v>
      </c>
      <c r="H511" t="s">
        <v>17</v>
      </c>
      <c r="J511" s="7">
        <v>45953</v>
      </c>
      <c r="K511">
        <v>1</v>
      </c>
      <c r="L511">
        <v>3</v>
      </c>
      <c r="M511">
        <v>2</v>
      </c>
      <c r="N511">
        <v>7</v>
      </c>
      <c r="O511" s="7">
        <v>45932</v>
      </c>
      <c r="P511" s="7">
        <v>45933</v>
      </c>
      <c r="Q511" s="7">
        <v>45938</v>
      </c>
      <c r="R511" t="s">
        <v>1049</v>
      </c>
    </row>
    <row r="512" spans="1:18" x14ac:dyDescent="0.3">
      <c r="A512" t="s">
        <v>943</v>
      </c>
      <c r="B512" t="s">
        <v>27</v>
      </c>
      <c r="C512" t="s">
        <v>841</v>
      </c>
      <c r="D512" s="7">
        <v>45935</v>
      </c>
      <c r="H512" t="s">
        <v>752</v>
      </c>
      <c r="I512" t="s">
        <v>753</v>
      </c>
      <c r="O512" s="7">
        <v>45935</v>
      </c>
      <c r="R512" t="s">
        <v>1050</v>
      </c>
    </row>
    <row r="513" spans="1:18" x14ac:dyDescent="0.3">
      <c r="A513" t="s">
        <v>574</v>
      </c>
      <c r="B513" t="s">
        <v>27</v>
      </c>
      <c r="C513" t="s">
        <v>474</v>
      </c>
      <c r="D513" s="7">
        <v>45947</v>
      </c>
      <c r="E513" s="7">
        <v>45949</v>
      </c>
      <c r="F513" s="7">
        <v>45950</v>
      </c>
      <c r="G513" s="7">
        <v>45955</v>
      </c>
      <c r="H513" t="s">
        <v>17</v>
      </c>
      <c r="J513" s="7">
        <v>45973</v>
      </c>
      <c r="K513">
        <v>2</v>
      </c>
      <c r="L513">
        <v>1</v>
      </c>
      <c r="M513">
        <v>5</v>
      </c>
      <c r="N513">
        <v>7</v>
      </c>
      <c r="O513" s="7">
        <v>45947</v>
      </c>
      <c r="P513" s="7">
        <v>45949</v>
      </c>
      <c r="Q513" s="7">
        <v>45955</v>
      </c>
      <c r="R513" t="s">
        <v>1049</v>
      </c>
    </row>
    <row r="514" spans="1:18" x14ac:dyDescent="0.3">
      <c r="A514" t="s">
        <v>944</v>
      </c>
      <c r="B514" t="s">
        <v>27</v>
      </c>
      <c r="C514" t="s">
        <v>841</v>
      </c>
      <c r="D514" s="7">
        <v>45961</v>
      </c>
      <c r="H514" t="s">
        <v>752</v>
      </c>
      <c r="I514" t="s">
        <v>758</v>
      </c>
      <c r="O514" s="7">
        <v>45961</v>
      </c>
      <c r="R514" t="s">
        <v>1050</v>
      </c>
    </row>
    <row r="515" spans="1:18" x14ac:dyDescent="0.3">
      <c r="A515" t="s">
        <v>273</v>
      </c>
      <c r="B515" t="s">
        <v>27</v>
      </c>
      <c r="C515" t="s">
        <v>16</v>
      </c>
      <c r="D515" s="7">
        <v>45949</v>
      </c>
      <c r="E515" s="7">
        <v>45953</v>
      </c>
      <c r="F515" s="7">
        <v>45955</v>
      </c>
      <c r="G515" s="7">
        <v>45961</v>
      </c>
      <c r="H515" t="s">
        <v>17</v>
      </c>
      <c r="J515" s="7">
        <v>45973</v>
      </c>
      <c r="K515">
        <v>4</v>
      </c>
      <c r="L515">
        <v>2</v>
      </c>
      <c r="M515">
        <v>6</v>
      </c>
      <c r="N515">
        <v>3</v>
      </c>
      <c r="O515" s="7">
        <v>45949</v>
      </c>
      <c r="P515" s="7">
        <v>45953</v>
      </c>
      <c r="Q515" s="7">
        <v>45961</v>
      </c>
      <c r="R515" t="s">
        <v>1049</v>
      </c>
    </row>
    <row r="516" spans="1:18" x14ac:dyDescent="0.3">
      <c r="A516" t="s">
        <v>176</v>
      </c>
      <c r="B516" t="s">
        <v>29</v>
      </c>
      <c r="C516" t="s">
        <v>16</v>
      </c>
      <c r="D516" s="7">
        <v>45941</v>
      </c>
      <c r="E516" s="7">
        <v>45946</v>
      </c>
      <c r="F516" s="7">
        <v>45948</v>
      </c>
      <c r="G516" s="7">
        <v>45952</v>
      </c>
      <c r="H516" t="s">
        <v>17</v>
      </c>
      <c r="J516" s="7">
        <v>45971</v>
      </c>
      <c r="K516">
        <v>5</v>
      </c>
      <c r="L516">
        <v>2</v>
      </c>
      <c r="M516">
        <v>4</v>
      </c>
      <c r="N516">
        <v>5</v>
      </c>
      <c r="O516" s="7">
        <v>45941</v>
      </c>
      <c r="P516" s="7">
        <v>45946</v>
      </c>
      <c r="Q516" s="7">
        <v>45952</v>
      </c>
      <c r="R516" t="s">
        <v>1049</v>
      </c>
    </row>
    <row r="517" spans="1:18" x14ac:dyDescent="0.3">
      <c r="A517" t="s">
        <v>804</v>
      </c>
      <c r="B517" t="s">
        <v>29</v>
      </c>
      <c r="C517" t="s">
        <v>474</v>
      </c>
      <c r="D517" s="7">
        <v>45958</v>
      </c>
      <c r="E517" s="7">
        <v>45962</v>
      </c>
      <c r="F517" s="7">
        <v>45963</v>
      </c>
      <c r="G517" s="7">
        <v>45970</v>
      </c>
      <c r="H517" t="s">
        <v>752</v>
      </c>
      <c r="I517" t="s">
        <v>758</v>
      </c>
      <c r="K517">
        <v>4</v>
      </c>
      <c r="L517">
        <v>1</v>
      </c>
      <c r="M517">
        <v>7</v>
      </c>
      <c r="O517" s="7">
        <v>45958</v>
      </c>
      <c r="P517" s="7">
        <v>45962</v>
      </c>
      <c r="Q517" s="7">
        <v>45970</v>
      </c>
      <c r="R517" t="s">
        <v>1049</v>
      </c>
    </row>
    <row r="518" spans="1:18" x14ac:dyDescent="0.3">
      <c r="A518" t="s">
        <v>366</v>
      </c>
      <c r="B518" t="s">
        <v>27</v>
      </c>
      <c r="C518" t="s">
        <v>16</v>
      </c>
      <c r="D518" s="7">
        <v>45934</v>
      </c>
      <c r="E518" s="7">
        <v>45935</v>
      </c>
      <c r="F518" s="7">
        <v>45939</v>
      </c>
      <c r="G518" s="7">
        <v>45946</v>
      </c>
      <c r="H518" t="s">
        <v>17</v>
      </c>
      <c r="J518" s="7">
        <v>45956</v>
      </c>
      <c r="K518">
        <v>1</v>
      </c>
      <c r="L518">
        <v>4</v>
      </c>
      <c r="M518">
        <v>7</v>
      </c>
      <c r="N518">
        <v>2</v>
      </c>
      <c r="O518" s="7">
        <v>45934</v>
      </c>
      <c r="P518" s="7">
        <v>45935</v>
      </c>
      <c r="Q518" s="7">
        <v>45946</v>
      </c>
      <c r="R518" t="s">
        <v>1049</v>
      </c>
    </row>
    <row r="519" spans="1:18" x14ac:dyDescent="0.3">
      <c r="A519" t="s">
        <v>575</v>
      </c>
      <c r="B519" t="s">
        <v>15</v>
      </c>
      <c r="C519" t="s">
        <v>474</v>
      </c>
      <c r="D519" s="7">
        <v>45958</v>
      </c>
      <c r="E519" s="7">
        <v>45959</v>
      </c>
      <c r="F519" s="7">
        <v>45961</v>
      </c>
      <c r="G519" s="7">
        <v>45967</v>
      </c>
      <c r="H519" t="s">
        <v>17</v>
      </c>
      <c r="J519" s="7">
        <v>45989</v>
      </c>
      <c r="K519">
        <v>1</v>
      </c>
      <c r="L519">
        <v>2</v>
      </c>
      <c r="M519">
        <v>6</v>
      </c>
      <c r="N519">
        <v>1</v>
      </c>
      <c r="O519" s="7">
        <v>45958</v>
      </c>
      <c r="P519" s="7">
        <v>45959</v>
      </c>
      <c r="Q519" s="7">
        <v>45967</v>
      </c>
      <c r="R519" t="s">
        <v>1049</v>
      </c>
    </row>
    <row r="520" spans="1:18" x14ac:dyDescent="0.3">
      <c r="A520" t="s">
        <v>576</v>
      </c>
      <c r="B520" t="s">
        <v>22</v>
      </c>
      <c r="C520" t="s">
        <v>474</v>
      </c>
      <c r="D520" s="7">
        <v>45958</v>
      </c>
      <c r="E520" s="7">
        <v>45962</v>
      </c>
      <c r="F520" s="7">
        <v>45967</v>
      </c>
      <c r="G520" s="7">
        <v>45972</v>
      </c>
      <c r="H520" t="s">
        <v>17</v>
      </c>
      <c r="J520" s="7">
        <v>45983</v>
      </c>
      <c r="K520">
        <v>4</v>
      </c>
      <c r="L520">
        <v>5</v>
      </c>
      <c r="M520">
        <v>5</v>
      </c>
      <c r="N520">
        <v>10</v>
      </c>
      <c r="O520" s="7">
        <v>45958</v>
      </c>
      <c r="P520" s="7">
        <v>45962</v>
      </c>
      <c r="Q520" s="7">
        <v>45972</v>
      </c>
      <c r="R520" t="s">
        <v>1049</v>
      </c>
    </row>
    <row r="521" spans="1:18" x14ac:dyDescent="0.3">
      <c r="A521" t="s">
        <v>177</v>
      </c>
      <c r="B521" t="s">
        <v>15</v>
      </c>
      <c r="C521" t="s">
        <v>16</v>
      </c>
      <c r="D521" s="7">
        <v>45945</v>
      </c>
      <c r="E521" s="7">
        <v>45950</v>
      </c>
      <c r="F521" s="7">
        <v>45952</v>
      </c>
      <c r="G521" s="7">
        <v>45957</v>
      </c>
      <c r="H521" t="s">
        <v>17</v>
      </c>
      <c r="J521" s="7">
        <v>45972</v>
      </c>
      <c r="K521">
        <v>5</v>
      </c>
      <c r="L521">
        <v>2</v>
      </c>
      <c r="M521">
        <v>5</v>
      </c>
      <c r="N521">
        <v>6</v>
      </c>
      <c r="O521" s="7">
        <v>45945</v>
      </c>
      <c r="P521" s="7">
        <v>45950</v>
      </c>
      <c r="Q521" s="7">
        <v>45957</v>
      </c>
      <c r="R521" t="s">
        <v>1049</v>
      </c>
    </row>
    <row r="522" spans="1:18" x14ac:dyDescent="0.3">
      <c r="A522" t="s">
        <v>178</v>
      </c>
      <c r="B522" t="s">
        <v>15</v>
      </c>
      <c r="C522" t="s">
        <v>16</v>
      </c>
      <c r="D522" s="7">
        <v>45934</v>
      </c>
      <c r="E522" s="7">
        <v>45939</v>
      </c>
      <c r="F522" s="7">
        <v>45943</v>
      </c>
      <c r="G522" s="7">
        <v>45950</v>
      </c>
      <c r="H522" t="s">
        <v>17</v>
      </c>
      <c r="J522" s="7">
        <v>45978</v>
      </c>
      <c r="K522">
        <v>5</v>
      </c>
      <c r="L522">
        <v>4</v>
      </c>
      <c r="M522">
        <v>7</v>
      </c>
      <c r="N522">
        <v>7</v>
      </c>
      <c r="O522" s="7">
        <v>45934</v>
      </c>
      <c r="P522" s="7">
        <v>45939</v>
      </c>
      <c r="Q522" s="7">
        <v>45950</v>
      </c>
      <c r="R522" t="s">
        <v>1049</v>
      </c>
    </row>
    <row r="523" spans="1:18" x14ac:dyDescent="0.3">
      <c r="A523" t="s">
        <v>367</v>
      </c>
      <c r="B523" t="s">
        <v>15</v>
      </c>
      <c r="C523" t="s">
        <v>16</v>
      </c>
      <c r="D523" s="7">
        <v>45947</v>
      </c>
      <c r="E523" s="7">
        <v>45948</v>
      </c>
      <c r="F523" s="7">
        <v>45950</v>
      </c>
      <c r="G523" s="7">
        <v>45955</v>
      </c>
      <c r="H523" t="s">
        <v>17</v>
      </c>
      <c r="J523" s="7">
        <v>45971</v>
      </c>
      <c r="K523">
        <v>1</v>
      </c>
      <c r="L523">
        <v>2</v>
      </c>
      <c r="M523">
        <v>5</v>
      </c>
      <c r="N523">
        <v>4</v>
      </c>
      <c r="O523" s="7">
        <v>45947</v>
      </c>
      <c r="P523" s="7">
        <v>45948</v>
      </c>
      <c r="Q523" s="7">
        <v>45955</v>
      </c>
      <c r="R523" t="s">
        <v>1049</v>
      </c>
    </row>
    <row r="524" spans="1:18" x14ac:dyDescent="0.3">
      <c r="A524" t="s">
        <v>945</v>
      </c>
      <c r="B524" t="s">
        <v>27</v>
      </c>
      <c r="C524" t="s">
        <v>841</v>
      </c>
      <c r="D524" s="7">
        <v>45960</v>
      </c>
      <c r="H524" t="s">
        <v>752</v>
      </c>
      <c r="I524" t="s">
        <v>765</v>
      </c>
      <c r="O524" s="7">
        <v>45960</v>
      </c>
      <c r="R524" t="s">
        <v>1050</v>
      </c>
    </row>
    <row r="525" spans="1:18" x14ac:dyDescent="0.3">
      <c r="A525" t="s">
        <v>179</v>
      </c>
      <c r="B525" t="s">
        <v>29</v>
      </c>
      <c r="C525" t="s">
        <v>16</v>
      </c>
      <c r="D525" s="7">
        <v>45945</v>
      </c>
      <c r="E525" s="7">
        <v>45950</v>
      </c>
      <c r="F525" s="7">
        <v>45955</v>
      </c>
      <c r="G525" s="7">
        <v>45957</v>
      </c>
      <c r="H525" t="s">
        <v>17</v>
      </c>
      <c r="J525" s="7">
        <v>45974</v>
      </c>
      <c r="K525">
        <v>5</v>
      </c>
      <c r="L525">
        <v>5</v>
      </c>
      <c r="M525">
        <v>2</v>
      </c>
      <c r="N525">
        <v>4</v>
      </c>
      <c r="O525" s="7">
        <v>45945</v>
      </c>
      <c r="P525" s="7">
        <v>45950</v>
      </c>
      <c r="Q525" s="7">
        <v>45957</v>
      </c>
      <c r="R525" t="s">
        <v>1049</v>
      </c>
    </row>
    <row r="526" spans="1:18" x14ac:dyDescent="0.3">
      <c r="A526" t="s">
        <v>180</v>
      </c>
      <c r="B526" t="s">
        <v>15</v>
      </c>
      <c r="C526" t="s">
        <v>16</v>
      </c>
      <c r="D526" s="7">
        <v>45931</v>
      </c>
      <c r="E526" s="7">
        <v>45936</v>
      </c>
      <c r="F526" s="7">
        <v>45939</v>
      </c>
      <c r="G526" s="7">
        <v>45946</v>
      </c>
      <c r="H526" t="s">
        <v>17</v>
      </c>
      <c r="J526" s="7">
        <v>45976</v>
      </c>
      <c r="K526">
        <v>5</v>
      </c>
      <c r="L526">
        <v>3</v>
      </c>
      <c r="M526">
        <v>7</v>
      </c>
      <c r="N526">
        <v>8</v>
      </c>
      <c r="O526" s="7">
        <v>45931</v>
      </c>
      <c r="P526" s="7">
        <v>45936</v>
      </c>
      <c r="Q526" s="7">
        <v>45946</v>
      </c>
      <c r="R526" t="s">
        <v>1049</v>
      </c>
    </row>
    <row r="527" spans="1:18" x14ac:dyDescent="0.3">
      <c r="A527" t="s">
        <v>577</v>
      </c>
      <c r="B527" t="s">
        <v>27</v>
      </c>
      <c r="C527" t="s">
        <v>474</v>
      </c>
      <c r="D527" s="7">
        <v>45954</v>
      </c>
      <c r="E527" s="7">
        <v>45956</v>
      </c>
      <c r="F527" s="7">
        <v>45959</v>
      </c>
      <c r="G527" s="7">
        <v>45965</v>
      </c>
      <c r="H527" t="s">
        <v>17</v>
      </c>
      <c r="J527" s="7">
        <v>45982</v>
      </c>
      <c r="K527">
        <v>2</v>
      </c>
      <c r="L527">
        <v>3</v>
      </c>
      <c r="M527">
        <v>6</v>
      </c>
      <c r="N527">
        <v>8</v>
      </c>
      <c r="O527" s="7">
        <v>45954</v>
      </c>
      <c r="P527" s="7">
        <v>45956</v>
      </c>
      <c r="Q527" s="7">
        <v>45965</v>
      </c>
      <c r="R527" t="s">
        <v>1049</v>
      </c>
    </row>
    <row r="528" spans="1:18" x14ac:dyDescent="0.3">
      <c r="A528" t="s">
        <v>437</v>
      </c>
      <c r="B528" t="s">
        <v>15</v>
      </c>
      <c r="C528" t="s">
        <v>16</v>
      </c>
      <c r="D528" s="7">
        <v>45935</v>
      </c>
      <c r="E528" s="7">
        <v>45937</v>
      </c>
      <c r="F528" s="7">
        <v>45941</v>
      </c>
      <c r="G528" s="7">
        <v>45947</v>
      </c>
      <c r="H528" t="s">
        <v>17</v>
      </c>
      <c r="J528" s="7">
        <v>45963</v>
      </c>
      <c r="K528">
        <v>2</v>
      </c>
      <c r="L528">
        <v>4</v>
      </c>
      <c r="M528">
        <v>6</v>
      </c>
      <c r="N528">
        <v>6</v>
      </c>
      <c r="O528" s="7">
        <v>45935</v>
      </c>
      <c r="P528" s="7">
        <v>45937</v>
      </c>
      <c r="Q528" s="7">
        <v>45947</v>
      </c>
      <c r="R528" t="s">
        <v>1049</v>
      </c>
    </row>
    <row r="529" spans="1:18" x14ac:dyDescent="0.3">
      <c r="A529" t="s">
        <v>76</v>
      </c>
      <c r="B529" t="s">
        <v>15</v>
      </c>
      <c r="C529" t="s">
        <v>16</v>
      </c>
      <c r="D529" s="7">
        <v>45944</v>
      </c>
      <c r="E529" s="7">
        <v>45947</v>
      </c>
      <c r="F529" s="7">
        <v>45951</v>
      </c>
      <c r="G529" s="7">
        <v>45957</v>
      </c>
      <c r="H529" t="s">
        <v>17</v>
      </c>
      <c r="J529" s="7">
        <v>45975</v>
      </c>
      <c r="K529">
        <v>3</v>
      </c>
      <c r="L529">
        <v>4</v>
      </c>
      <c r="M529">
        <v>6</v>
      </c>
      <c r="N529">
        <v>4</v>
      </c>
      <c r="O529" s="7">
        <v>45944</v>
      </c>
      <c r="P529" s="7">
        <v>45947</v>
      </c>
      <c r="Q529" s="7">
        <v>45957</v>
      </c>
      <c r="R529" t="s">
        <v>1049</v>
      </c>
    </row>
    <row r="530" spans="1:18" x14ac:dyDescent="0.3">
      <c r="A530" t="s">
        <v>946</v>
      </c>
      <c r="B530" t="s">
        <v>27</v>
      </c>
      <c r="C530" t="s">
        <v>841</v>
      </c>
      <c r="D530" s="7">
        <v>45958</v>
      </c>
      <c r="H530" t="s">
        <v>752</v>
      </c>
      <c r="I530" t="s">
        <v>756</v>
      </c>
      <c r="O530" s="7">
        <v>45958</v>
      </c>
      <c r="R530" t="s">
        <v>1050</v>
      </c>
    </row>
    <row r="531" spans="1:18" x14ac:dyDescent="0.3">
      <c r="A531" t="s">
        <v>947</v>
      </c>
      <c r="B531" t="s">
        <v>29</v>
      </c>
      <c r="C531" t="s">
        <v>841</v>
      </c>
      <c r="D531" s="7">
        <v>45951</v>
      </c>
      <c r="H531" t="s">
        <v>752</v>
      </c>
      <c r="I531" t="s">
        <v>777</v>
      </c>
      <c r="O531" s="7">
        <v>45951</v>
      </c>
      <c r="R531" t="s">
        <v>1050</v>
      </c>
    </row>
    <row r="532" spans="1:18" x14ac:dyDescent="0.3">
      <c r="A532" t="s">
        <v>274</v>
      </c>
      <c r="B532" t="s">
        <v>29</v>
      </c>
      <c r="C532" t="s">
        <v>16</v>
      </c>
      <c r="D532" s="7">
        <v>45935</v>
      </c>
      <c r="E532" s="7">
        <v>45939</v>
      </c>
      <c r="F532" s="7">
        <v>45944</v>
      </c>
      <c r="G532" s="7">
        <v>45947</v>
      </c>
      <c r="H532" t="s">
        <v>17</v>
      </c>
      <c r="J532" s="7">
        <v>45977</v>
      </c>
      <c r="K532">
        <v>4</v>
      </c>
      <c r="L532">
        <v>5</v>
      </c>
      <c r="M532">
        <v>3</v>
      </c>
      <c r="N532">
        <v>2</v>
      </c>
      <c r="O532" s="7">
        <v>45935</v>
      </c>
      <c r="P532" s="7">
        <v>45939</v>
      </c>
      <c r="Q532" s="7">
        <v>45947</v>
      </c>
      <c r="R532" t="s">
        <v>1049</v>
      </c>
    </row>
    <row r="533" spans="1:18" x14ac:dyDescent="0.3">
      <c r="A533" t="s">
        <v>578</v>
      </c>
      <c r="B533" t="s">
        <v>22</v>
      </c>
      <c r="C533" t="s">
        <v>474</v>
      </c>
      <c r="D533" s="7">
        <v>45933</v>
      </c>
      <c r="E533" s="7">
        <v>45934</v>
      </c>
      <c r="F533" s="7">
        <v>45937</v>
      </c>
      <c r="G533" s="7">
        <v>45941</v>
      </c>
      <c r="H533" t="s">
        <v>17</v>
      </c>
      <c r="J533" s="7">
        <v>45964</v>
      </c>
      <c r="K533">
        <v>1</v>
      </c>
      <c r="L533">
        <v>3</v>
      </c>
      <c r="M533">
        <v>4</v>
      </c>
      <c r="N533">
        <v>2</v>
      </c>
      <c r="O533" s="7">
        <v>45933</v>
      </c>
      <c r="P533" s="7">
        <v>45934</v>
      </c>
      <c r="Q533" s="7">
        <v>45941</v>
      </c>
      <c r="R533" t="s">
        <v>1049</v>
      </c>
    </row>
    <row r="534" spans="1:18" x14ac:dyDescent="0.3">
      <c r="A534" t="s">
        <v>948</v>
      </c>
      <c r="B534" t="s">
        <v>27</v>
      </c>
      <c r="C534" t="s">
        <v>841</v>
      </c>
      <c r="D534" s="7">
        <v>45946</v>
      </c>
      <c r="H534" t="s">
        <v>752</v>
      </c>
      <c r="I534" t="s">
        <v>777</v>
      </c>
      <c r="O534" s="7">
        <v>45946</v>
      </c>
      <c r="R534" t="s">
        <v>1050</v>
      </c>
    </row>
    <row r="535" spans="1:18" x14ac:dyDescent="0.3">
      <c r="A535" t="s">
        <v>181</v>
      </c>
      <c r="B535" t="s">
        <v>22</v>
      </c>
      <c r="C535" t="s">
        <v>16</v>
      </c>
      <c r="D535" s="7">
        <v>45956</v>
      </c>
      <c r="E535" s="7">
        <v>45961</v>
      </c>
      <c r="F535" s="7">
        <v>45964</v>
      </c>
      <c r="G535" s="7">
        <v>45966</v>
      </c>
      <c r="H535" t="s">
        <v>17</v>
      </c>
      <c r="J535" s="7">
        <v>45992</v>
      </c>
      <c r="K535">
        <v>5</v>
      </c>
      <c r="L535">
        <v>3</v>
      </c>
      <c r="M535">
        <v>2</v>
      </c>
      <c r="N535">
        <v>1</v>
      </c>
      <c r="O535" s="7">
        <v>45956</v>
      </c>
      <c r="P535" s="7">
        <v>45961</v>
      </c>
      <c r="Q535" s="7">
        <v>45966</v>
      </c>
      <c r="R535" t="s">
        <v>1049</v>
      </c>
    </row>
    <row r="536" spans="1:18" x14ac:dyDescent="0.3">
      <c r="A536" t="s">
        <v>579</v>
      </c>
      <c r="B536" t="s">
        <v>22</v>
      </c>
      <c r="C536" t="s">
        <v>474</v>
      </c>
      <c r="D536" s="7">
        <v>45939</v>
      </c>
      <c r="E536" s="7">
        <v>45942</v>
      </c>
      <c r="F536" s="7">
        <v>45945</v>
      </c>
      <c r="G536" s="7">
        <v>45949</v>
      </c>
      <c r="H536" t="s">
        <v>17</v>
      </c>
      <c r="J536" s="7">
        <v>45959</v>
      </c>
      <c r="K536">
        <v>3</v>
      </c>
      <c r="L536">
        <v>3</v>
      </c>
      <c r="M536">
        <v>4</v>
      </c>
      <c r="N536">
        <v>0</v>
      </c>
      <c r="O536" s="7">
        <v>45939</v>
      </c>
      <c r="P536" s="7">
        <v>45942</v>
      </c>
      <c r="Q536" s="7">
        <v>45949</v>
      </c>
      <c r="R536" t="s">
        <v>1049</v>
      </c>
    </row>
    <row r="537" spans="1:18" x14ac:dyDescent="0.3">
      <c r="A537" t="s">
        <v>805</v>
      </c>
      <c r="B537" t="s">
        <v>22</v>
      </c>
      <c r="C537" t="s">
        <v>474</v>
      </c>
      <c r="D537" s="7">
        <v>45941</v>
      </c>
      <c r="E537" s="7">
        <v>45943</v>
      </c>
      <c r="F537" s="7">
        <v>45946</v>
      </c>
      <c r="G537" s="7">
        <v>45948</v>
      </c>
      <c r="H537" t="s">
        <v>752</v>
      </c>
      <c r="I537" t="s">
        <v>756</v>
      </c>
      <c r="K537">
        <v>2</v>
      </c>
      <c r="L537">
        <v>3</v>
      </c>
      <c r="M537">
        <v>2</v>
      </c>
      <c r="O537" s="7">
        <v>45941</v>
      </c>
      <c r="P537" s="7">
        <v>45943</v>
      </c>
      <c r="Q537" s="7">
        <v>45948</v>
      </c>
      <c r="R537" t="s">
        <v>1049</v>
      </c>
    </row>
    <row r="538" spans="1:18" x14ac:dyDescent="0.3">
      <c r="A538" t="s">
        <v>182</v>
      </c>
      <c r="B538" t="s">
        <v>29</v>
      </c>
      <c r="C538" t="s">
        <v>16</v>
      </c>
      <c r="D538" s="7">
        <v>45950</v>
      </c>
      <c r="E538" s="7">
        <v>45955</v>
      </c>
      <c r="F538" s="7">
        <v>45960</v>
      </c>
      <c r="G538" s="7">
        <v>45966</v>
      </c>
      <c r="H538" t="s">
        <v>17</v>
      </c>
      <c r="J538" s="7">
        <v>45976</v>
      </c>
      <c r="K538">
        <v>5</v>
      </c>
      <c r="L538">
        <v>5</v>
      </c>
      <c r="M538">
        <v>6</v>
      </c>
      <c r="N538">
        <v>0</v>
      </c>
      <c r="O538" s="7">
        <v>45950</v>
      </c>
      <c r="P538" s="7">
        <v>45955</v>
      </c>
      <c r="Q538" s="7">
        <v>45966</v>
      </c>
      <c r="R538" t="s">
        <v>1049</v>
      </c>
    </row>
    <row r="539" spans="1:18" x14ac:dyDescent="0.3">
      <c r="A539" t="s">
        <v>580</v>
      </c>
      <c r="B539" t="s">
        <v>27</v>
      </c>
      <c r="C539" t="s">
        <v>474</v>
      </c>
      <c r="D539" s="7">
        <v>45953</v>
      </c>
      <c r="E539" s="7">
        <v>45957</v>
      </c>
      <c r="F539" s="7">
        <v>45961</v>
      </c>
      <c r="G539" s="7">
        <v>45964</v>
      </c>
      <c r="H539" t="s">
        <v>17</v>
      </c>
      <c r="J539" s="7">
        <v>45989</v>
      </c>
      <c r="K539">
        <v>4</v>
      </c>
      <c r="L539">
        <v>4</v>
      </c>
      <c r="M539">
        <v>3</v>
      </c>
      <c r="N539">
        <v>3</v>
      </c>
      <c r="O539" s="7">
        <v>45953</v>
      </c>
      <c r="P539" s="7">
        <v>45957</v>
      </c>
      <c r="Q539" s="7">
        <v>45964</v>
      </c>
      <c r="R539" t="s">
        <v>1049</v>
      </c>
    </row>
    <row r="540" spans="1:18" x14ac:dyDescent="0.3">
      <c r="A540" t="s">
        <v>949</v>
      </c>
      <c r="B540" t="s">
        <v>22</v>
      </c>
      <c r="C540" t="s">
        <v>841</v>
      </c>
      <c r="D540" s="7">
        <v>45943</v>
      </c>
      <c r="H540" t="s">
        <v>752</v>
      </c>
      <c r="I540" t="s">
        <v>777</v>
      </c>
      <c r="O540" s="7">
        <v>45943</v>
      </c>
      <c r="R540" t="s">
        <v>1050</v>
      </c>
    </row>
    <row r="541" spans="1:18" x14ac:dyDescent="0.3">
      <c r="A541" t="s">
        <v>806</v>
      </c>
      <c r="B541" t="s">
        <v>27</v>
      </c>
      <c r="C541" t="s">
        <v>16</v>
      </c>
      <c r="D541" s="7">
        <v>45951</v>
      </c>
      <c r="E541" s="7">
        <v>45953</v>
      </c>
      <c r="F541" s="7">
        <v>45957</v>
      </c>
      <c r="G541" s="7">
        <v>45960</v>
      </c>
      <c r="H541" t="s">
        <v>752</v>
      </c>
      <c r="I541" t="s">
        <v>765</v>
      </c>
      <c r="K541">
        <v>2</v>
      </c>
      <c r="L541">
        <v>4</v>
      </c>
      <c r="M541">
        <v>3</v>
      </c>
      <c r="O541" s="7">
        <v>45951</v>
      </c>
      <c r="P541" s="7">
        <v>45953</v>
      </c>
      <c r="Q541" s="7">
        <v>45960</v>
      </c>
      <c r="R541" t="s">
        <v>1049</v>
      </c>
    </row>
    <row r="542" spans="1:18" x14ac:dyDescent="0.3">
      <c r="A542" t="s">
        <v>581</v>
      </c>
      <c r="B542" t="s">
        <v>27</v>
      </c>
      <c r="C542" t="s">
        <v>474</v>
      </c>
      <c r="D542" s="7">
        <v>45933</v>
      </c>
      <c r="E542" s="7">
        <v>45934</v>
      </c>
      <c r="F542" s="7">
        <v>45935</v>
      </c>
      <c r="G542" s="7">
        <v>45941</v>
      </c>
      <c r="H542" t="s">
        <v>17</v>
      </c>
      <c r="J542" s="7">
        <v>45955</v>
      </c>
      <c r="K542">
        <v>1</v>
      </c>
      <c r="L542">
        <v>1</v>
      </c>
      <c r="M542">
        <v>6</v>
      </c>
      <c r="N542">
        <v>9</v>
      </c>
      <c r="O542" s="7">
        <v>45933</v>
      </c>
      <c r="P542" s="7">
        <v>45934</v>
      </c>
      <c r="Q542" s="7">
        <v>45941</v>
      </c>
      <c r="R542" t="s">
        <v>1049</v>
      </c>
    </row>
    <row r="543" spans="1:18" x14ac:dyDescent="0.3">
      <c r="A543" t="s">
        <v>950</v>
      </c>
      <c r="B543" t="s">
        <v>29</v>
      </c>
      <c r="C543" t="s">
        <v>841</v>
      </c>
      <c r="D543" s="7">
        <v>45958</v>
      </c>
      <c r="H543" t="s">
        <v>752</v>
      </c>
      <c r="I543" t="s">
        <v>765</v>
      </c>
      <c r="O543" s="7">
        <v>45958</v>
      </c>
      <c r="R543" t="s">
        <v>1050</v>
      </c>
    </row>
    <row r="544" spans="1:18" x14ac:dyDescent="0.3">
      <c r="A544" t="s">
        <v>183</v>
      </c>
      <c r="B544" t="s">
        <v>22</v>
      </c>
      <c r="C544" t="s">
        <v>16</v>
      </c>
      <c r="D544" s="7">
        <v>45941</v>
      </c>
      <c r="E544" s="7">
        <v>45946</v>
      </c>
      <c r="F544" s="7">
        <v>45950</v>
      </c>
      <c r="G544" s="7">
        <v>45954</v>
      </c>
      <c r="H544" t="s">
        <v>17</v>
      </c>
      <c r="J544" s="7">
        <v>45984</v>
      </c>
      <c r="K544">
        <v>5</v>
      </c>
      <c r="L544">
        <v>4</v>
      </c>
      <c r="M544">
        <v>4</v>
      </c>
      <c r="N544">
        <v>9</v>
      </c>
      <c r="O544" s="7">
        <v>45941</v>
      </c>
      <c r="P544" s="7">
        <v>45946</v>
      </c>
      <c r="Q544" s="7">
        <v>45954</v>
      </c>
      <c r="R544" t="s">
        <v>1049</v>
      </c>
    </row>
    <row r="545" spans="1:18" x14ac:dyDescent="0.3">
      <c r="A545" t="s">
        <v>77</v>
      </c>
      <c r="B545" t="s">
        <v>22</v>
      </c>
      <c r="C545" t="s">
        <v>16</v>
      </c>
      <c r="D545" s="7">
        <v>45958</v>
      </c>
      <c r="E545" s="7">
        <v>45961</v>
      </c>
      <c r="F545" s="7">
        <v>45964</v>
      </c>
      <c r="G545" s="7">
        <v>45969</v>
      </c>
      <c r="H545" t="s">
        <v>17</v>
      </c>
      <c r="J545" s="7">
        <v>45984</v>
      </c>
      <c r="K545">
        <v>3</v>
      </c>
      <c r="L545">
        <v>3</v>
      </c>
      <c r="M545">
        <v>5</v>
      </c>
      <c r="N545">
        <v>4</v>
      </c>
      <c r="O545" s="7">
        <v>45958</v>
      </c>
      <c r="P545" s="7">
        <v>45961</v>
      </c>
      <c r="Q545" s="7">
        <v>45969</v>
      </c>
      <c r="R545" t="s">
        <v>1049</v>
      </c>
    </row>
    <row r="546" spans="1:18" x14ac:dyDescent="0.3">
      <c r="A546" t="s">
        <v>582</v>
      </c>
      <c r="B546" t="s">
        <v>27</v>
      </c>
      <c r="C546" t="s">
        <v>474</v>
      </c>
      <c r="D546" s="7">
        <v>45952</v>
      </c>
      <c r="E546" s="7">
        <v>45953</v>
      </c>
      <c r="F546" s="7">
        <v>45955</v>
      </c>
      <c r="G546" s="7">
        <v>45961</v>
      </c>
      <c r="H546" t="s">
        <v>17</v>
      </c>
      <c r="J546" s="7">
        <v>45990</v>
      </c>
      <c r="K546">
        <v>1</v>
      </c>
      <c r="L546">
        <v>2</v>
      </c>
      <c r="M546">
        <v>6</v>
      </c>
      <c r="N546">
        <v>1</v>
      </c>
      <c r="O546" s="7">
        <v>45952</v>
      </c>
      <c r="P546" s="7">
        <v>45953</v>
      </c>
      <c r="Q546" s="7">
        <v>45961</v>
      </c>
      <c r="R546" t="s">
        <v>1049</v>
      </c>
    </row>
    <row r="547" spans="1:18" x14ac:dyDescent="0.3">
      <c r="A547" t="s">
        <v>717</v>
      </c>
      <c r="B547" t="s">
        <v>15</v>
      </c>
      <c r="C547" t="s">
        <v>474</v>
      </c>
      <c r="D547" s="7">
        <v>45958</v>
      </c>
      <c r="E547" s="7">
        <v>45963</v>
      </c>
      <c r="F547" s="7">
        <v>45966</v>
      </c>
      <c r="G547" s="7">
        <v>45973</v>
      </c>
      <c r="H547" t="s">
        <v>17</v>
      </c>
      <c r="J547" s="7">
        <v>45983</v>
      </c>
      <c r="K547">
        <v>5</v>
      </c>
      <c r="L547">
        <v>3</v>
      </c>
      <c r="M547">
        <v>7</v>
      </c>
      <c r="N547">
        <v>6</v>
      </c>
      <c r="O547" s="7">
        <v>45958</v>
      </c>
      <c r="P547" s="7">
        <v>45963</v>
      </c>
      <c r="Q547" s="7">
        <v>45973</v>
      </c>
      <c r="R547" t="s">
        <v>1049</v>
      </c>
    </row>
    <row r="548" spans="1:18" x14ac:dyDescent="0.3">
      <c r="A548" t="s">
        <v>184</v>
      </c>
      <c r="B548" t="s">
        <v>29</v>
      </c>
      <c r="C548" t="s">
        <v>16</v>
      </c>
      <c r="D548" s="7">
        <v>45948</v>
      </c>
      <c r="E548" s="7">
        <v>45953</v>
      </c>
      <c r="F548" s="7">
        <v>45956</v>
      </c>
      <c r="G548" s="7">
        <v>45963</v>
      </c>
      <c r="H548" t="s">
        <v>17</v>
      </c>
      <c r="J548" s="7">
        <v>45980</v>
      </c>
      <c r="K548">
        <v>5</v>
      </c>
      <c r="L548">
        <v>3</v>
      </c>
      <c r="M548">
        <v>7</v>
      </c>
      <c r="N548">
        <v>3</v>
      </c>
      <c r="O548" s="7">
        <v>45948</v>
      </c>
      <c r="P548" s="7">
        <v>45953</v>
      </c>
      <c r="Q548" s="7">
        <v>45963</v>
      </c>
      <c r="R548" t="s">
        <v>1049</v>
      </c>
    </row>
    <row r="549" spans="1:18" x14ac:dyDescent="0.3">
      <c r="A549" t="s">
        <v>185</v>
      </c>
      <c r="B549" t="s">
        <v>29</v>
      </c>
      <c r="C549" t="s">
        <v>16</v>
      </c>
      <c r="D549" s="7">
        <v>45943</v>
      </c>
      <c r="E549" s="7">
        <v>45948</v>
      </c>
      <c r="F549" s="7">
        <v>45952</v>
      </c>
      <c r="G549" s="7">
        <v>45959</v>
      </c>
      <c r="H549" t="s">
        <v>17</v>
      </c>
      <c r="J549" s="7">
        <v>45977</v>
      </c>
      <c r="K549">
        <v>5</v>
      </c>
      <c r="L549">
        <v>4</v>
      </c>
      <c r="M549">
        <v>7</v>
      </c>
      <c r="N549">
        <v>4</v>
      </c>
      <c r="O549" s="7">
        <v>45943</v>
      </c>
      <c r="P549" s="7">
        <v>45948</v>
      </c>
      <c r="Q549" s="7">
        <v>45959</v>
      </c>
      <c r="R549" t="s">
        <v>1049</v>
      </c>
    </row>
    <row r="550" spans="1:18" x14ac:dyDescent="0.3">
      <c r="A550" t="s">
        <v>186</v>
      </c>
      <c r="B550" t="s">
        <v>29</v>
      </c>
      <c r="C550" t="s">
        <v>16</v>
      </c>
      <c r="D550" s="7">
        <v>45961</v>
      </c>
      <c r="E550" s="7">
        <v>45966</v>
      </c>
      <c r="F550" s="7">
        <v>45967</v>
      </c>
      <c r="G550" s="7">
        <v>45974</v>
      </c>
      <c r="H550" t="s">
        <v>17</v>
      </c>
      <c r="J550" s="7">
        <v>46003</v>
      </c>
      <c r="K550">
        <v>5</v>
      </c>
      <c r="L550">
        <v>1</v>
      </c>
      <c r="M550">
        <v>7</v>
      </c>
      <c r="N550">
        <v>6</v>
      </c>
      <c r="O550" s="7">
        <v>45961</v>
      </c>
      <c r="P550" s="7">
        <v>45966</v>
      </c>
      <c r="Q550" s="7">
        <v>45974</v>
      </c>
      <c r="R550" t="s">
        <v>1049</v>
      </c>
    </row>
    <row r="551" spans="1:18" x14ac:dyDescent="0.3">
      <c r="A551" t="s">
        <v>187</v>
      </c>
      <c r="B551" t="s">
        <v>29</v>
      </c>
      <c r="C551" t="s">
        <v>16</v>
      </c>
      <c r="D551" s="7">
        <v>45941</v>
      </c>
      <c r="E551" s="7">
        <v>45946</v>
      </c>
      <c r="F551" s="7">
        <v>45951</v>
      </c>
      <c r="G551" s="7">
        <v>45953</v>
      </c>
      <c r="H551" t="s">
        <v>17</v>
      </c>
      <c r="J551" s="7">
        <v>45972</v>
      </c>
      <c r="K551">
        <v>5</v>
      </c>
      <c r="L551">
        <v>5</v>
      </c>
      <c r="M551">
        <v>2</v>
      </c>
      <c r="N551">
        <v>5</v>
      </c>
      <c r="O551" s="7">
        <v>45941</v>
      </c>
      <c r="P551" s="7">
        <v>45946</v>
      </c>
      <c r="Q551" s="7">
        <v>45953</v>
      </c>
      <c r="R551" t="s">
        <v>1049</v>
      </c>
    </row>
    <row r="552" spans="1:18" x14ac:dyDescent="0.3">
      <c r="A552" t="s">
        <v>368</v>
      </c>
      <c r="B552" t="s">
        <v>22</v>
      </c>
      <c r="C552" t="s">
        <v>16</v>
      </c>
      <c r="D552" s="7">
        <v>45951</v>
      </c>
      <c r="E552" s="7">
        <v>45952</v>
      </c>
      <c r="F552" s="7">
        <v>45954</v>
      </c>
      <c r="G552" s="7">
        <v>45958</v>
      </c>
      <c r="H552" t="s">
        <v>17</v>
      </c>
      <c r="J552" s="7">
        <v>45988</v>
      </c>
      <c r="K552">
        <v>1</v>
      </c>
      <c r="L552">
        <v>2</v>
      </c>
      <c r="M552">
        <v>4</v>
      </c>
      <c r="N552">
        <v>3</v>
      </c>
      <c r="O552" s="7">
        <v>45951</v>
      </c>
      <c r="P552" s="7">
        <v>45952</v>
      </c>
      <c r="Q552" s="7">
        <v>45958</v>
      </c>
      <c r="R552" t="s">
        <v>1049</v>
      </c>
    </row>
    <row r="553" spans="1:18" x14ac:dyDescent="0.3">
      <c r="A553" t="s">
        <v>583</v>
      </c>
      <c r="B553" t="s">
        <v>22</v>
      </c>
      <c r="C553" t="s">
        <v>474</v>
      </c>
      <c r="D553" s="7">
        <v>45953</v>
      </c>
      <c r="E553" s="7">
        <v>45957</v>
      </c>
      <c r="F553" s="7">
        <v>45959</v>
      </c>
      <c r="G553" s="7">
        <v>45966</v>
      </c>
      <c r="H553" t="s">
        <v>17</v>
      </c>
      <c r="J553" s="7">
        <v>45984</v>
      </c>
      <c r="K553">
        <v>4</v>
      </c>
      <c r="L553">
        <v>2</v>
      </c>
      <c r="M553">
        <v>7</v>
      </c>
      <c r="N553">
        <v>3</v>
      </c>
      <c r="O553" s="7">
        <v>45953</v>
      </c>
      <c r="P553" s="7">
        <v>45957</v>
      </c>
      <c r="Q553" s="7">
        <v>45966</v>
      </c>
      <c r="R553" t="s">
        <v>1049</v>
      </c>
    </row>
    <row r="554" spans="1:18" x14ac:dyDescent="0.3">
      <c r="A554" t="s">
        <v>275</v>
      </c>
      <c r="B554" t="s">
        <v>15</v>
      </c>
      <c r="C554" t="s">
        <v>16</v>
      </c>
      <c r="D554" s="7">
        <v>45959</v>
      </c>
      <c r="E554" s="7">
        <v>45963</v>
      </c>
      <c r="F554" s="7">
        <v>45964</v>
      </c>
      <c r="G554" s="7">
        <v>45969</v>
      </c>
      <c r="H554" t="s">
        <v>17</v>
      </c>
      <c r="J554" s="7">
        <v>45992</v>
      </c>
      <c r="K554">
        <v>4</v>
      </c>
      <c r="L554">
        <v>1</v>
      </c>
      <c r="M554">
        <v>5</v>
      </c>
      <c r="N554">
        <v>9</v>
      </c>
      <c r="O554" s="7">
        <v>45959</v>
      </c>
      <c r="P554" s="7">
        <v>45963</v>
      </c>
      <c r="Q554" s="7">
        <v>45969</v>
      </c>
      <c r="R554" t="s">
        <v>1049</v>
      </c>
    </row>
    <row r="555" spans="1:18" x14ac:dyDescent="0.3">
      <c r="A555" t="s">
        <v>951</v>
      </c>
      <c r="B555" t="s">
        <v>29</v>
      </c>
      <c r="C555" t="s">
        <v>841</v>
      </c>
      <c r="D555" s="7">
        <v>45955</v>
      </c>
      <c r="H555" t="s">
        <v>752</v>
      </c>
      <c r="I555" t="s">
        <v>756</v>
      </c>
      <c r="O555" s="7">
        <v>45955</v>
      </c>
      <c r="R555" t="s">
        <v>1050</v>
      </c>
    </row>
    <row r="556" spans="1:18" x14ac:dyDescent="0.3">
      <c r="A556" t="s">
        <v>369</v>
      </c>
      <c r="B556" t="s">
        <v>29</v>
      </c>
      <c r="C556" t="s">
        <v>16</v>
      </c>
      <c r="D556" s="7">
        <v>45946</v>
      </c>
      <c r="E556" s="7">
        <v>45947</v>
      </c>
      <c r="F556" s="7">
        <v>45950</v>
      </c>
      <c r="G556" s="7">
        <v>45957</v>
      </c>
      <c r="H556" t="s">
        <v>17</v>
      </c>
      <c r="J556" s="7">
        <v>45979</v>
      </c>
      <c r="K556">
        <v>1</v>
      </c>
      <c r="L556">
        <v>3</v>
      </c>
      <c r="M556">
        <v>7</v>
      </c>
      <c r="N556">
        <v>2</v>
      </c>
      <c r="O556" s="7">
        <v>45946</v>
      </c>
      <c r="P556" s="7">
        <v>45947</v>
      </c>
      <c r="Q556" s="7">
        <v>45957</v>
      </c>
      <c r="R556" t="s">
        <v>1049</v>
      </c>
    </row>
    <row r="557" spans="1:18" x14ac:dyDescent="0.3">
      <c r="A557" t="s">
        <v>276</v>
      </c>
      <c r="B557" t="s">
        <v>27</v>
      </c>
      <c r="C557" t="s">
        <v>16</v>
      </c>
      <c r="D557" s="7">
        <v>45958</v>
      </c>
      <c r="E557" s="7">
        <v>45962</v>
      </c>
      <c r="F557" s="7">
        <v>45967</v>
      </c>
      <c r="G557" s="7">
        <v>45970</v>
      </c>
      <c r="H557" t="s">
        <v>17</v>
      </c>
      <c r="J557" s="7">
        <v>45991</v>
      </c>
      <c r="K557">
        <v>4</v>
      </c>
      <c r="L557">
        <v>5</v>
      </c>
      <c r="M557">
        <v>3</v>
      </c>
      <c r="N557">
        <v>8</v>
      </c>
      <c r="O557" s="7">
        <v>45958</v>
      </c>
      <c r="P557" s="7">
        <v>45962</v>
      </c>
      <c r="Q557" s="7">
        <v>45970</v>
      </c>
      <c r="R557" t="s">
        <v>1049</v>
      </c>
    </row>
    <row r="558" spans="1:18" x14ac:dyDescent="0.3">
      <c r="A558" t="s">
        <v>584</v>
      </c>
      <c r="B558" t="s">
        <v>22</v>
      </c>
      <c r="C558" t="s">
        <v>474</v>
      </c>
      <c r="D558" s="7">
        <v>45948</v>
      </c>
      <c r="E558" s="7">
        <v>45951</v>
      </c>
      <c r="F558" s="7">
        <v>45956</v>
      </c>
      <c r="G558" s="7">
        <v>45958</v>
      </c>
      <c r="H558" t="s">
        <v>17</v>
      </c>
      <c r="J558" s="7">
        <v>45982</v>
      </c>
      <c r="K558">
        <v>3</v>
      </c>
      <c r="L558">
        <v>5</v>
      </c>
      <c r="M558">
        <v>2</v>
      </c>
      <c r="N558">
        <v>1</v>
      </c>
      <c r="O558" s="7">
        <v>45948</v>
      </c>
      <c r="P558" s="7">
        <v>45951</v>
      </c>
      <c r="Q558" s="7">
        <v>45958</v>
      </c>
      <c r="R558" t="s">
        <v>1049</v>
      </c>
    </row>
    <row r="559" spans="1:18" x14ac:dyDescent="0.3">
      <c r="A559" t="s">
        <v>78</v>
      </c>
      <c r="B559" t="s">
        <v>29</v>
      </c>
      <c r="C559" t="s">
        <v>16</v>
      </c>
      <c r="D559" s="7">
        <v>45932</v>
      </c>
      <c r="E559" s="7">
        <v>45935</v>
      </c>
      <c r="F559" s="7">
        <v>45940</v>
      </c>
      <c r="G559" s="7">
        <v>45943</v>
      </c>
      <c r="H559" t="s">
        <v>17</v>
      </c>
      <c r="J559" s="7">
        <v>45961</v>
      </c>
      <c r="K559">
        <v>3</v>
      </c>
      <c r="L559">
        <v>5</v>
      </c>
      <c r="M559">
        <v>3</v>
      </c>
      <c r="N559">
        <v>2</v>
      </c>
      <c r="O559" s="7">
        <v>45932</v>
      </c>
      <c r="P559" s="7">
        <v>45935</v>
      </c>
      <c r="Q559" s="7">
        <v>45943</v>
      </c>
      <c r="R559" t="s">
        <v>1049</v>
      </c>
    </row>
    <row r="560" spans="1:18" x14ac:dyDescent="0.3">
      <c r="A560" t="s">
        <v>370</v>
      </c>
      <c r="B560" t="s">
        <v>15</v>
      </c>
      <c r="C560" t="s">
        <v>16</v>
      </c>
      <c r="D560" s="7">
        <v>45950</v>
      </c>
      <c r="E560" s="7">
        <v>45951</v>
      </c>
      <c r="F560" s="7">
        <v>45955</v>
      </c>
      <c r="G560" s="7">
        <v>45957</v>
      </c>
      <c r="H560" t="s">
        <v>17</v>
      </c>
      <c r="J560" s="7">
        <v>45973</v>
      </c>
      <c r="K560">
        <v>1</v>
      </c>
      <c r="L560">
        <v>4</v>
      </c>
      <c r="M560">
        <v>2</v>
      </c>
      <c r="N560">
        <v>6</v>
      </c>
      <c r="O560" s="7">
        <v>45950</v>
      </c>
      <c r="P560" s="7">
        <v>45951</v>
      </c>
      <c r="Q560" s="7">
        <v>45957</v>
      </c>
      <c r="R560" t="s">
        <v>1049</v>
      </c>
    </row>
    <row r="561" spans="1:18" x14ac:dyDescent="0.3">
      <c r="A561" t="s">
        <v>952</v>
      </c>
      <c r="B561" t="s">
        <v>15</v>
      </c>
      <c r="C561" t="s">
        <v>841</v>
      </c>
      <c r="D561" s="7">
        <v>45933</v>
      </c>
      <c r="H561" t="s">
        <v>752</v>
      </c>
      <c r="I561" t="s">
        <v>777</v>
      </c>
      <c r="O561" s="7">
        <v>45933</v>
      </c>
      <c r="R561" t="s">
        <v>1050</v>
      </c>
    </row>
    <row r="562" spans="1:18" x14ac:dyDescent="0.3">
      <c r="A562" t="s">
        <v>79</v>
      </c>
      <c r="B562" t="s">
        <v>22</v>
      </c>
      <c r="C562" t="s">
        <v>16</v>
      </c>
      <c r="D562" s="7">
        <v>45938</v>
      </c>
      <c r="E562" s="7">
        <v>45941</v>
      </c>
      <c r="F562" s="7">
        <v>45944</v>
      </c>
      <c r="G562" s="7">
        <v>45949</v>
      </c>
      <c r="H562" t="s">
        <v>17</v>
      </c>
      <c r="J562" s="7">
        <v>45973</v>
      </c>
      <c r="K562">
        <v>3</v>
      </c>
      <c r="L562">
        <v>3</v>
      </c>
      <c r="M562">
        <v>5</v>
      </c>
      <c r="N562">
        <v>6</v>
      </c>
      <c r="O562" s="7">
        <v>45938</v>
      </c>
      <c r="P562" s="7">
        <v>45941</v>
      </c>
      <c r="Q562" s="7">
        <v>45949</v>
      </c>
      <c r="R562" t="s">
        <v>1049</v>
      </c>
    </row>
    <row r="563" spans="1:18" x14ac:dyDescent="0.3">
      <c r="A563" t="s">
        <v>953</v>
      </c>
      <c r="B563" t="s">
        <v>15</v>
      </c>
      <c r="C563" t="s">
        <v>841</v>
      </c>
      <c r="D563" s="7">
        <v>45951</v>
      </c>
      <c r="H563" t="s">
        <v>752</v>
      </c>
      <c r="I563" t="s">
        <v>765</v>
      </c>
      <c r="O563" s="7">
        <v>45951</v>
      </c>
      <c r="R563" t="s">
        <v>1050</v>
      </c>
    </row>
    <row r="564" spans="1:18" x14ac:dyDescent="0.3">
      <c r="A564" t="s">
        <v>371</v>
      </c>
      <c r="B564" t="s">
        <v>15</v>
      </c>
      <c r="C564" t="s">
        <v>16</v>
      </c>
      <c r="D564" s="7">
        <v>45952</v>
      </c>
      <c r="E564" s="7">
        <v>45953</v>
      </c>
      <c r="F564" s="7">
        <v>45955</v>
      </c>
      <c r="G564" s="7">
        <v>45957</v>
      </c>
      <c r="H564" t="s">
        <v>17</v>
      </c>
      <c r="J564" s="7">
        <v>45976</v>
      </c>
      <c r="K564">
        <v>1</v>
      </c>
      <c r="L564">
        <v>2</v>
      </c>
      <c r="M564">
        <v>2</v>
      </c>
      <c r="N564">
        <v>1</v>
      </c>
      <c r="O564" s="7">
        <v>45952</v>
      </c>
      <c r="P564" s="7">
        <v>45953</v>
      </c>
      <c r="Q564" s="7">
        <v>45957</v>
      </c>
      <c r="R564" t="s">
        <v>1049</v>
      </c>
    </row>
    <row r="565" spans="1:18" x14ac:dyDescent="0.3">
      <c r="A565" t="s">
        <v>585</v>
      </c>
      <c r="B565" t="s">
        <v>22</v>
      </c>
      <c r="C565" t="s">
        <v>474</v>
      </c>
      <c r="D565" s="7">
        <v>45960</v>
      </c>
      <c r="E565" s="7">
        <v>45963</v>
      </c>
      <c r="F565" s="7">
        <v>45965</v>
      </c>
      <c r="G565" s="7">
        <v>45970</v>
      </c>
      <c r="H565" t="s">
        <v>17</v>
      </c>
      <c r="J565" s="7">
        <v>45996</v>
      </c>
      <c r="K565">
        <v>3</v>
      </c>
      <c r="L565">
        <v>2</v>
      </c>
      <c r="M565">
        <v>5</v>
      </c>
      <c r="N565">
        <v>3</v>
      </c>
      <c r="O565" s="7">
        <v>45960</v>
      </c>
      <c r="P565" s="7">
        <v>45963</v>
      </c>
      <c r="Q565" s="7">
        <v>45970</v>
      </c>
      <c r="R565" t="s">
        <v>1049</v>
      </c>
    </row>
    <row r="566" spans="1:18" x14ac:dyDescent="0.3">
      <c r="A566" t="s">
        <v>438</v>
      </c>
      <c r="B566" t="s">
        <v>29</v>
      </c>
      <c r="C566" t="s">
        <v>16</v>
      </c>
      <c r="D566" s="7">
        <v>45940</v>
      </c>
      <c r="E566" s="7">
        <v>45942</v>
      </c>
      <c r="F566" s="7">
        <v>45945</v>
      </c>
      <c r="G566" s="7">
        <v>45951</v>
      </c>
      <c r="H566" t="s">
        <v>17</v>
      </c>
      <c r="J566" s="7">
        <v>45980</v>
      </c>
      <c r="K566">
        <v>2</v>
      </c>
      <c r="L566">
        <v>3</v>
      </c>
      <c r="M566">
        <v>6</v>
      </c>
      <c r="N566">
        <v>4</v>
      </c>
      <c r="O566" s="7">
        <v>45940</v>
      </c>
      <c r="P566" s="7">
        <v>45942</v>
      </c>
      <c r="Q566" s="7">
        <v>45951</v>
      </c>
      <c r="R566" t="s">
        <v>1049</v>
      </c>
    </row>
    <row r="567" spans="1:18" x14ac:dyDescent="0.3">
      <c r="A567" t="s">
        <v>586</v>
      </c>
      <c r="B567" t="s">
        <v>29</v>
      </c>
      <c r="C567" t="s">
        <v>474</v>
      </c>
      <c r="D567" s="7">
        <v>45938</v>
      </c>
      <c r="E567" s="7">
        <v>45939</v>
      </c>
      <c r="F567" s="7">
        <v>45941</v>
      </c>
      <c r="G567" s="7">
        <v>45947</v>
      </c>
      <c r="H567" t="s">
        <v>17</v>
      </c>
      <c r="J567" s="7">
        <v>45969</v>
      </c>
      <c r="K567">
        <v>1</v>
      </c>
      <c r="L567">
        <v>2</v>
      </c>
      <c r="M567">
        <v>6</v>
      </c>
      <c r="N567">
        <v>5</v>
      </c>
      <c r="O567" s="7">
        <v>45938</v>
      </c>
      <c r="P567" s="7">
        <v>45939</v>
      </c>
      <c r="Q567" s="7">
        <v>45947</v>
      </c>
      <c r="R567" t="s">
        <v>1049</v>
      </c>
    </row>
    <row r="568" spans="1:18" x14ac:dyDescent="0.3">
      <c r="A568" t="s">
        <v>718</v>
      </c>
      <c r="B568" t="s">
        <v>15</v>
      </c>
      <c r="C568" t="s">
        <v>474</v>
      </c>
      <c r="D568" s="7">
        <v>45954</v>
      </c>
      <c r="E568" s="7">
        <v>45959</v>
      </c>
      <c r="F568" s="7">
        <v>45963</v>
      </c>
      <c r="G568" s="7">
        <v>45965</v>
      </c>
      <c r="H568" t="s">
        <v>17</v>
      </c>
      <c r="J568" s="7">
        <v>45993</v>
      </c>
      <c r="K568">
        <v>5</v>
      </c>
      <c r="L568">
        <v>4</v>
      </c>
      <c r="M568">
        <v>2</v>
      </c>
      <c r="N568">
        <v>3</v>
      </c>
      <c r="O568" s="7">
        <v>45954</v>
      </c>
      <c r="P568" s="7">
        <v>45959</v>
      </c>
      <c r="Q568" s="7">
        <v>45965</v>
      </c>
      <c r="R568" t="s">
        <v>1049</v>
      </c>
    </row>
    <row r="569" spans="1:18" x14ac:dyDescent="0.3">
      <c r="A569" t="s">
        <v>954</v>
      </c>
      <c r="B569" t="s">
        <v>15</v>
      </c>
      <c r="C569" t="s">
        <v>841</v>
      </c>
      <c r="D569" s="7">
        <v>45933</v>
      </c>
      <c r="H569" t="s">
        <v>752</v>
      </c>
      <c r="I569" t="s">
        <v>765</v>
      </c>
      <c r="O569" s="7">
        <v>45933</v>
      </c>
      <c r="R569" t="s">
        <v>1050</v>
      </c>
    </row>
    <row r="570" spans="1:18" x14ac:dyDescent="0.3">
      <c r="A570" t="s">
        <v>80</v>
      </c>
      <c r="B570" t="s">
        <v>29</v>
      </c>
      <c r="C570" t="s">
        <v>16</v>
      </c>
      <c r="D570" s="7">
        <v>45944</v>
      </c>
      <c r="E570" s="7">
        <v>45947</v>
      </c>
      <c r="F570" s="7">
        <v>45952</v>
      </c>
      <c r="G570" s="7">
        <v>45956</v>
      </c>
      <c r="H570" t="s">
        <v>17</v>
      </c>
      <c r="J570" s="7">
        <v>45969</v>
      </c>
      <c r="K570">
        <v>3</v>
      </c>
      <c r="L570">
        <v>5</v>
      </c>
      <c r="M570">
        <v>4</v>
      </c>
      <c r="N570">
        <v>9</v>
      </c>
      <c r="O570" s="7">
        <v>45944</v>
      </c>
      <c r="P570" s="7">
        <v>45947</v>
      </c>
      <c r="Q570" s="7">
        <v>45956</v>
      </c>
      <c r="R570" t="s">
        <v>1049</v>
      </c>
    </row>
    <row r="571" spans="1:18" x14ac:dyDescent="0.3">
      <c r="A571" t="s">
        <v>439</v>
      </c>
      <c r="B571" t="s">
        <v>22</v>
      </c>
      <c r="C571" t="s">
        <v>16</v>
      </c>
      <c r="D571" s="7">
        <v>45934</v>
      </c>
      <c r="E571" s="7">
        <v>45936</v>
      </c>
      <c r="F571" s="7">
        <v>45938</v>
      </c>
      <c r="G571" s="7">
        <v>45945</v>
      </c>
      <c r="H571" t="s">
        <v>17</v>
      </c>
      <c r="J571" s="7">
        <v>45955</v>
      </c>
      <c r="K571">
        <v>2</v>
      </c>
      <c r="L571">
        <v>2</v>
      </c>
      <c r="M571">
        <v>7</v>
      </c>
      <c r="N571">
        <v>4</v>
      </c>
      <c r="O571" s="7">
        <v>45934</v>
      </c>
      <c r="P571" s="7">
        <v>45936</v>
      </c>
      <c r="Q571" s="7">
        <v>45945</v>
      </c>
      <c r="R571" t="s">
        <v>1049</v>
      </c>
    </row>
    <row r="572" spans="1:18" x14ac:dyDescent="0.3">
      <c r="A572" t="s">
        <v>587</v>
      </c>
      <c r="B572" t="s">
        <v>15</v>
      </c>
      <c r="C572" t="s">
        <v>474</v>
      </c>
      <c r="D572" s="7">
        <v>45955</v>
      </c>
      <c r="E572" s="7">
        <v>45956</v>
      </c>
      <c r="F572" s="7">
        <v>45960</v>
      </c>
      <c r="G572" s="7">
        <v>45967</v>
      </c>
      <c r="H572" t="s">
        <v>17</v>
      </c>
      <c r="J572" s="7">
        <v>45993</v>
      </c>
      <c r="K572">
        <v>1</v>
      </c>
      <c r="L572">
        <v>4</v>
      </c>
      <c r="M572">
        <v>7</v>
      </c>
      <c r="N572">
        <v>9</v>
      </c>
      <c r="O572" s="7">
        <v>45955</v>
      </c>
      <c r="P572" s="7">
        <v>45956</v>
      </c>
      <c r="Q572" s="7">
        <v>45967</v>
      </c>
      <c r="R572" t="s">
        <v>1049</v>
      </c>
    </row>
    <row r="573" spans="1:18" x14ac:dyDescent="0.3">
      <c r="A573" t="s">
        <v>81</v>
      </c>
      <c r="B573" t="s">
        <v>27</v>
      </c>
      <c r="C573" t="s">
        <v>16</v>
      </c>
      <c r="D573" s="7">
        <v>45951</v>
      </c>
      <c r="E573" s="7">
        <v>45954</v>
      </c>
      <c r="F573" s="7">
        <v>45959</v>
      </c>
      <c r="G573" s="7">
        <v>45966</v>
      </c>
      <c r="H573" t="s">
        <v>17</v>
      </c>
      <c r="J573" s="7">
        <v>45987</v>
      </c>
      <c r="K573">
        <v>3</v>
      </c>
      <c r="L573">
        <v>5</v>
      </c>
      <c r="M573">
        <v>7</v>
      </c>
      <c r="N573">
        <v>2</v>
      </c>
      <c r="O573" s="7">
        <v>45951</v>
      </c>
      <c r="P573" s="7">
        <v>45954</v>
      </c>
      <c r="Q573" s="7">
        <v>45966</v>
      </c>
      <c r="R573" t="s">
        <v>1049</v>
      </c>
    </row>
    <row r="574" spans="1:18" x14ac:dyDescent="0.3">
      <c r="A574" t="s">
        <v>719</v>
      </c>
      <c r="B574" t="s">
        <v>22</v>
      </c>
      <c r="C574" t="s">
        <v>474</v>
      </c>
      <c r="D574" s="7">
        <v>45953</v>
      </c>
      <c r="E574" s="7">
        <v>45958</v>
      </c>
      <c r="F574" s="7">
        <v>45961</v>
      </c>
      <c r="G574" s="7">
        <v>45968</v>
      </c>
      <c r="H574" t="s">
        <v>17</v>
      </c>
      <c r="J574" s="7">
        <v>45995</v>
      </c>
      <c r="K574">
        <v>5</v>
      </c>
      <c r="L574">
        <v>3</v>
      </c>
      <c r="M574">
        <v>7</v>
      </c>
      <c r="N574">
        <v>1</v>
      </c>
      <c r="O574" s="7">
        <v>45953</v>
      </c>
      <c r="P574" s="7">
        <v>45958</v>
      </c>
      <c r="Q574" s="7">
        <v>45968</v>
      </c>
      <c r="R574" t="s">
        <v>1049</v>
      </c>
    </row>
    <row r="575" spans="1:18" x14ac:dyDescent="0.3">
      <c r="A575" t="s">
        <v>588</v>
      </c>
      <c r="B575" t="s">
        <v>15</v>
      </c>
      <c r="C575" t="s">
        <v>474</v>
      </c>
      <c r="D575" s="7">
        <v>45958</v>
      </c>
      <c r="E575" s="7">
        <v>45961</v>
      </c>
      <c r="F575" s="7">
        <v>45964</v>
      </c>
      <c r="G575" s="7">
        <v>45967</v>
      </c>
      <c r="H575" t="s">
        <v>17</v>
      </c>
      <c r="J575" s="7">
        <v>45997</v>
      </c>
      <c r="K575">
        <v>3</v>
      </c>
      <c r="L575">
        <v>3</v>
      </c>
      <c r="M575">
        <v>3</v>
      </c>
      <c r="N575">
        <v>7</v>
      </c>
      <c r="O575" s="7">
        <v>45958</v>
      </c>
      <c r="P575" s="7">
        <v>45961</v>
      </c>
      <c r="Q575" s="7">
        <v>45967</v>
      </c>
      <c r="R575" t="s">
        <v>1049</v>
      </c>
    </row>
    <row r="576" spans="1:18" x14ac:dyDescent="0.3">
      <c r="A576" t="s">
        <v>440</v>
      </c>
      <c r="B576" t="s">
        <v>15</v>
      </c>
      <c r="C576" t="s">
        <v>16</v>
      </c>
      <c r="D576" s="7">
        <v>45934</v>
      </c>
      <c r="E576" s="7">
        <v>45936</v>
      </c>
      <c r="F576" s="7">
        <v>45940</v>
      </c>
      <c r="G576" s="7">
        <v>45942</v>
      </c>
      <c r="H576" t="s">
        <v>17</v>
      </c>
      <c r="J576" s="7">
        <v>45971</v>
      </c>
      <c r="K576">
        <v>2</v>
      </c>
      <c r="L576">
        <v>4</v>
      </c>
      <c r="M576">
        <v>2</v>
      </c>
      <c r="N576">
        <v>0</v>
      </c>
      <c r="O576" s="7">
        <v>45934</v>
      </c>
      <c r="P576" s="7">
        <v>45936</v>
      </c>
      <c r="Q576" s="7">
        <v>45942</v>
      </c>
      <c r="R576" t="s">
        <v>1049</v>
      </c>
    </row>
    <row r="577" spans="1:18" x14ac:dyDescent="0.3">
      <c r="A577" t="s">
        <v>589</v>
      </c>
      <c r="B577" t="s">
        <v>27</v>
      </c>
      <c r="C577" t="s">
        <v>474</v>
      </c>
      <c r="D577" s="7">
        <v>45945</v>
      </c>
      <c r="E577" s="7">
        <v>45949</v>
      </c>
      <c r="F577" s="7">
        <v>45953</v>
      </c>
      <c r="G577" s="7">
        <v>45955</v>
      </c>
      <c r="H577" t="s">
        <v>17</v>
      </c>
      <c r="J577" s="7">
        <v>45984</v>
      </c>
      <c r="K577">
        <v>4</v>
      </c>
      <c r="L577">
        <v>4</v>
      </c>
      <c r="M577">
        <v>2</v>
      </c>
      <c r="N577">
        <v>10</v>
      </c>
      <c r="O577" s="7">
        <v>45945</v>
      </c>
      <c r="P577" s="7">
        <v>45949</v>
      </c>
      <c r="Q577" s="7">
        <v>45955</v>
      </c>
      <c r="R577" t="s">
        <v>1049</v>
      </c>
    </row>
    <row r="578" spans="1:18" x14ac:dyDescent="0.3">
      <c r="A578" t="s">
        <v>277</v>
      </c>
      <c r="B578" t="s">
        <v>27</v>
      </c>
      <c r="C578" t="s">
        <v>16</v>
      </c>
      <c r="D578" s="7">
        <v>45936</v>
      </c>
      <c r="E578" s="7">
        <v>45940</v>
      </c>
      <c r="F578" s="7">
        <v>45944</v>
      </c>
      <c r="G578" s="7">
        <v>45951</v>
      </c>
      <c r="H578" t="s">
        <v>17</v>
      </c>
      <c r="J578" s="7">
        <v>45970</v>
      </c>
      <c r="K578">
        <v>4</v>
      </c>
      <c r="L578">
        <v>4</v>
      </c>
      <c r="M578">
        <v>7</v>
      </c>
      <c r="N578">
        <v>7</v>
      </c>
      <c r="O578" s="7">
        <v>45936</v>
      </c>
      <c r="P578" s="7">
        <v>45940</v>
      </c>
      <c r="Q578" s="7">
        <v>45951</v>
      </c>
      <c r="R578" t="s">
        <v>1049</v>
      </c>
    </row>
    <row r="579" spans="1:18" x14ac:dyDescent="0.3">
      <c r="A579" t="s">
        <v>590</v>
      </c>
      <c r="B579" t="s">
        <v>29</v>
      </c>
      <c r="C579" t="s">
        <v>474</v>
      </c>
      <c r="D579" s="7">
        <v>45953</v>
      </c>
      <c r="E579" s="7">
        <v>45955</v>
      </c>
      <c r="F579" s="7">
        <v>45957</v>
      </c>
      <c r="G579" s="7">
        <v>45960</v>
      </c>
      <c r="H579" t="s">
        <v>17</v>
      </c>
      <c r="J579" s="7">
        <v>45979</v>
      </c>
      <c r="K579">
        <v>2</v>
      </c>
      <c r="L579">
        <v>2</v>
      </c>
      <c r="M579">
        <v>3</v>
      </c>
      <c r="N579">
        <v>3</v>
      </c>
      <c r="O579" s="7">
        <v>45953</v>
      </c>
      <c r="P579" s="7">
        <v>45955</v>
      </c>
      <c r="Q579" s="7">
        <v>45960</v>
      </c>
      <c r="R579" t="s">
        <v>1049</v>
      </c>
    </row>
    <row r="580" spans="1:18" x14ac:dyDescent="0.3">
      <c r="A580" t="s">
        <v>591</v>
      </c>
      <c r="B580" t="s">
        <v>22</v>
      </c>
      <c r="C580" t="s">
        <v>474</v>
      </c>
      <c r="D580" s="7">
        <v>45940</v>
      </c>
      <c r="E580" s="7">
        <v>45942</v>
      </c>
      <c r="F580" s="7">
        <v>45945</v>
      </c>
      <c r="G580" s="7">
        <v>45952</v>
      </c>
      <c r="H580" t="s">
        <v>17</v>
      </c>
      <c r="J580" s="7">
        <v>45965</v>
      </c>
      <c r="K580">
        <v>2</v>
      </c>
      <c r="L580">
        <v>3</v>
      </c>
      <c r="M580">
        <v>7</v>
      </c>
      <c r="N580">
        <v>6</v>
      </c>
      <c r="O580" s="7">
        <v>45940</v>
      </c>
      <c r="P580" s="7">
        <v>45942</v>
      </c>
      <c r="Q580" s="7">
        <v>45952</v>
      </c>
      <c r="R580" t="s">
        <v>1049</v>
      </c>
    </row>
    <row r="581" spans="1:18" x14ac:dyDescent="0.3">
      <c r="A581" t="s">
        <v>592</v>
      </c>
      <c r="B581" t="s">
        <v>22</v>
      </c>
      <c r="C581" t="s">
        <v>474</v>
      </c>
      <c r="D581" s="7">
        <v>45959</v>
      </c>
      <c r="E581" s="7">
        <v>45960</v>
      </c>
      <c r="F581" s="7">
        <v>45962</v>
      </c>
      <c r="G581" s="7">
        <v>45964</v>
      </c>
      <c r="H581" t="s">
        <v>17</v>
      </c>
      <c r="J581" s="7">
        <v>45989</v>
      </c>
      <c r="K581">
        <v>1</v>
      </c>
      <c r="L581">
        <v>2</v>
      </c>
      <c r="M581">
        <v>2</v>
      </c>
      <c r="N581">
        <v>9</v>
      </c>
      <c r="O581" s="7">
        <v>45959</v>
      </c>
      <c r="P581" s="7">
        <v>45960</v>
      </c>
      <c r="Q581" s="7">
        <v>45964</v>
      </c>
      <c r="R581" t="s">
        <v>1049</v>
      </c>
    </row>
    <row r="582" spans="1:18" x14ac:dyDescent="0.3">
      <c r="A582" t="s">
        <v>278</v>
      </c>
      <c r="B582" t="s">
        <v>29</v>
      </c>
      <c r="C582" t="s">
        <v>16</v>
      </c>
      <c r="D582" s="7">
        <v>45931</v>
      </c>
      <c r="E582" s="7">
        <v>45935</v>
      </c>
      <c r="F582" s="7">
        <v>45937</v>
      </c>
      <c r="G582" s="7">
        <v>45940</v>
      </c>
      <c r="H582" t="s">
        <v>17</v>
      </c>
      <c r="J582" s="7">
        <v>45952</v>
      </c>
      <c r="K582">
        <v>4</v>
      </c>
      <c r="L582">
        <v>2</v>
      </c>
      <c r="M582">
        <v>3</v>
      </c>
      <c r="N582">
        <v>6</v>
      </c>
      <c r="O582" s="7">
        <v>45931</v>
      </c>
      <c r="P582" s="7">
        <v>45935</v>
      </c>
      <c r="Q582" s="7">
        <v>45940</v>
      </c>
      <c r="R582" t="s">
        <v>1049</v>
      </c>
    </row>
    <row r="583" spans="1:18" x14ac:dyDescent="0.3">
      <c r="A583" t="s">
        <v>372</v>
      </c>
      <c r="B583" t="s">
        <v>22</v>
      </c>
      <c r="C583" t="s">
        <v>16</v>
      </c>
      <c r="D583" s="7">
        <v>45932</v>
      </c>
      <c r="E583" s="7">
        <v>45933</v>
      </c>
      <c r="F583" s="7">
        <v>45938</v>
      </c>
      <c r="G583" s="7">
        <v>45943</v>
      </c>
      <c r="H583" t="s">
        <v>17</v>
      </c>
      <c r="J583" s="7">
        <v>45963</v>
      </c>
      <c r="K583">
        <v>1</v>
      </c>
      <c r="L583">
        <v>5</v>
      </c>
      <c r="M583">
        <v>5</v>
      </c>
      <c r="N583">
        <v>3</v>
      </c>
      <c r="O583" s="7">
        <v>45932</v>
      </c>
      <c r="P583" s="7">
        <v>45933</v>
      </c>
      <c r="Q583" s="7">
        <v>45943</v>
      </c>
      <c r="R583" t="s">
        <v>1049</v>
      </c>
    </row>
    <row r="584" spans="1:18" x14ac:dyDescent="0.3">
      <c r="A584" t="s">
        <v>82</v>
      </c>
      <c r="B584" t="s">
        <v>22</v>
      </c>
      <c r="C584" t="s">
        <v>16</v>
      </c>
      <c r="D584" s="7">
        <v>45941</v>
      </c>
      <c r="E584" s="7">
        <v>45944</v>
      </c>
      <c r="F584" s="7">
        <v>45948</v>
      </c>
      <c r="G584" s="7">
        <v>45952</v>
      </c>
      <c r="H584" t="s">
        <v>17</v>
      </c>
      <c r="J584" s="7">
        <v>45970</v>
      </c>
      <c r="K584">
        <v>3</v>
      </c>
      <c r="L584">
        <v>4</v>
      </c>
      <c r="M584">
        <v>4</v>
      </c>
      <c r="N584">
        <v>1</v>
      </c>
      <c r="O584" s="7">
        <v>45941</v>
      </c>
      <c r="P584" s="7">
        <v>45944</v>
      </c>
      <c r="Q584" s="7">
        <v>45952</v>
      </c>
      <c r="R584" t="s">
        <v>1049</v>
      </c>
    </row>
    <row r="585" spans="1:18" x14ac:dyDescent="0.3">
      <c r="A585" t="s">
        <v>441</v>
      </c>
      <c r="B585" t="s">
        <v>22</v>
      </c>
      <c r="C585" t="s">
        <v>16</v>
      </c>
      <c r="D585" s="7">
        <v>45956</v>
      </c>
      <c r="E585" s="7">
        <v>45958</v>
      </c>
      <c r="F585" s="7">
        <v>45960</v>
      </c>
      <c r="G585" s="7">
        <v>45966</v>
      </c>
      <c r="H585" t="s">
        <v>17</v>
      </c>
      <c r="J585" s="7">
        <v>45996</v>
      </c>
      <c r="K585">
        <v>2</v>
      </c>
      <c r="L585">
        <v>2</v>
      </c>
      <c r="M585">
        <v>6</v>
      </c>
      <c r="N585">
        <v>5</v>
      </c>
      <c r="O585" s="7">
        <v>45956</v>
      </c>
      <c r="P585" s="7">
        <v>45958</v>
      </c>
      <c r="Q585" s="7">
        <v>45966</v>
      </c>
      <c r="R585" t="s">
        <v>1049</v>
      </c>
    </row>
    <row r="586" spans="1:18" x14ac:dyDescent="0.3">
      <c r="A586" t="s">
        <v>807</v>
      </c>
      <c r="B586" t="s">
        <v>22</v>
      </c>
      <c r="C586" t="s">
        <v>16</v>
      </c>
      <c r="D586" s="7">
        <v>45932</v>
      </c>
      <c r="E586" s="7">
        <v>45933</v>
      </c>
      <c r="F586" s="7">
        <v>45938</v>
      </c>
      <c r="G586" s="7">
        <v>45944</v>
      </c>
      <c r="H586" t="s">
        <v>752</v>
      </c>
      <c r="I586" t="s">
        <v>753</v>
      </c>
      <c r="K586">
        <v>1</v>
      </c>
      <c r="L586">
        <v>5</v>
      </c>
      <c r="M586">
        <v>6</v>
      </c>
      <c r="O586" s="7">
        <v>45932</v>
      </c>
      <c r="P586" s="7">
        <v>45933</v>
      </c>
      <c r="Q586" s="7">
        <v>45944</v>
      </c>
      <c r="R586" t="s">
        <v>1049</v>
      </c>
    </row>
    <row r="587" spans="1:18" x14ac:dyDescent="0.3">
      <c r="A587" t="s">
        <v>593</v>
      </c>
      <c r="B587" t="s">
        <v>22</v>
      </c>
      <c r="C587" t="s">
        <v>474</v>
      </c>
      <c r="D587" s="7">
        <v>45940</v>
      </c>
      <c r="E587" s="7">
        <v>45942</v>
      </c>
      <c r="F587" s="7">
        <v>45943</v>
      </c>
      <c r="G587" s="7">
        <v>45950</v>
      </c>
      <c r="H587" t="s">
        <v>17</v>
      </c>
      <c r="J587" s="7">
        <v>45970</v>
      </c>
      <c r="K587">
        <v>2</v>
      </c>
      <c r="L587">
        <v>1</v>
      </c>
      <c r="M587">
        <v>7</v>
      </c>
      <c r="N587">
        <v>5</v>
      </c>
      <c r="O587" s="7">
        <v>45940</v>
      </c>
      <c r="P587" s="7">
        <v>45942</v>
      </c>
      <c r="Q587" s="7">
        <v>45950</v>
      </c>
      <c r="R587" t="s">
        <v>1049</v>
      </c>
    </row>
    <row r="588" spans="1:18" x14ac:dyDescent="0.3">
      <c r="A588" t="s">
        <v>373</v>
      </c>
      <c r="B588" t="s">
        <v>27</v>
      </c>
      <c r="C588" t="s">
        <v>16</v>
      </c>
      <c r="D588" s="7">
        <v>45942</v>
      </c>
      <c r="E588" s="7">
        <v>45943</v>
      </c>
      <c r="F588" s="7">
        <v>45948</v>
      </c>
      <c r="G588" s="7">
        <v>45952</v>
      </c>
      <c r="H588" t="s">
        <v>17</v>
      </c>
      <c r="J588" s="7">
        <v>45970</v>
      </c>
      <c r="K588">
        <v>1</v>
      </c>
      <c r="L588">
        <v>5</v>
      </c>
      <c r="M588">
        <v>4</v>
      </c>
      <c r="N588">
        <v>8</v>
      </c>
      <c r="O588" s="7">
        <v>45942</v>
      </c>
      <c r="P588" s="7">
        <v>45943</v>
      </c>
      <c r="Q588" s="7">
        <v>45952</v>
      </c>
      <c r="R588" t="s">
        <v>1049</v>
      </c>
    </row>
    <row r="589" spans="1:18" x14ac:dyDescent="0.3">
      <c r="A589" t="s">
        <v>955</v>
      </c>
      <c r="B589" t="s">
        <v>22</v>
      </c>
      <c r="C589" t="s">
        <v>841</v>
      </c>
      <c r="D589" s="7">
        <v>45942</v>
      </c>
      <c r="H589" t="s">
        <v>752</v>
      </c>
      <c r="I589" t="s">
        <v>753</v>
      </c>
      <c r="O589" s="7">
        <v>45942</v>
      </c>
      <c r="R589" t="s">
        <v>1050</v>
      </c>
    </row>
    <row r="590" spans="1:18" x14ac:dyDescent="0.3">
      <c r="A590" t="s">
        <v>808</v>
      </c>
      <c r="B590" t="s">
        <v>27</v>
      </c>
      <c r="C590" t="s">
        <v>16</v>
      </c>
      <c r="D590" s="7">
        <v>45944</v>
      </c>
      <c r="E590" s="7">
        <v>45947</v>
      </c>
      <c r="F590" s="7">
        <v>45948</v>
      </c>
      <c r="G590" s="7">
        <v>45951</v>
      </c>
      <c r="H590" t="s">
        <v>752</v>
      </c>
      <c r="I590" t="s">
        <v>765</v>
      </c>
      <c r="K590">
        <v>3</v>
      </c>
      <c r="L590">
        <v>1</v>
      </c>
      <c r="M590">
        <v>3</v>
      </c>
      <c r="O590" s="7">
        <v>45944</v>
      </c>
      <c r="P590" s="7">
        <v>45947</v>
      </c>
      <c r="Q590" s="7">
        <v>45951</v>
      </c>
      <c r="R590" t="s">
        <v>1049</v>
      </c>
    </row>
    <row r="591" spans="1:18" x14ac:dyDescent="0.3">
      <c r="A591" t="s">
        <v>83</v>
      </c>
      <c r="B591" t="s">
        <v>22</v>
      </c>
      <c r="C591" t="s">
        <v>16</v>
      </c>
      <c r="D591" s="7">
        <v>45935</v>
      </c>
      <c r="E591" s="7">
        <v>45938</v>
      </c>
      <c r="F591" s="7">
        <v>45939</v>
      </c>
      <c r="G591" s="7">
        <v>45943</v>
      </c>
      <c r="H591" t="s">
        <v>17</v>
      </c>
      <c r="J591" s="7">
        <v>45961</v>
      </c>
      <c r="K591">
        <v>3</v>
      </c>
      <c r="L591">
        <v>1</v>
      </c>
      <c r="M591">
        <v>4</v>
      </c>
      <c r="N591">
        <v>9</v>
      </c>
      <c r="O591" s="7">
        <v>45935</v>
      </c>
      <c r="P591" s="7">
        <v>45938</v>
      </c>
      <c r="Q591" s="7">
        <v>45943</v>
      </c>
      <c r="R591" t="s">
        <v>1049</v>
      </c>
    </row>
    <row r="592" spans="1:18" x14ac:dyDescent="0.3">
      <c r="A592" t="s">
        <v>956</v>
      </c>
      <c r="B592" t="s">
        <v>29</v>
      </c>
      <c r="C592" t="s">
        <v>841</v>
      </c>
      <c r="D592" s="7">
        <v>45938</v>
      </c>
      <c r="H592" t="s">
        <v>752</v>
      </c>
      <c r="I592" t="s">
        <v>756</v>
      </c>
      <c r="O592" s="7">
        <v>45938</v>
      </c>
      <c r="R592" t="s">
        <v>1050</v>
      </c>
    </row>
    <row r="593" spans="1:18" x14ac:dyDescent="0.3">
      <c r="A593" t="s">
        <v>188</v>
      </c>
      <c r="B593" t="s">
        <v>15</v>
      </c>
      <c r="C593" t="s">
        <v>16</v>
      </c>
      <c r="D593" s="7">
        <v>45947</v>
      </c>
      <c r="E593" s="7">
        <v>45952</v>
      </c>
      <c r="F593" s="7">
        <v>45953</v>
      </c>
      <c r="G593" s="7">
        <v>45956</v>
      </c>
      <c r="H593" t="s">
        <v>17</v>
      </c>
      <c r="J593" s="7">
        <v>45986</v>
      </c>
      <c r="K593">
        <v>5</v>
      </c>
      <c r="L593">
        <v>1</v>
      </c>
      <c r="M593">
        <v>3</v>
      </c>
      <c r="N593">
        <v>0</v>
      </c>
      <c r="O593" s="7">
        <v>45947</v>
      </c>
      <c r="P593" s="7">
        <v>45952</v>
      </c>
      <c r="Q593" s="7">
        <v>45956</v>
      </c>
      <c r="R593" t="s">
        <v>1049</v>
      </c>
    </row>
    <row r="594" spans="1:18" x14ac:dyDescent="0.3">
      <c r="A594" t="s">
        <v>809</v>
      </c>
      <c r="B594" t="s">
        <v>27</v>
      </c>
      <c r="C594" t="s">
        <v>474</v>
      </c>
      <c r="D594" s="7">
        <v>45944</v>
      </c>
      <c r="E594" s="7">
        <v>45948</v>
      </c>
      <c r="F594" s="7">
        <v>45949</v>
      </c>
      <c r="G594" s="7">
        <v>45956</v>
      </c>
      <c r="H594" t="s">
        <v>752</v>
      </c>
      <c r="I594" t="s">
        <v>758</v>
      </c>
      <c r="K594">
        <v>4</v>
      </c>
      <c r="L594">
        <v>1</v>
      </c>
      <c r="M594">
        <v>7</v>
      </c>
      <c r="O594" s="7">
        <v>45944</v>
      </c>
      <c r="P594" s="7">
        <v>45948</v>
      </c>
      <c r="Q594" s="7">
        <v>45956</v>
      </c>
      <c r="R594" t="s">
        <v>1049</v>
      </c>
    </row>
    <row r="595" spans="1:18" x14ac:dyDescent="0.3">
      <c r="A595" t="s">
        <v>189</v>
      </c>
      <c r="B595" t="s">
        <v>22</v>
      </c>
      <c r="C595" t="s">
        <v>16</v>
      </c>
      <c r="D595" s="7">
        <v>45949</v>
      </c>
      <c r="E595" s="7">
        <v>45954</v>
      </c>
      <c r="F595" s="7">
        <v>45958</v>
      </c>
      <c r="G595" s="7">
        <v>45962</v>
      </c>
      <c r="H595" t="s">
        <v>17</v>
      </c>
      <c r="J595" s="7">
        <v>45992</v>
      </c>
      <c r="K595">
        <v>5</v>
      </c>
      <c r="L595">
        <v>4</v>
      </c>
      <c r="M595">
        <v>4</v>
      </c>
      <c r="N595">
        <v>7</v>
      </c>
      <c r="O595" s="7">
        <v>45949</v>
      </c>
      <c r="P595" s="7">
        <v>45954</v>
      </c>
      <c r="Q595" s="7">
        <v>45962</v>
      </c>
      <c r="R595" t="s">
        <v>1049</v>
      </c>
    </row>
    <row r="596" spans="1:18" x14ac:dyDescent="0.3">
      <c r="A596" t="s">
        <v>279</v>
      </c>
      <c r="B596" t="s">
        <v>29</v>
      </c>
      <c r="C596" t="s">
        <v>16</v>
      </c>
      <c r="D596" s="7">
        <v>45952</v>
      </c>
      <c r="E596" s="7">
        <v>45956</v>
      </c>
      <c r="F596" s="7">
        <v>45958</v>
      </c>
      <c r="G596" s="7">
        <v>45965</v>
      </c>
      <c r="H596" t="s">
        <v>17</v>
      </c>
      <c r="J596" s="7">
        <v>45984</v>
      </c>
      <c r="K596">
        <v>4</v>
      </c>
      <c r="L596">
        <v>2</v>
      </c>
      <c r="M596">
        <v>7</v>
      </c>
      <c r="N596">
        <v>2</v>
      </c>
      <c r="O596" s="7">
        <v>45952</v>
      </c>
      <c r="P596" s="7">
        <v>45956</v>
      </c>
      <c r="Q596" s="7">
        <v>45965</v>
      </c>
      <c r="R596" t="s">
        <v>1049</v>
      </c>
    </row>
    <row r="597" spans="1:18" x14ac:dyDescent="0.3">
      <c r="A597" t="s">
        <v>84</v>
      </c>
      <c r="B597" t="s">
        <v>15</v>
      </c>
      <c r="C597" t="s">
        <v>16</v>
      </c>
      <c r="D597" s="7">
        <v>45956</v>
      </c>
      <c r="E597" s="7">
        <v>45959</v>
      </c>
      <c r="F597" s="7">
        <v>45961</v>
      </c>
      <c r="G597" s="7">
        <v>45963</v>
      </c>
      <c r="H597" t="s">
        <v>17</v>
      </c>
      <c r="J597" s="7">
        <v>45979</v>
      </c>
      <c r="K597">
        <v>3</v>
      </c>
      <c r="L597">
        <v>2</v>
      </c>
      <c r="M597">
        <v>2</v>
      </c>
      <c r="N597">
        <v>8</v>
      </c>
      <c r="O597" s="7">
        <v>45956</v>
      </c>
      <c r="P597" s="7">
        <v>45959</v>
      </c>
      <c r="Q597" s="7">
        <v>45963</v>
      </c>
      <c r="R597" t="s">
        <v>1049</v>
      </c>
    </row>
    <row r="598" spans="1:18" x14ac:dyDescent="0.3">
      <c r="A598" t="s">
        <v>810</v>
      </c>
      <c r="B598" t="s">
        <v>27</v>
      </c>
      <c r="C598" t="s">
        <v>16</v>
      </c>
      <c r="D598" s="7">
        <v>45936</v>
      </c>
      <c r="E598" s="7">
        <v>45937</v>
      </c>
      <c r="F598" s="7">
        <v>45938</v>
      </c>
      <c r="G598" s="7">
        <v>45940</v>
      </c>
      <c r="H598" t="s">
        <v>752</v>
      </c>
      <c r="I598" t="s">
        <v>758</v>
      </c>
      <c r="K598">
        <v>1</v>
      </c>
      <c r="L598">
        <v>1</v>
      </c>
      <c r="M598">
        <v>2</v>
      </c>
      <c r="O598" s="7">
        <v>45936</v>
      </c>
      <c r="P598" s="7">
        <v>45937</v>
      </c>
      <c r="Q598" s="7">
        <v>45940</v>
      </c>
      <c r="R598" t="s">
        <v>1049</v>
      </c>
    </row>
    <row r="599" spans="1:18" x14ac:dyDescent="0.3">
      <c r="A599" t="s">
        <v>442</v>
      </c>
      <c r="B599" t="s">
        <v>15</v>
      </c>
      <c r="C599" t="s">
        <v>16</v>
      </c>
      <c r="D599" s="7">
        <v>45936</v>
      </c>
      <c r="E599" s="7">
        <v>45938</v>
      </c>
      <c r="F599" s="7">
        <v>45940</v>
      </c>
      <c r="G599" s="7">
        <v>45944</v>
      </c>
      <c r="H599" t="s">
        <v>17</v>
      </c>
      <c r="J599" s="7">
        <v>45958</v>
      </c>
      <c r="K599">
        <v>2</v>
      </c>
      <c r="L599">
        <v>2</v>
      </c>
      <c r="M599">
        <v>4</v>
      </c>
      <c r="N599">
        <v>3</v>
      </c>
      <c r="O599" s="7">
        <v>45936</v>
      </c>
      <c r="P599" s="7">
        <v>45938</v>
      </c>
      <c r="Q599" s="7">
        <v>45944</v>
      </c>
      <c r="R599" t="s">
        <v>1049</v>
      </c>
    </row>
    <row r="600" spans="1:18" x14ac:dyDescent="0.3">
      <c r="A600" t="s">
        <v>85</v>
      </c>
      <c r="B600" t="s">
        <v>29</v>
      </c>
      <c r="C600" t="s">
        <v>16</v>
      </c>
      <c r="D600" s="7">
        <v>45936</v>
      </c>
      <c r="E600" s="7">
        <v>45939</v>
      </c>
      <c r="F600" s="7">
        <v>45940</v>
      </c>
      <c r="G600" s="7">
        <v>45945</v>
      </c>
      <c r="H600" t="s">
        <v>17</v>
      </c>
      <c r="J600" s="7">
        <v>45971</v>
      </c>
      <c r="K600">
        <v>3</v>
      </c>
      <c r="L600">
        <v>1</v>
      </c>
      <c r="M600">
        <v>5</v>
      </c>
      <c r="N600">
        <v>1</v>
      </c>
      <c r="O600" s="7">
        <v>45936</v>
      </c>
      <c r="P600" s="7">
        <v>45939</v>
      </c>
      <c r="Q600" s="7">
        <v>45945</v>
      </c>
      <c r="R600" t="s">
        <v>1049</v>
      </c>
    </row>
    <row r="601" spans="1:18" x14ac:dyDescent="0.3">
      <c r="A601" t="s">
        <v>86</v>
      </c>
      <c r="B601" t="s">
        <v>27</v>
      </c>
      <c r="C601" t="s">
        <v>16</v>
      </c>
      <c r="D601" s="7">
        <v>45933</v>
      </c>
      <c r="E601" s="7">
        <v>45936</v>
      </c>
      <c r="F601" s="7">
        <v>45938</v>
      </c>
      <c r="G601" s="7">
        <v>45942</v>
      </c>
      <c r="H601" t="s">
        <v>17</v>
      </c>
      <c r="J601" s="7">
        <v>45959</v>
      </c>
      <c r="K601">
        <v>3</v>
      </c>
      <c r="L601">
        <v>2</v>
      </c>
      <c r="M601">
        <v>4</v>
      </c>
      <c r="N601">
        <v>4</v>
      </c>
      <c r="O601" s="7">
        <v>45933</v>
      </c>
      <c r="P601" s="7">
        <v>45936</v>
      </c>
      <c r="Q601" s="7">
        <v>45942</v>
      </c>
      <c r="R601" t="s">
        <v>1049</v>
      </c>
    </row>
    <row r="602" spans="1:18" x14ac:dyDescent="0.3">
      <c r="A602" t="s">
        <v>957</v>
      </c>
      <c r="B602" t="s">
        <v>15</v>
      </c>
      <c r="C602" t="s">
        <v>841</v>
      </c>
      <c r="D602" s="7">
        <v>45950</v>
      </c>
      <c r="H602" t="s">
        <v>752</v>
      </c>
      <c r="I602" t="s">
        <v>765</v>
      </c>
      <c r="O602" s="7">
        <v>45950</v>
      </c>
      <c r="R602" t="s">
        <v>1050</v>
      </c>
    </row>
    <row r="603" spans="1:18" x14ac:dyDescent="0.3">
      <c r="A603" t="s">
        <v>374</v>
      </c>
      <c r="B603" t="s">
        <v>22</v>
      </c>
      <c r="C603" t="s">
        <v>16</v>
      </c>
      <c r="D603" s="7">
        <v>45958</v>
      </c>
      <c r="E603" s="7">
        <v>45959</v>
      </c>
      <c r="F603" s="7">
        <v>45964</v>
      </c>
      <c r="G603" s="7">
        <v>45970</v>
      </c>
      <c r="H603" t="s">
        <v>17</v>
      </c>
      <c r="J603" s="7">
        <v>45981</v>
      </c>
      <c r="K603">
        <v>1</v>
      </c>
      <c r="L603">
        <v>5</v>
      </c>
      <c r="M603">
        <v>6</v>
      </c>
      <c r="N603">
        <v>3</v>
      </c>
      <c r="O603" s="7">
        <v>45958</v>
      </c>
      <c r="P603" s="7">
        <v>45959</v>
      </c>
      <c r="Q603" s="7">
        <v>45970</v>
      </c>
      <c r="R603" t="s">
        <v>1049</v>
      </c>
    </row>
    <row r="604" spans="1:18" x14ac:dyDescent="0.3">
      <c r="A604" t="s">
        <v>594</v>
      </c>
      <c r="B604" t="s">
        <v>27</v>
      </c>
      <c r="C604" t="s">
        <v>474</v>
      </c>
      <c r="D604" s="7">
        <v>45943</v>
      </c>
      <c r="E604" s="7">
        <v>45946</v>
      </c>
      <c r="F604" s="7">
        <v>45950</v>
      </c>
      <c r="G604" s="7">
        <v>45952</v>
      </c>
      <c r="H604" t="s">
        <v>17</v>
      </c>
      <c r="J604" s="7">
        <v>45981</v>
      </c>
      <c r="K604">
        <v>3</v>
      </c>
      <c r="L604">
        <v>4</v>
      </c>
      <c r="M604">
        <v>2</v>
      </c>
      <c r="N604">
        <v>8</v>
      </c>
      <c r="O604" s="7">
        <v>45943</v>
      </c>
      <c r="P604" s="7">
        <v>45946</v>
      </c>
      <c r="Q604" s="7">
        <v>45952</v>
      </c>
      <c r="R604" t="s">
        <v>1049</v>
      </c>
    </row>
    <row r="605" spans="1:18" x14ac:dyDescent="0.3">
      <c r="A605" t="s">
        <v>87</v>
      </c>
      <c r="B605" t="s">
        <v>15</v>
      </c>
      <c r="C605" t="s">
        <v>16</v>
      </c>
      <c r="D605" s="7">
        <v>45950</v>
      </c>
      <c r="E605" s="7">
        <v>45953</v>
      </c>
      <c r="F605" s="7">
        <v>45956</v>
      </c>
      <c r="G605" s="7">
        <v>45960</v>
      </c>
      <c r="H605" t="s">
        <v>17</v>
      </c>
      <c r="J605" s="7">
        <v>45982</v>
      </c>
      <c r="K605">
        <v>3</v>
      </c>
      <c r="L605">
        <v>3</v>
      </c>
      <c r="M605">
        <v>4</v>
      </c>
      <c r="N605">
        <v>6</v>
      </c>
      <c r="O605" s="7">
        <v>45950</v>
      </c>
      <c r="P605" s="7">
        <v>45953</v>
      </c>
      <c r="Q605" s="7">
        <v>45960</v>
      </c>
      <c r="R605" t="s">
        <v>1049</v>
      </c>
    </row>
    <row r="606" spans="1:18" x14ac:dyDescent="0.3">
      <c r="A606" t="s">
        <v>595</v>
      </c>
      <c r="B606" t="s">
        <v>29</v>
      </c>
      <c r="C606" t="s">
        <v>474</v>
      </c>
      <c r="D606" s="7">
        <v>45952</v>
      </c>
      <c r="E606" s="7">
        <v>45953</v>
      </c>
      <c r="F606" s="7">
        <v>45954</v>
      </c>
      <c r="G606" s="7">
        <v>45961</v>
      </c>
      <c r="H606" t="s">
        <v>17</v>
      </c>
      <c r="J606" s="7">
        <v>45981</v>
      </c>
      <c r="K606">
        <v>1</v>
      </c>
      <c r="L606">
        <v>1</v>
      </c>
      <c r="M606">
        <v>7</v>
      </c>
      <c r="N606">
        <v>9</v>
      </c>
      <c r="O606" s="7">
        <v>45952</v>
      </c>
      <c r="P606" s="7">
        <v>45953</v>
      </c>
      <c r="Q606" s="7">
        <v>45961</v>
      </c>
      <c r="R606" t="s">
        <v>1049</v>
      </c>
    </row>
    <row r="607" spans="1:18" x14ac:dyDescent="0.3">
      <c r="A607" t="s">
        <v>88</v>
      </c>
      <c r="B607" t="s">
        <v>29</v>
      </c>
      <c r="C607" t="s">
        <v>16</v>
      </c>
      <c r="D607" s="7">
        <v>45938</v>
      </c>
      <c r="E607" s="7">
        <v>45941</v>
      </c>
      <c r="F607" s="7">
        <v>45946</v>
      </c>
      <c r="G607" s="7">
        <v>45952</v>
      </c>
      <c r="H607" t="s">
        <v>17</v>
      </c>
      <c r="J607" s="7">
        <v>45966</v>
      </c>
      <c r="K607">
        <v>3</v>
      </c>
      <c r="L607">
        <v>5</v>
      </c>
      <c r="M607">
        <v>6</v>
      </c>
      <c r="N607">
        <v>3</v>
      </c>
      <c r="O607" s="7">
        <v>45938</v>
      </c>
      <c r="P607" s="7">
        <v>45941</v>
      </c>
      <c r="Q607" s="7">
        <v>45952</v>
      </c>
      <c r="R607" t="s">
        <v>1049</v>
      </c>
    </row>
    <row r="608" spans="1:18" x14ac:dyDescent="0.3">
      <c r="A608" t="s">
        <v>280</v>
      </c>
      <c r="B608" t="s">
        <v>27</v>
      </c>
      <c r="C608" t="s">
        <v>16</v>
      </c>
      <c r="D608" s="7">
        <v>45946</v>
      </c>
      <c r="E608" s="7">
        <v>45950</v>
      </c>
      <c r="F608" s="7">
        <v>45955</v>
      </c>
      <c r="G608" s="7">
        <v>45962</v>
      </c>
      <c r="H608" t="s">
        <v>17</v>
      </c>
      <c r="J608" s="7">
        <v>45972</v>
      </c>
      <c r="K608">
        <v>4</v>
      </c>
      <c r="L608">
        <v>5</v>
      </c>
      <c r="M608">
        <v>7</v>
      </c>
      <c r="N608">
        <v>2</v>
      </c>
      <c r="O608" s="7">
        <v>45946</v>
      </c>
      <c r="P608" s="7">
        <v>45950</v>
      </c>
      <c r="Q608" s="7">
        <v>45962</v>
      </c>
      <c r="R608" t="s">
        <v>1049</v>
      </c>
    </row>
    <row r="609" spans="1:18" x14ac:dyDescent="0.3">
      <c r="A609" t="s">
        <v>596</v>
      </c>
      <c r="B609" t="s">
        <v>15</v>
      </c>
      <c r="C609" t="s">
        <v>474</v>
      </c>
      <c r="D609" s="7">
        <v>45960</v>
      </c>
      <c r="E609" s="7">
        <v>45964</v>
      </c>
      <c r="F609" s="7">
        <v>45968</v>
      </c>
      <c r="G609" s="7">
        <v>45970</v>
      </c>
      <c r="H609" t="s">
        <v>17</v>
      </c>
      <c r="J609" s="7">
        <v>46000</v>
      </c>
      <c r="K609">
        <v>4</v>
      </c>
      <c r="L609">
        <v>4</v>
      </c>
      <c r="M609">
        <v>2</v>
      </c>
      <c r="N609">
        <v>4</v>
      </c>
      <c r="O609" s="7">
        <v>45960</v>
      </c>
      <c r="P609" s="7">
        <v>45964</v>
      </c>
      <c r="Q609" s="7">
        <v>45970</v>
      </c>
      <c r="R609" t="s">
        <v>1049</v>
      </c>
    </row>
    <row r="610" spans="1:18" x14ac:dyDescent="0.3">
      <c r="A610" t="s">
        <v>281</v>
      </c>
      <c r="B610" t="s">
        <v>27</v>
      </c>
      <c r="C610" t="s">
        <v>16</v>
      </c>
      <c r="D610" s="7">
        <v>45949</v>
      </c>
      <c r="E610" s="7">
        <v>45953</v>
      </c>
      <c r="F610" s="7">
        <v>45957</v>
      </c>
      <c r="G610" s="7">
        <v>45962</v>
      </c>
      <c r="H610" t="s">
        <v>17</v>
      </c>
      <c r="J610" s="7">
        <v>45987</v>
      </c>
      <c r="K610">
        <v>4</v>
      </c>
      <c r="L610">
        <v>4</v>
      </c>
      <c r="M610">
        <v>5</v>
      </c>
      <c r="N610">
        <v>0</v>
      </c>
      <c r="O610" s="7">
        <v>45949</v>
      </c>
      <c r="P610" s="7">
        <v>45953</v>
      </c>
      <c r="Q610" s="7">
        <v>45962</v>
      </c>
      <c r="R610" t="s">
        <v>1049</v>
      </c>
    </row>
    <row r="611" spans="1:18" x14ac:dyDescent="0.3">
      <c r="A611" t="s">
        <v>597</v>
      </c>
      <c r="B611" t="s">
        <v>27</v>
      </c>
      <c r="C611" t="s">
        <v>474</v>
      </c>
      <c r="D611" s="7">
        <v>45935</v>
      </c>
      <c r="E611" s="7">
        <v>45939</v>
      </c>
      <c r="F611" s="7">
        <v>45940</v>
      </c>
      <c r="G611" s="7">
        <v>45945</v>
      </c>
      <c r="H611" t="s">
        <v>17</v>
      </c>
      <c r="J611" s="7">
        <v>45964</v>
      </c>
      <c r="K611">
        <v>4</v>
      </c>
      <c r="L611">
        <v>1</v>
      </c>
      <c r="M611">
        <v>5</v>
      </c>
      <c r="N611">
        <v>1</v>
      </c>
      <c r="O611" s="7">
        <v>45935</v>
      </c>
      <c r="P611" s="7">
        <v>45939</v>
      </c>
      <c r="Q611" s="7">
        <v>45945</v>
      </c>
      <c r="R611" t="s">
        <v>1049</v>
      </c>
    </row>
    <row r="612" spans="1:18" x14ac:dyDescent="0.3">
      <c r="A612" t="s">
        <v>598</v>
      </c>
      <c r="B612" t="s">
        <v>15</v>
      </c>
      <c r="C612" t="s">
        <v>474</v>
      </c>
      <c r="D612" s="7">
        <v>45938</v>
      </c>
      <c r="E612" s="7">
        <v>45941</v>
      </c>
      <c r="F612" s="7">
        <v>45942</v>
      </c>
      <c r="G612" s="7">
        <v>45948</v>
      </c>
      <c r="H612" t="s">
        <v>17</v>
      </c>
      <c r="J612" s="7">
        <v>45966</v>
      </c>
      <c r="K612">
        <v>3</v>
      </c>
      <c r="L612">
        <v>1</v>
      </c>
      <c r="M612">
        <v>6</v>
      </c>
      <c r="N612">
        <v>1</v>
      </c>
      <c r="O612" s="7">
        <v>45938</v>
      </c>
      <c r="P612" s="7">
        <v>45941</v>
      </c>
      <c r="Q612" s="7">
        <v>45948</v>
      </c>
      <c r="R612" t="s">
        <v>1049</v>
      </c>
    </row>
    <row r="613" spans="1:18" x14ac:dyDescent="0.3">
      <c r="A613" t="s">
        <v>443</v>
      </c>
      <c r="B613" t="s">
        <v>15</v>
      </c>
      <c r="C613" t="s">
        <v>16</v>
      </c>
      <c r="D613" s="7">
        <v>45945</v>
      </c>
      <c r="E613" s="7">
        <v>45947</v>
      </c>
      <c r="F613" s="7">
        <v>45952</v>
      </c>
      <c r="G613" s="7">
        <v>45956</v>
      </c>
      <c r="H613" t="s">
        <v>17</v>
      </c>
      <c r="J613" s="7">
        <v>45979</v>
      </c>
      <c r="K613">
        <v>2</v>
      </c>
      <c r="L613">
        <v>5</v>
      </c>
      <c r="M613">
        <v>4</v>
      </c>
      <c r="N613">
        <v>2</v>
      </c>
      <c r="O613" s="7">
        <v>45945</v>
      </c>
      <c r="P613" s="7">
        <v>45947</v>
      </c>
      <c r="Q613" s="7">
        <v>45956</v>
      </c>
      <c r="R613" t="s">
        <v>1049</v>
      </c>
    </row>
    <row r="614" spans="1:18" x14ac:dyDescent="0.3">
      <c r="A614" t="s">
        <v>282</v>
      </c>
      <c r="B614" t="s">
        <v>22</v>
      </c>
      <c r="C614" t="s">
        <v>16</v>
      </c>
      <c r="D614" s="7">
        <v>45951</v>
      </c>
      <c r="E614" s="7">
        <v>45955</v>
      </c>
      <c r="F614" s="7">
        <v>45960</v>
      </c>
      <c r="G614" s="7">
        <v>45962</v>
      </c>
      <c r="H614" t="s">
        <v>17</v>
      </c>
      <c r="J614" s="7">
        <v>45984</v>
      </c>
      <c r="K614">
        <v>4</v>
      </c>
      <c r="L614">
        <v>5</v>
      </c>
      <c r="M614">
        <v>2</v>
      </c>
      <c r="N614">
        <v>8</v>
      </c>
      <c r="O614" s="7">
        <v>45951</v>
      </c>
      <c r="P614" s="7">
        <v>45955</v>
      </c>
      <c r="Q614" s="7">
        <v>45962</v>
      </c>
      <c r="R614" t="s">
        <v>1049</v>
      </c>
    </row>
    <row r="615" spans="1:18" x14ac:dyDescent="0.3">
      <c r="A615" t="s">
        <v>958</v>
      </c>
      <c r="B615" t="s">
        <v>15</v>
      </c>
      <c r="C615" t="s">
        <v>841</v>
      </c>
      <c r="D615" s="7">
        <v>45939</v>
      </c>
      <c r="H615" t="s">
        <v>752</v>
      </c>
      <c r="I615" t="s">
        <v>765</v>
      </c>
      <c r="O615" s="7">
        <v>45939</v>
      </c>
      <c r="R615" t="s">
        <v>1050</v>
      </c>
    </row>
    <row r="616" spans="1:18" x14ac:dyDescent="0.3">
      <c r="A616" t="s">
        <v>283</v>
      </c>
      <c r="B616" t="s">
        <v>29</v>
      </c>
      <c r="C616" t="s">
        <v>16</v>
      </c>
      <c r="D616" s="7">
        <v>45945</v>
      </c>
      <c r="E616" s="7">
        <v>45949</v>
      </c>
      <c r="F616" s="7">
        <v>45953</v>
      </c>
      <c r="G616" s="7">
        <v>45958</v>
      </c>
      <c r="H616" t="s">
        <v>17</v>
      </c>
      <c r="J616" s="7">
        <v>45980</v>
      </c>
      <c r="K616">
        <v>4</v>
      </c>
      <c r="L616">
        <v>4</v>
      </c>
      <c r="M616">
        <v>5</v>
      </c>
      <c r="N616">
        <v>6</v>
      </c>
      <c r="O616" s="7">
        <v>45945</v>
      </c>
      <c r="P616" s="7">
        <v>45949</v>
      </c>
      <c r="Q616" s="7">
        <v>45958</v>
      </c>
      <c r="R616" t="s">
        <v>1049</v>
      </c>
    </row>
    <row r="617" spans="1:18" x14ac:dyDescent="0.3">
      <c r="A617" t="s">
        <v>89</v>
      </c>
      <c r="B617" t="s">
        <v>27</v>
      </c>
      <c r="C617" t="s">
        <v>16</v>
      </c>
      <c r="D617" s="7">
        <v>45939</v>
      </c>
      <c r="E617" s="7">
        <v>45942</v>
      </c>
      <c r="F617" s="7">
        <v>45943</v>
      </c>
      <c r="G617" s="7">
        <v>45949</v>
      </c>
      <c r="H617" t="s">
        <v>17</v>
      </c>
      <c r="J617" s="7">
        <v>45960</v>
      </c>
      <c r="K617">
        <v>3</v>
      </c>
      <c r="L617">
        <v>1</v>
      </c>
      <c r="M617">
        <v>6</v>
      </c>
      <c r="N617">
        <v>6</v>
      </c>
      <c r="O617" s="7">
        <v>45939</v>
      </c>
      <c r="P617" s="7">
        <v>45942</v>
      </c>
      <c r="Q617" s="7">
        <v>45949</v>
      </c>
      <c r="R617" t="s">
        <v>1049</v>
      </c>
    </row>
    <row r="618" spans="1:18" x14ac:dyDescent="0.3">
      <c r="A618" t="s">
        <v>190</v>
      </c>
      <c r="B618" t="s">
        <v>27</v>
      </c>
      <c r="C618" t="s">
        <v>16</v>
      </c>
      <c r="D618" s="7">
        <v>45952</v>
      </c>
      <c r="E618" s="7">
        <v>45957</v>
      </c>
      <c r="F618" s="7">
        <v>45958</v>
      </c>
      <c r="G618" s="7">
        <v>45961</v>
      </c>
      <c r="H618" t="s">
        <v>17</v>
      </c>
      <c r="J618" s="7">
        <v>45989</v>
      </c>
      <c r="K618">
        <v>5</v>
      </c>
      <c r="L618">
        <v>1</v>
      </c>
      <c r="M618">
        <v>3</v>
      </c>
      <c r="N618">
        <v>3</v>
      </c>
      <c r="O618" s="7">
        <v>45952</v>
      </c>
      <c r="P618" s="7">
        <v>45957</v>
      </c>
      <c r="Q618" s="7">
        <v>45961</v>
      </c>
      <c r="R618" t="s">
        <v>1049</v>
      </c>
    </row>
    <row r="619" spans="1:18" x14ac:dyDescent="0.3">
      <c r="A619" t="s">
        <v>599</v>
      </c>
      <c r="B619" t="s">
        <v>29</v>
      </c>
      <c r="C619" t="s">
        <v>474</v>
      </c>
      <c r="D619" s="7">
        <v>45931</v>
      </c>
      <c r="E619" s="7">
        <v>45934</v>
      </c>
      <c r="F619" s="7">
        <v>45939</v>
      </c>
      <c r="G619" s="7">
        <v>45943</v>
      </c>
      <c r="H619" t="s">
        <v>17</v>
      </c>
      <c r="J619" s="7">
        <v>45971</v>
      </c>
      <c r="K619">
        <v>3</v>
      </c>
      <c r="L619">
        <v>5</v>
      </c>
      <c r="M619">
        <v>4</v>
      </c>
      <c r="N619">
        <v>4</v>
      </c>
      <c r="O619" s="7">
        <v>45931</v>
      </c>
      <c r="P619" s="7">
        <v>45934</v>
      </c>
      <c r="Q619" s="7">
        <v>45943</v>
      </c>
      <c r="R619" t="s">
        <v>1049</v>
      </c>
    </row>
    <row r="620" spans="1:18" x14ac:dyDescent="0.3">
      <c r="A620" t="s">
        <v>959</v>
      </c>
      <c r="B620" t="s">
        <v>15</v>
      </c>
      <c r="C620" t="s">
        <v>841</v>
      </c>
      <c r="D620" s="7">
        <v>45959</v>
      </c>
      <c r="H620" t="s">
        <v>752</v>
      </c>
      <c r="I620" t="s">
        <v>765</v>
      </c>
      <c r="O620" s="7">
        <v>45959</v>
      </c>
      <c r="R620" t="s">
        <v>1050</v>
      </c>
    </row>
    <row r="621" spans="1:18" x14ac:dyDescent="0.3">
      <c r="A621" t="s">
        <v>811</v>
      </c>
      <c r="B621" t="s">
        <v>29</v>
      </c>
      <c r="C621" t="s">
        <v>16</v>
      </c>
      <c r="D621" s="7">
        <v>45956</v>
      </c>
      <c r="E621" s="7">
        <v>45957</v>
      </c>
      <c r="F621" s="7">
        <v>45960</v>
      </c>
      <c r="G621" s="7">
        <v>45963</v>
      </c>
      <c r="H621" t="s">
        <v>752</v>
      </c>
      <c r="I621" t="s">
        <v>756</v>
      </c>
      <c r="K621">
        <v>1</v>
      </c>
      <c r="L621">
        <v>3</v>
      </c>
      <c r="M621">
        <v>3</v>
      </c>
      <c r="O621" s="7">
        <v>45956</v>
      </c>
      <c r="P621" s="7">
        <v>45957</v>
      </c>
      <c r="Q621" s="7">
        <v>45963</v>
      </c>
      <c r="R621" t="s">
        <v>1049</v>
      </c>
    </row>
    <row r="622" spans="1:18" x14ac:dyDescent="0.3">
      <c r="A622" t="s">
        <v>812</v>
      </c>
      <c r="B622" t="s">
        <v>29</v>
      </c>
      <c r="C622" t="s">
        <v>16</v>
      </c>
      <c r="D622" s="7">
        <v>45945</v>
      </c>
      <c r="E622" s="7">
        <v>45949</v>
      </c>
      <c r="F622" s="7">
        <v>45954</v>
      </c>
      <c r="G622" s="7">
        <v>45958</v>
      </c>
      <c r="H622" t="s">
        <v>752</v>
      </c>
      <c r="I622" t="s">
        <v>753</v>
      </c>
      <c r="K622">
        <v>4</v>
      </c>
      <c r="L622">
        <v>5</v>
      </c>
      <c r="M622">
        <v>4</v>
      </c>
      <c r="O622" s="7">
        <v>45945</v>
      </c>
      <c r="P622" s="7">
        <v>45949</v>
      </c>
      <c r="Q622" s="7">
        <v>45958</v>
      </c>
      <c r="R622" t="s">
        <v>1049</v>
      </c>
    </row>
    <row r="623" spans="1:18" x14ac:dyDescent="0.3">
      <c r="A623" t="s">
        <v>600</v>
      </c>
      <c r="B623" t="s">
        <v>22</v>
      </c>
      <c r="C623" t="s">
        <v>474</v>
      </c>
      <c r="D623" s="7">
        <v>45959</v>
      </c>
      <c r="E623" s="7">
        <v>45960</v>
      </c>
      <c r="F623" s="7">
        <v>45963</v>
      </c>
      <c r="G623" s="7">
        <v>45965</v>
      </c>
      <c r="H623" t="s">
        <v>17</v>
      </c>
      <c r="J623" s="7">
        <v>45981</v>
      </c>
      <c r="K623">
        <v>1</v>
      </c>
      <c r="L623">
        <v>3</v>
      </c>
      <c r="M623">
        <v>2</v>
      </c>
      <c r="N623">
        <v>6</v>
      </c>
      <c r="O623" s="7">
        <v>45959</v>
      </c>
      <c r="P623" s="7">
        <v>45960</v>
      </c>
      <c r="Q623" s="7">
        <v>45965</v>
      </c>
      <c r="R623" t="s">
        <v>1049</v>
      </c>
    </row>
    <row r="624" spans="1:18" x14ac:dyDescent="0.3">
      <c r="A624" t="s">
        <v>284</v>
      </c>
      <c r="B624" t="s">
        <v>29</v>
      </c>
      <c r="C624" t="s">
        <v>16</v>
      </c>
      <c r="D624" s="7">
        <v>45940</v>
      </c>
      <c r="E624" s="7">
        <v>45944</v>
      </c>
      <c r="F624" s="7">
        <v>45945</v>
      </c>
      <c r="G624" s="7">
        <v>45951</v>
      </c>
      <c r="H624" t="s">
        <v>17</v>
      </c>
      <c r="J624" s="7">
        <v>45971</v>
      </c>
      <c r="K624">
        <v>4</v>
      </c>
      <c r="L624">
        <v>1</v>
      </c>
      <c r="M624">
        <v>6</v>
      </c>
      <c r="N624">
        <v>9</v>
      </c>
      <c r="O624" s="7">
        <v>45940</v>
      </c>
      <c r="P624" s="7">
        <v>45944</v>
      </c>
      <c r="Q624" s="7">
        <v>45951</v>
      </c>
      <c r="R624" t="s">
        <v>1049</v>
      </c>
    </row>
    <row r="625" spans="1:18" x14ac:dyDescent="0.3">
      <c r="A625" t="s">
        <v>191</v>
      </c>
      <c r="B625" t="s">
        <v>27</v>
      </c>
      <c r="C625" t="s">
        <v>16</v>
      </c>
      <c r="D625" s="7">
        <v>45952</v>
      </c>
      <c r="E625" s="7">
        <v>45957</v>
      </c>
      <c r="F625" s="7">
        <v>45962</v>
      </c>
      <c r="G625" s="7">
        <v>45969</v>
      </c>
      <c r="H625" t="s">
        <v>17</v>
      </c>
      <c r="J625" s="7">
        <v>45986</v>
      </c>
      <c r="K625">
        <v>5</v>
      </c>
      <c r="L625">
        <v>5</v>
      </c>
      <c r="M625">
        <v>7</v>
      </c>
      <c r="N625">
        <v>8</v>
      </c>
      <c r="O625" s="7">
        <v>45952</v>
      </c>
      <c r="P625" s="7">
        <v>45957</v>
      </c>
      <c r="Q625" s="7">
        <v>45969</v>
      </c>
      <c r="R625" t="s">
        <v>1049</v>
      </c>
    </row>
    <row r="626" spans="1:18" x14ac:dyDescent="0.3">
      <c r="A626" t="s">
        <v>960</v>
      </c>
      <c r="B626" t="s">
        <v>29</v>
      </c>
      <c r="C626" t="s">
        <v>841</v>
      </c>
      <c r="D626" s="7">
        <v>45948</v>
      </c>
      <c r="H626" t="s">
        <v>752</v>
      </c>
      <c r="I626" t="s">
        <v>765</v>
      </c>
      <c r="O626" s="7">
        <v>45948</v>
      </c>
      <c r="R626" t="s">
        <v>1050</v>
      </c>
    </row>
    <row r="627" spans="1:18" x14ac:dyDescent="0.3">
      <c r="A627" t="s">
        <v>601</v>
      </c>
      <c r="B627" t="s">
        <v>27</v>
      </c>
      <c r="C627" t="s">
        <v>474</v>
      </c>
      <c r="D627" s="7">
        <v>45936</v>
      </c>
      <c r="E627" s="7">
        <v>45938</v>
      </c>
      <c r="F627" s="7">
        <v>45942</v>
      </c>
      <c r="G627" s="7">
        <v>45949</v>
      </c>
      <c r="H627" t="s">
        <v>17</v>
      </c>
      <c r="J627" s="7">
        <v>45976</v>
      </c>
      <c r="K627">
        <v>2</v>
      </c>
      <c r="L627">
        <v>4</v>
      </c>
      <c r="M627">
        <v>7</v>
      </c>
      <c r="N627">
        <v>0</v>
      </c>
      <c r="O627" s="7">
        <v>45936</v>
      </c>
      <c r="P627" s="7">
        <v>45938</v>
      </c>
      <c r="Q627" s="7">
        <v>45949</v>
      </c>
      <c r="R627" t="s">
        <v>1049</v>
      </c>
    </row>
    <row r="628" spans="1:18" x14ac:dyDescent="0.3">
      <c r="A628" t="s">
        <v>192</v>
      </c>
      <c r="B628" t="s">
        <v>27</v>
      </c>
      <c r="C628" t="s">
        <v>16</v>
      </c>
      <c r="D628" s="7">
        <v>45933</v>
      </c>
      <c r="E628" s="7">
        <v>45938</v>
      </c>
      <c r="F628" s="7">
        <v>45940</v>
      </c>
      <c r="G628" s="7">
        <v>45942</v>
      </c>
      <c r="H628" t="s">
        <v>17</v>
      </c>
      <c r="J628" s="7">
        <v>45972</v>
      </c>
      <c r="K628">
        <v>5</v>
      </c>
      <c r="L628">
        <v>2</v>
      </c>
      <c r="M628">
        <v>2</v>
      </c>
      <c r="N628">
        <v>1</v>
      </c>
      <c r="O628" s="7">
        <v>45933</v>
      </c>
      <c r="P628" s="7">
        <v>45938</v>
      </c>
      <c r="Q628" s="7">
        <v>45942</v>
      </c>
      <c r="R628" t="s">
        <v>1049</v>
      </c>
    </row>
    <row r="629" spans="1:18" x14ac:dyDescent="0.3">
      <c r="A629" t="s">
        <v>961</v>
      </c>
      <c r="B629" t="s">
        <v>27</v>
      </c>
      <c r="C629" t="s">
        <v>841</v>
      </c>
      <c r="D629" s="7">
        <v>45945</v>
      </c>
      <c r="H629" t="s">
        <v>752</v>
      </c>
      <c r="I629" t="s">
        <v>765</v>
      </c>
      <c r="O629" s="7">
        <v>45945</v>
      </c>
      <c r="R629" t="s">
        <v>1050</v>
      </c>
    </row>
    <row r="630" spans="1:18" x14ac:dyDescent="0.3">
      <c r="A630" t="s">
        <v>813</v>
      </c>
      <c r="B630" t="s">
        <v>15</v>
      </c>
      <c r="C630" t="s">
        <v>16</v>
      </c>
      <c r="D630" s="7">
        <v>45961</v>
      </c>
      <c r="E630" s="7">
        <v>45964</v>
      </c>
      <c r="F630" s="7">
        <v>45965</v>
      </c>
      <c r="G630" s="7">
        <v>45968</v>
      </c>
      <c r="H630" t="s">
        <v>752</v>
      </c>
      <c r="I630" t="s">
        <v>777</v>
      </c>
      <c r="K630">
        <v>3</v>
      </c>
      <c r="L630">
        <v>1</v>
      </c>
      <c r="M630">
        <v>3</v>
      </c>
      <c r="O630" s="7">
        <v>45961</v>
      </c>
      <c r="P630" s="7">
        <v>45964</v>
      </c>
      <c r="Q630" s="7">
        <v>45968</v>
      </c>
      <c r="R630" t="s">
        <v>1049</v>
      </c>
    </row>
    <row r="631" spans="1:18" x14ac:dyDescent="0.3">
      <c r="A631" t="s">
        <v>90</v>
      </c>
      <c r="B631" t="s">
        <v>22</v>
      </c>
      <c r="C631" t="s">
        <v>16</v>
      </c>
      <c r="D631" s="7">
        <v>45942</v>
      </c>
      <c r="E631" s="7">
        <v>45945</v>
      </c>
      <c r="F631" s="7">
        <v>45946</v>
      </c>
      <c r="G631" s="7">
        <v>45953</v>
      </c>
      <c r="H631" t="s">
        <v>17</v>
      </c>
      <c r="J631" s="7">
        <v>45978</v>
      </c>
      <c r="K631">
        <v>3</v>
      </c>
      <c r="L631">
        <v>1</v>
      </c>
      <c r="M631">
        <v>7</v>
      </c>
      <c r="N631">
        <v>3</v>
      </c>
      <c r="O631" s="7">
        <v>45942</v>
      </c>
      <c r="P631" s="7">
        <v>45945</v>
      </c>
      <c r="Q631" s="7">
        <v>45953</v>
      </c>
      <c r="R631" t="s">
        <v>1049</v>
      </c>
    </row>
    <row r="632" spans="1:18" x14ac:dyDescent="0.3">
      <c r="A632" t="s">
        <v>602</v>
      </c>
      <c r="B632" t="s">
        <v>27</v>
      </c>
      <c r="C632" t="s">
        <v>474</v>
      </c>
      <c r="D632" s="7">
        <v>45949</v>
      </c>
      <c r="E632" s="7">
        <v>45950</v>
      </c>
      <c r="F632" s="7">
        <v>45955</v>
      </c>
      <c r="G632" s="7">
        <v>45961</v>
      </c>
      <c r="H632" t="s">
        <v>17</v>
      </c>
      <c r="J632" s="7">
        <v>45982</v>
      </c>
      <c r="K632">
        <v>1</v>
      </c>
      <c r="L632">
        <v>5</v>
      </c>
      <c r="M632">
        <v>6</v>
      </c>
      <c r="N632">
        <v>1</v>
      </c>
      <c r="O632" s="7">
        <v>45949</v>
      </c>
      <c r="P632" s="7">
        <v>45950</v>
      </c>
      <c r="Q632" s="7">
        <v>45961</v>
      </c>
      <c r="R632" t="s">
        <v>1049</v>
      </c>
    </row>
    <row r="633" spans="1:18" x14ac:dyDescent="0.3">
      <c r="A633" t="s">
        <v>962</v>
      </c>
      <c r="B633" t="s">
        <v>27</v>
      </c>
      <c r="C633" t="s">
        <v>841</v>
      </c>
      <c r="D633" s="7">
        <v>45940</v>
      </c>
      <c r="H633" t="s">
        <v>752</v>
      </c>
      <c r="I633" t="s">
        <v>756</v>
      </c>
      <c r="O633" s="7">
        <v>45940</v>
      </c>
      <c r="R633" t="s">
        <v>1050</v>
      </c>
    </row>
    <row r="634" spans="1:18" x14ac:dyDescent="0.3">
      <c r="A634" t="s">
        <v>603</v>
      </c>
      <c r="B634" t="s">
        <v>15</v>
      </c>
      <c r="C634" t="s">
        <v>474</v>
      </c>
      <c r="D634" s="7">
        <v>45951</v>
      </c>
      <c r="E634" s="7">
        <v>45952</v>
      </c>
      <c r="F634" s="7">
        <v>45954</v>
      </c>
      <c r="G634" s="7">
        <v>45956</v>
      </c>
      <c r="H634" t="s">
        <v>17</v>
      </c>
      <c r="J634" s="7">
        <v>45982</v>
      </c>
      <c r="K634">
        <v>1</v>
      </c>
      <c r="L634">
        <v>2</v>
      </c>
      <c r="M634">
        <v>2</v>
      </c>
      <c r="N634">
        <v>9</v>
      </c>
      <c r="O634" s="7">
        <v>45951</v>
      </c>
      <c r="P634" s="7">
        <v>45952</v>
      </c>
      <c r="Q634" s="7">
        <v>45956</v>
      </c>
      <c r="R634" t="s">
        <v>1049</v>
      </c>
    </row>
    <row r="635" spans="1:18" x14ac:dyDescent="0.3">
      <c r="A635" t="s">
        <v>91</v>
      </c>
      <c r="B635" t="s">
        <v>27</v>
      </c>
      <c r="C635" t="s">
        <v>16</v>
      </c>
      <c r="D635" s="7">
        <v>45961</v>
      </c>
      <c r="E635" s="7">
        <v>45964</v>
      </c>
      <c r="F635" s="7">
        <v>45966</v>
      </c>
      <c r="G635" s="7">
        <v>45968</v>
      </c>
      <c r="H635" t="s">
        <v>17</v>
      </c>
      <c r="J635" s="7">
        <v>45987</v>
      </c>
      <c r="K635">
        <v>3</v>
      </c>
      <c r="L635">
        <v>2</v>
      </c>
      <c r="M635">
        <v>2</v>
      </c>
      <c r="N635">
        <v>3</v>
      </c>
      <c r="O635" s="7">
        <v>45961</v>
      </c>
      <c r="P635" s="7">
        <v>45964</v>
      </c>
      <c r="Q635" s="7">
        <v>45968</v>
      </c>
      <c r="R635" t="s">
        <v>1049</v>
      </c>
    </row>
    <row r="636" spans="1:18" x14ac:dyDescent="0.3">
      <c r="A636" t="s">
        <v>92</v>
      </c>
      <c r="B636" t="s">
        <v>29</v>
      </c>
      <c r="C636" t="s">
        <v>16</v>
      </c>
      <c r="D636" s="7">
        <v>45944</v>
      </c>
      <c r="E636" s="7">
        <v>45947</v>
      </c>
      <c r="F636" s="7">
        <v>45949</v>
      </c>
      <c r="G636" s="7">
        <v>45951</v>
      </c>
      <c r="H636" t="s">
        <v>17</v>
      </c>
      <c r="J636" s="7">
        <v>45966</v>
      </c>
      <c r="K636">
        <v>3</v>
      </c>
      <c r="L636">
        <v>2</v>
      </c>
      <c r="M636">
        <v>2</v>
      </c>
      <c r="N636">
        <v>5</v>
      </c>
      <c r="O636" s="7">
        <v>45944</v>
      </c>
      <c r="P636" s="7">
        <v>45947</v>
      </c>
      <c r="Q636" s="7">
        <v>45951</v>
      </c>
      <c r="R636" t="s">
        <v>1049</v>
      </c>
    </row>
    <row r="637" spans="1:18" x14ac:dyDescent="0.3">
      <c r="A637" t="s">
        <v>814</v>
      </c>
      <c r="B637" t="s">
        <v>29</v>
      </c>
      <c r="C637" t="s">
        <v>474</v>
      </c>
      <c r="D637" s="7">
        <v>45953</v>
      </c>
      <c r="E637" s="7">
        <v>45956</v>
      </c>
      <c r="F637" s="7">
        <v>45961</v>
      </c>
      <c r="G637" s="7">
        <v>45964</v>
      </c>
      <c r="H637" t="s">
        <v>752</v>
      </c>
      <c r="I637" t="s">
        <v>765</v>
      </c>
      <c r="K637">
        <v>3</v>
      </c>
      <c r="L637">
        <v>5</v>
      </c>
      <c r="M637">
        <v>3</v>
      </c>
      <c r="O637" s="7">
        <v>45953</v>
      </c>
      <c r="P637" s="7">
        <v>45956</v>
      </c>
      <c r="Q637" s="7">
        <v>45964</v>
      </c>
      <c r="R637" t="s">
        <v>1049</v>
      </c>
    </row>
    <row r="638" spans="1:18" x14ac:dyDescent="0.3">
      <c r="A638" t="s">
        <v>285</v>
      </c>
      <c r="B638" t="s">
        <v>22</v>
      </c>
      <c r="C638" t="s">
        <v>16</v>
      </c>
      <c r="D638" s="7">
        <v>45939</v>
      </c>
      <c r="E638" s="7">
        <v>45943</v>
      </c>
      <c r="F638" s="7">
        <v>45948</v>
      </c>
      <c r="G638" s="7">
        <v>45950</v>
      </c>
      <c r="H638" t="s">
        <v>17</v>
      </c>
      <c r="J638" s="7">
        <v>45977</v>
      </c>
      <c r="K638">
        <v>4</v>
      </c>
      <c r="L638">
        <v>5</v>
      </c>
      <c r="M638">
        <v>2</v>
      </c>
      <c r="N638">
        <v>3</v>
      </c>
      <c r="O638" s="7">
        <v>45939</v>
      </c>
      <c r="P638" s="7">
        <v>45943</v>
      </c>
      <c r="Q638" s="7">
        <v>45950</v>
      </c>
      <c r="R638" t="s">
        <v>1049</v>
      </c>
    </row>
    <row r="639" spans="1:18" x14ac:dyDescent="0.3">
      <c r="A639" t="s">
        <v>720</v>
      </c>
      <c r="B639" t="s">
        <v>27</v>
      </c>
      <c r="C639" t="s">
        <v>474</v>
      </c>
      <c r="D639" s="7">
        <v>45945</v>
      </c>
      <c r="E639" s="7">
        <v>45950</v>
      </c>
      <c r="F639" s="7">
        <v>45953</v>
      </c>
      <c r="G639" s="7">
        <v>45958</v>
      </c>
      <c r="H639" t="s">
        <v>17</v>
      </c>
      <c r="J639" s="7">
        <v>45973</v>
      </c>
      <c r="K639">
        <v>5</v>
      </c>
      <c r="L639">
        <v>3</v>
      </c>
      <c r="M639">
        <v>5</v>
      </c>
      <c r="N639">
        <v>2</v>
      </c>
      <c r="O639" s="7">
        <v>45945</v>
      </c>
      <c r="P639" s="7">
        <v>45950</v>
      </c>
      <c r="Q639" s="7">
        <v>45958</v>
      </c>
      <c r="R639" t="s">
        <v>1049</v>
      </c>
    </row>
    <row r="640" spans="1:18" x14ac:dyDescent="0.3">
      <c r="A640" t="s">
        <v>604</v>
      </c>
      <c r="B640" t="s">
        <v>15</v>
      </c>
      <c r="C640" t="s">
        <v>474</v>
      </c>
      <c r="D640" s="7">
        <v>45958</v>
      </c>
      <c r="E640" s="7">
        <v>45962</v>
      </c>
      <c r="F640" s="7">
        <v>45965</v>
      </c>
      <c r="G640" s="7">
        <v>45969</v>
      </c>
      <c r="H640" t="s">
        <v>17</v>
      </c>
      <c r="J640" s="7">
        <v>45988</v>
      </c>
      <c r="K640">
        <v>4</v>
      </c>
      <c r="L640">
        <v>3</v>
      </c>
      <c r="M640">
        <v>4</v>
      </c>
      <c r="N640">
        <v>1</v>
      </c>
      <c r="O640" s="7">
        <v>45958</v>
      </c>
      <c r="P640" s="7">
        <v>45962</v>
      </c>
      <c r="Q640" s="7">
        <v>45969</v>
      </c>
      <c r="R640" t="s">
        <v>1049</v>
      </c>
    </row>
    <row r="641" spans="1:18" x14ac:dyDescent="0.3">
      <c r="A641" t="s">
        <v>444</v>
      </c>
      <c r="B641" t="s">
        <v>29</v>
      </c>
      <c r="C641" t="s">
        <v>16</v>
      </c>
      <c r="D641" s="7">
        <v>45940</v>
      </c>
      <c r="E641" s="7">
        <v>45942</v>
      </c>
      <c r="F641" s="7">
        <v>45945</v>
      </c>
      <c r="G641" s="7">
        <v>45950</v>
      </c>
      <c r="H641" t="s">
        <v>17</v>
      </c>
      <c r="J641" s="7">
        <v>45963</v>
      </c>
      <c r="K641">
        <v>2</v>
      </c>
      <c r="L641">
        <v>3</v>
      </c>
      <c r="M641">
        <v>5</v>
      </c>
      <c r="N641">
        <v>8</v>
      </c>
      <c r="O641" s="7">
        <v>45940</v>
      </c>
      <c r="P641" s="7">
        <v>45942</v>
      </c>
      <c r="Q641" s="7">
        <v>45950</v>
      </c>
      <c r="R641" t="s">
        <v>1049</v>
      </c>
    </row>
    <row r="642" spans="1:18" x14ac:dyDescent="0.3">
      <c r="A642" t="s">
        <v>963</v>
      </c>
      <c r="B642" t="s">
        <v>15</v>
      </c>
      <c r="C642" t="s">
        <v>841</v>
      </c>
      <c r="D642" s="7">
        <v>45937</v>
      </c>
      <c r="H642" t="s">
        <v>752</v>
      </c>
      <c r="I642" t="s">
        <v>777</v>
      </c>
      <c r="O642" s="7">
        <v>45937</v>
      </c>
      <c r="R642" t="s">
        <v>1050</v>
      </c>
    </row>
    <row r="643" spans="1:18" x14ac:dyDescent="0.3">
      <c r="A643" t="s">
        <v>286</v>
      </c>
      <c r="B643" t="s">
        <v>15</v>
      </c>
      <c r="C643" t="s">
        <v>16</v>
      </c>
      <c r="D643" s="7">
        <v>45943</v>
      </c>
      <c r="E643" s="7">
        <v>45947</v>
      </c>
      <c r="F643" s="7">
        <v>45951</v>
      </c>
      <c r="G643" s="7">
        <v>45954</v>
      </c>
      <c r="H643" t="s">
        <v>17</v>
      </c>
      <c r="J643" s="7">
        <v>45979</v>
      </c>
      <c r="K643">
        <v>4</v>
      </c>
      <c r="L643">
        <v>4</v>
      </c>
      <c r="M643">
        <v>3</v>
      </c>
      <c r="N643">
        <v>9</v>
      </c>
      <c r="O643" s="7">
        <v>45943</v>
      </c>
      <c r="P643" s="7">
        <v>45947</v>
      </c>
      <c r="Q643" s="7">
        <v>45954</v>
      </c>
      <c r="R643" t="s">
        <v>1049</v>
      </c>
    </row>
    <row r="644" spans="1:18" x14ac:dyDescent="0.3">
      <c r="A644" t="s">
        <v>93</v>
      </c>
      <c r="B644" t="s">
        <v>29</v>
      </c>
      <c r="C644" t="s">
        <v>16</v>
      </c>
      <c r="D644" s="7">
        <v>45958</v>
      </c>
      <c r="E644" s="7">
        <v>45961</v>
      </c>
      <c r="F644" s="7">
        <v>45962</v>
      </c>
      <c r="G644" s="7">
        <v>45965</v>
      </c>
      <c r="H644" t="s">
        <v>17</v>
      </c>
      <c r="J644" s="7">
        <v>45979</v>
      </c>
      <c r="K644">
        <v>3</v>
      </c>
      <c r="L644">
        <v>1</v>
      </c>
      <c r="M644">
        <v>3</v>
      </c>
      <c r="N644">
        <v>4</v>
      </c>
      <c r="O644" s="7">
        <v>45958</v>
      </c>
      <c r="P644" s="7">
        <v>45961</v>
      </c>
      <c r="Q644" s="7">
        <v>45965</v>
      </c>
      <c r="R644" t="s">
        <v>1049</v>
      </c>
    </row>
    <row r="645" spans="1:18" x14ac:dyDescent="0.3">
      <c r="A645" t="s">
        <v>605</v>
      </c>
      <c r="B645" t="s">
        <v>15</v>
      </c>
      <c r="C645" t="s">
        <v>474</v>
      </c>
      <c r="D645" s="7">
        <v>45946</v>
      </c>
      <c r="E645" s="7">
        <v>45950</v>
      </c>
      <c r="F645" s="7">
        <v>45953</v>
      </c>
      <c r="G645" s="7">
        <v>45955</v>
      </c>
      <c r="H645" t="s">
        <v>17</v>
      </c>
      <c r="J645" s="7">
        <v>45973</v>
      </c>
      <c r="K645">
        <v>4</v>
      </c>
      <c r="L645">
        <v>3</v>
      </c>
      <c r="M645">
        <v>2</v>
      </c>
      <c r="N645">
        <v>4</v>
      </c>
      <c r="O645" s="7">
        <v>45946</v>
      </c>
      <c r="P645" s="7">
        <v>45950</v>
      </c>
      <c r="Q645" s="7">
        <v>45955</v>
      </c>
      <c r="R645" t="s">
        <v>1049</v>
      </c>
    </row>
    <row r="646" spans="1:18" x14ac:dyDescent="0.3">
      <c r="A646" t="s">
        <v>606</v>
      </c>
      <c r="B646" t="s">
        <v>29</v>
      </c>
      <c r="C646" t="s">
        <v>474</v>
      </c>
      <c r="D646" s="7">
        <v>45934</v>
      </c>
      <c r="E646" s="7">
        <v>45935</v>
      </c>
      <c r="F646" s="7">
        <v>45939</v>
      </c>
      <c r="G646" s="7">
        <v>45945</v>
      </c>
      <c r="H646" t="s">
        <v>17</v>
      </c>
      <c r="J646" s="7">
        <v>45972</v>
      </c>
      <c r="K646">
        <v>1</v>
      </c>
      <c r="L646">
        <v>4</v>
      </c>
      <c r="M646">
        <v>6</v>
      </c>
      <c r="N646">
        <v>1</v>
      </c>
      <c r="O646" s="7">
        <v>45934</v>
      </c>
      <c r="P646" s="7">
        <v>45935</v>
      </c>
      <c r="Q646" s="7">
        <v>45945</v>
      </c>
      <c r="R646" t="s">
        <v>1049</v>
      </c>
    </row>
    <row r="647" spans="1:18" x14ac:dyDescent="0.3">
      <c r="A647" t="s">
        <v>607</v>
      </c>
      <c r="B647" t="s">
        <v>15</v>
      </c>
      <c r="C647" t="s">
        <v>474</v>
      </c>
      <c r="D647" s="7">
        <v>45938</v>
      </c>
      <c r="E647" s="7">
        <v>45941</v>
      </c>
      <c r="F647" s="7">
        <v>45945</v>
      </c>
      <c r="G647" s="7">
        <v>45952</v>
      </c>
      <c r="H647" t="s">
        <v>17</v>
      </c>
      <c r="J647" s="7">
        <v>45967</v>
      </c>
      <c r="K647">
        <v>3</v>
      </c>
      <c r="L647">
        <v>4</v>
      </c>
      <c r="M647">
        <v>7</v>
      </c>
      <c r="N647">
        <v>0</v>
      </c>
      <c r="O647" s="7">
        <v>45938</v>
      </c>
      <c r="P647" s="7">
        <v>45941</v>
      </c>
      <c r="Q647" s="7">
        <v>45952</v>
      </c>
      <c r="R647" t="s">
        <v>1049</v>
      </c>
    </row>
    <row r="648" spans="1:18" x14ac:dyDescent="0.3">
      <c r="A648" t="s">
        <v>721</v>
      </c>
      <c r="B648" t="s">
        <v>29</v>
      </c>
      <c r="C648" t="s">
        <v>474</v>
      </c>
      <c r="D648" s="7">
        <v>45943</v>
      </c>
      <c r="E648" s="7">
        <v>45948</v>
      </c>
      <c r="F648" s="7">
        <v>45953</v>
      </c>
      <c r="G648" s="7">
        <v>45960</v>
      </c>
      <c r="H648" t="s">
        <v>17</v>
      </c>
      <c r="J648" s="7">
        <v>45980</v>
      </c>
      <c r="K648">
        <v>5</v>
      </c>
      <c r="L648">
        <v>5</v>
      </c>
      <c r="M648">
        <v>7</v>
      </c>
      <c r="N648">
        <v>6</v>
      </c>
      <c r="O648" s="7">
        <v>45943</v>
      </c>
      <c r="P648" s="7">
        <v>45948</v>
      </c>
      <c r="Q648" s="7">
        <v>45960</v>
      </c>
      <c r="R648" t="s">
        <v>1049</v>
      </c>
    </row>
    <row r="649" spans="1:18" x14ac:dyDescent="0.3">
      <c r="A649" t="s">
        <v>287</v>
      </c>
      <c r="B649" t="s">
        <v>27</v>
      </c>
      <c r="C649" t="s">
        <v>16</v>
      </c>
      <c r="D649" s="7">
        <v>45949</v>
      </c>
      <c r="E649" s="7">
        <v>45953</v>
      </c>
      <c r="F649" s="7">
        <v>45955</v>
      </c>
      <c r="G649" s="7">
        <v>45962</v>
      </c>
      <c r="H649" t="s">
        <v>17</v>
      </c>
      <c r="J649" s="7">
        <v>45992</v>
      </c>
      <c r="K649">
        <v>4</v>
      </c>
      <c r="L649">
        <v>2</v>
      </c>
      <c r="M649">
        <v>7</v>
      </c>
      <c r="N649">
        <v>5</v>
      </c>
      <c r="O649" s="7">
        <v>45949</v>
      </c>
      <c r="P649" s="7">
        <v>45953</v>
      </c>
      <c r="Q649" s="7">
        <v>45962</v>
      </c>
      <c r="R649" t="s">
        <v>1049</v>
      </c>
    </row>
    <row r="650" spans="1:18" x14ac:dyDescent="0.3">
      <c r="A650" t="s">
        <v>94</v>
      </c>
      <c r="B650" t="s">
        <v>22</v>
      </c>
      <c r="C650" t="s">
        <v>16</v>
      </c>
      <c r="D650" s="7">
        <v>45942</v>
      </c>
      <c r="E650" s="7">
        <v>45945</v>
      </c>
      <c r="F650" s="7">
        <v>45947</v>
      </c>
      <c r="G650" s="7">
        <v>45952</v>
      </c>
      <c r="H650" t="s">
        <v>17</v>
      </c>
      <c r="J650" s="7">
        <v>45964</v>
      </c>
      <c r="K650">
        <v>3</v>
      </c>
      <c r="L650">
        <v>2</v>
      </c>
      <c r="M650">
        <v>5</v>
      </c>
      <c r="N650">
        <v>0</v>
      </c>
      <c r="O650" s="7">
        <v>45942</v>
      </c>
      <c r="P650" s="7">
        <v>45945</v>
      </c>
      <c r="Q650" s="7">
        <v>45952</v>
      </c>
      <c r="R650" t="s">
        <v>1049</v>
      </c>
    </row>
    <row r="651" spans="1:18" x14ac:dyDescent="0.3">
      <c r="A651" t="s">
        <v>815</v>
      </c>
      <c r="B651" t="s">
        <v>29</v>
      </c>
      <c r="C651" t="s">
        <v>16</v>
      </c>
      <c r="D651" s="7">
        <v>45949</v>
      </c>
      <c r="E651" s="7">
        <v>45950</v>
      </c>
      <c r="F651" s="7">
        <v>45953</v>
      </c>
      <c r="G651" s="7">
        <v>45956</v>
      </c>
      <c r="H651" t="s">
        <v>752</v>
      </c>
      <c r="I651" t="s">
        <v>758</v>
      </c>
      <c r="K651">
        <v>1</v>
      </c>
      <c r="L651">
        <v>3</v>
      </c>
      <c r="M651">
        <v>3</v>
      </c>
      <c r="O651" s="7">
        <v>45949</v>
      </c>
      <c r="P651" s="7">
        <v>45950</v>
      </c>
      <c r="Q651" s="7">
        <v>45956</v>
      </c>
      <c r="R651" t="s">
        <v>1049</v>
      </c>
    </row>
    <row r="652" spans="1:18" x14ac:dyDescent="0.3">
      <c r="A652" t="s">
        <v>816</v>
      </c>
      <c r="B652" t="s">
        <v>29</v>
      </c>
      <c r="C652" t="s">
        <v>474</v>
      </c>
      <c r="D652" s="7">
        <v>45940</v>
      </c>
      <c r="E652" s="7">
        <v>45941</v>
      </c>
      <c r="F652" s="7">
        <v>45942</v>
      </c>
      <c r="G652" s="7">
        <v>45946</v>
      </c>
      <c r="H652" t="s">
        <v>752</v>
      </c>
      <c r="I652" t="s">
        <v>765</v>
      </c>
      <c r="K652">
        <v>1</v>
      </c>
      <c r="L652">
        <v>1</v>
      </c>
      <c r="M652">
        <v>4</v>
      </c>
      <c r="O652" s="7">
        <v>45940</v>
      </c>
      <c r="P652" s="7">
        <v>45941</v>
      </c>
      <c r="Q652" s="7">
        <v>45946</v>
      </c>
      <c r="R652" t="s">
        <v>1049</v>
      </c>
    </row>
    <row r="653" spans="1:18" x14ac:dyDescent="0.3">
      <c r="A653" t="s">
        <v>817</v>
      </c>
      <c r="B653" t="s">
        <v>22</v>
      </c>
      <c r="C653" t="s">
        <v>16</v>
      </c>
      <c r="D653" s="7">
        <v>45953</v>
      </c>
      <c r="E653" s="7">
        <v>45957</v>
      </c>
      <c r="F653" s="7">
        <v>45958</v>
      </c>
      <c r="G653" s="7">
        <v>45961</v>
      </c>
      <c r="H653" t="s">
        <v>752</v>
      </c>
      <c r="I653" t="s">
        <v>765</v>
      </c>
      <c r="K653">
        <v>4</v>
      </c>
      <c r="L653">
        <v>1</v>
      </c>
      <c r="M653">
        <v>3</v>
      </c>
      <c r="O653" s="7">
        <v>45953</v>
      </c>
      <c r="P653" s="7">
        <v>45957</v>
      </c>
      <c r="Q653" s="7">
        <v>45961</v>
      </c>
      <c r="R653" t="s">
        <v>1049</v>
      </c>
    </row>
    <row r="654" spans="1:18" x14ac:dyDescent="0.3">
      <c r="A654" t="s">
        <v>964</v>
      </c>
      <c r="B654" t="s">
        <v>29</v>
      </c>
      <c r="C654" t="s">
        <v>841</v>
      </c>
      <c r="D654" s="7">
        <v>45940</v>
      </c>
      <c r="H654" t="s">
        <v>752</v>
      </c>
      <c r="I654" t="s">
        <v>777</v>
      </c>
      <c r="O654" s="7">
        <v>45940</v>
      </c>
      <c r="R654" t="s">
        <v>1050</v>
      </c>
    </row>
    <row r="655" spans="1:18" x14ac:dyDescent="0.3">
      <c r="A655" t="s">
        <v>608</v>
      </c>
      <c r="B655" t="s">
        <v>29</v>
      </c>
      <c r="C655" t="s">
        <v>474</v>
      </c>
      <c r="D655" s="7">
        <v>45931</v>
      </c>
      <c r="E655" s="7">
        <v>45934</v>
      </c>
      <c r="F655" s="7">
        <v>45935</v>
      </c>
      <c r="G655" s="7">
        <v>45940</v>
      </c>
      <c r="H655" t="s">
        <v>17</v>
      </c>
      <c r="J655" s="7">
        <v>45957</v>
      </c>
      <c r="K655">
        <v>3</v>
      </c>
      <c r="L655">
        <v>1</v>
      </c>
      <c r="M655">
        <v>5</v>
      </c>
      <c r="N655">
        <v>3</v>
      </c>
      <c r="O655" s="7">
        <v>45931</v>
      </c>
      <c r="P655" s="7">
        <v>45934</v>
      </c>
      <c r="Q655" s="7">
        <v>45940</v>
      </c>
      <c r="R655" t="s">
        <v>1049</v>
      </c>
    </row>
    <row r="656" spans="1:18" x14ac:dyDescent="0.3">
      <c r="A656" t="s">
        <v>965</v>
      </c>
      <c r="B656" t="s">
        <v>15</v>
      </c>
      <c r="C656" t="s">
        <v>841</v>
      </c>
      <c r="D656" s="7">
        <v>45957</v>
      </c>
      <c r="H656" t="s">
        <v>752</v>
      </c>
      <c r="I656" t="s">
        <v>756</v>
      </c>
      <c r="O656" s="7">
        <v>45957</v>
      </c>
      <c r="R656" t="s">
        <v>1050</v>
      </c>
    </row>
    <row r="657" spans="1:18" x14ac:dyDescent="0.3">
      <c r="A657" t="s">
        <v>966</v>
      </c>
      <c r="B657" t="s">
        <v>22</v>
      </c>
      <c r="C657" t="s">
        <v>841</v>
      </c>
      <c r="D657" s="7">
        <v>45952</v>
      </c>
      <c r="H657" t="s">
        <v>752</v>
      </c>
      <c r="I657" t="s">
        <v>765</v>
      </c>
      <c r="O657" s="7">
        <v>45952</v>
      </c>
      <c r="R657" t="s">
        <v>1050</v>
      </c>
    </row>
    <row r="658" spans="1:18" x14ac:dyDescent="0.3">
      <c r="A658" t="s">
        <v>722</v>
      </c>
      <c r="B658" t="s">
        <v>27</v>
      </c>
      <c r="C658" t="s">
        <v>474</v>
      </c>
      <c r="D658" s="7">
        <v>45943</v>
      </c>
      <c r="E658" s="7">
        <v>45948</v>
      </c>
      <c r="F658" s="7">
        <v>45952</v>
      </c>
      <c r="G658" s="7">
        <v>45959</v>
      </c>
      <c r="H658" t="s">
        <v>17</v>
      </c>
      <c r="J658" s="7">
        <v>45980</v>
      </c>
      <c r="K658">
        <v>5</v>
      </c>
      <c r="L658">
        <v>4</v>
      </c>
      <c r="M658">
        <v>7</v>
      </c>
      <c r="N658">
        <v>2</v>
      </c>
      <c r="O658" s="7">
        <v>45943</v>
      </c>
      <c r="P658" s="7">
        <v>45948</v>
      </c>
      <c r="Q658" s="7">
        <v>45959</v>
      </c>
      <c r="R658" t="s">
        <v>1049</v>
      </c>
    </row>
    <row r="659" spans="1:18" x14ac:dyDescent="0.3">
      <c r="A659" t="s">
        <v>818</v>
      </c>
      <c r="B659" t="s">
        <v>29</v>
      </c>
      <c r="C659" t="s">
        <v>16</v>
      </c>
      <c r="D659" s="7">
        <v>45939</v>
      </c>
      <c r="E659" s="7">
        <v>45941</v>
      </c>
      <c r="F659" s="7">
        <v>45945</v>
      </c>
      <c r="G659" s="7">
        <v>45949</v>
      </c>
      <c r="H659" t="s">
        <v>752</v>
      </c>
      <c r="I659" t="s">
        <v>758</v>
      </c>
      <c r="K659">
        <v>2</v>
      </c>
      <c r="L659">
        <v>4</v>
      </c>
      <c r="M659">
        <v>4</v>
      </c>
      <c r="O659" s="7">
        <v>45939</v>
      </c>
      <c r="P659" s="7">
        <v>45941</v>
      </c>
      <c r="Q659" s="7">
        <v>45949</v>
      </c>
      <c r="R659" t="s">
        <v>1049</v>
      </c>
    </row>
    <row r="660" spans="1:18" x14ac:dyDescent="0.3">
      <c r="A660" t="s">
        <v>819</v>
      </c>
      <c r="B660" t="s">
        <v>22</v>
      </c>
      <c r="C660" t="s">
        <v>16</v>
      </c>
      <c r="D660" s="7">
        <v>45931</v>
      </c>
      <c r="E660" s="7">
        <v>45932</v>
      </c>
      <c r="F660" s="7">
        <v>45936</v>
      </c>
      <c r="G660" s="7">
        <v>45940</v>
      </c>
      <c r="H660" t="s">
        <v>752</v>
      </c>
      <c r="I660" t="s">
        <v>765</v>
      </c>
      <c r="K660">
        <v>1</v>
      </c>
      <c r="L660">
        <v>4</v>
      </c>
      <c r="M660">
        <v>4</v>
      </c>
      <c r="O660" s="7">
        <v>45931</v>
      </c>
      <c r="P660" s="7">
        <v>45932</v>
      </c>
      <c r="Q660" s="7">
        <v>45940</v>
      </c>
      <c r="R660" t="s">
        <v>1049</v>
      </c>
    </row>
    <row r="661" spans="1:18" x14ac:dyDescent="0.3">
      <c r="A661" t="s">
        <v>445</v>
      </c>
      <c r="B661" t="s">
        <v>15</v>
      </c>
      <c r="C661" t="s">
        <v>16</v>
      </c>
      <c r="D661" s="7">
        <v>45949</v>
      </c>
      <c r="E661" s="7">
        <v>45951</v>
      </c>
      <c r="F661" s="7">
        <v>45956</v>
      </c>
      <c r="G661" s="7">
        <v>45958</v>
      </c>
      <c r="H661" t="s">
        <v>17</v>
      </c>
      <c r="J661" s="7">
        <v>45975</v>
      </c>
      <c r="K661">
        <v>2</v>
      </c>
      <c r="L661">
        <v>5</v>
      </c>
      <c r="M661">
        <v>2</v>
      </c>
      <c r="N661">
        <v>2</v>
      </c>
      <c r="O661" s="7">
        <v>45949</v>
      </c>
      <c r="P661" s="7">
        <v>45951</v>
      </c>
      <c r="Q661" s="7">
        <v>45958</v>
      </c>
      <c r="R661" t="s">
        <v>1049</v>
      </c>
    </row>
    <row r="662" spans="1:18" x14ac:dyDescent="0.3">
      <c r="A662" t="s">
        <v>193</v>
      </c>
      <c r="B662" t="s">
        <v>27</v>
      </c>
      <c r="C662" t="s">
        <v>16</v>
      </c>
      <c r="D662" s="7">
        <v>45958</v>
      </c>
      <c r="E662" s="7">
        <v>45963</v>
      </c>
      <c r="F662" s="7">
        <v>45967</v>
      </c>
      <c r="G662" s="7">
        <v>45973</v>
      </c>
      <c r="H662" t="s">
        <v>17</v>
      </c>
      <c r="J662" s="7">
        <v>45992</v>
      </c>
      <c r="K662">
        <v>5</v>
      </c>
      <c r="L662">
        <v>4</v>
      </c>
      <c r="M662">
        <v>6</v>
      </c>
      <c r="N662">
        <v>1</v>
      </c>
      <c r="O662" s="7">
        <v>45958</v>
      </c>
      <c r="P662" s="7">
        <v>45963</v>
      </c>
      <c r="Q662" s="7">
        <v>45973</v>
      </c>
      <c r="R662" t="s">
        <v>1049</v>
      </c>
    </row>
    <row r="663" spans="1:18" x14ac:dyDescent="0.3">
      <c r="A663" t="s">
        <v>288</v>
      </c>
      <c r="B663" t="s">
        <v>22</v>
      </c>
      <c r="C663" t="s">
        <v>16</v>
      </c>
      <c r="D663" s="7">
        <v>45952</v>
      </c>
      <c r="E663" s="7">
        <v>45956</v>
      </c>
      <c r="F663" s="7">
        <v>45957</v>
      </c>
      <c r="G663" s="7">
        <v>45961</v>
      </c>
      <c r="H663" t="s">
        <v>17</v>
      </c>
      <c r="J663" s="7">
        <v>45984</v>
      </c>
      <c r="K663">
        <v>4</v>
      </c>
      <c r="L663">
        <v>1</v>
      </c>
      <c r="M663">
        <v>4</v>
      </c>
      <c r="N663">
        <v>9</v>
      </c>
      <c r="O663" s="7">
        <v>45952</v>
      </c>
      <c r="P663" s="7">
        <v>45956</v>
      </c>
      <c r="Q663" s="7">
        <v>45961</v>
      </c>
      <c r="R663" t="s">
        <v>1049</v>
      </c>
    </row>
    <row r="664" spans="1:18" x14ac:dyDescent="0.3">
      <c r="A664" t="s">
        <v>375</v>
      </c>
      <c r="B664" t="s">
        <v>27</v>
      </c>
      <c r="C664" t="s">
        <v>16</v>
      </c>
      <c r="D664" s="7">
        <v>45955</v>
      </c>
      <c r="E664" s="7">
        <v>45956</v>
      </c>
      <c r="F664" s="7">
        <v>45957</v>
      </c>
      <c r="G664" s="7">
        <v>45959</v>
      </c>
      <c r="H664" t="s">
        <v>17</v>
      </c>
      <c r="J664" s="7">
        <v>45979</v>
      </c>
      <c r="K664">
        <v>1</v>
      </c>
      <c r="L664">
        <v>1</v>
      </c>
      <c r="M664">
        <v>2</v>
      </c>
      <c r="N664">
        <v>5</v>
      </c>
      <c r="O664" s="7">
        <v>45955</v>
      </c>
      <c r="P664" s="7">
        <v>45956</v>
      </c>
      <c r="Q664" s="7">
        <v>45959</v>
      </c>
      <c r="R664" t="s">
        <v>1049</v>
      </c>
    </row>
    <row r="665" spans="1:18" x14ac:dyDescent="0.3">
      <c r="A665" t="s">
        <v>446</v>
      </c>
      <c r="B665" t="s">
        <v>27</v>
      </c>
      <c r="C665" t="s">
        <v>16</v>
      </c>
      <c r="D665" s="7">
        <v>45954</v>
      </c>
      <c r="E665" s="7">
        <v>45956</v>
      </c>
      <c r="F665" s="7">
        <v>45958</v>
      </c>
      <c r="G665" s="7">
        <v>45964</v>
      </c>
      <c r="H665" t="s">
        <v>17</v>
      </c>
      <c r="J665" s="7">
        <v>45985</v>
      </c>
      <c r="K665">
        <v>2</v>
      </c>
      <c r="L665">
        <v>2</v>
      </c>
      <c r="M665">
        <v>6</v>
      </c>
      <c r="N665">
        <v>4</v>
      </c>
      <c r="O665" s="7">
        <v>45954</v>
      </c>
      <c r="P665" s="7">
        <v>45956</v>
      </c>
      <c r="Q665" s="7">
        <v>45964</v>
      </c>
      <c r="R665" t="s">
        <v>1049</v>
      </c>
    </row>
    <row r="666" spans="1:18" x14ac:dyDescent="0.3">
      <c r="A666" t="s">
        <v>376</v>
      </c>
      <c r="B666" t="s">
        <v>27</v>
      </c>
      <c r="C666" t="s">
        <v>16</v>
      </c>
      <c r="D666" s="7">
        <v>45932</v>
      </c>
      <c r="E666" s="7">
        <v>45933</v>
      </c>
      <c r="F666" s="7">
        <v>45934</v>
      </c>
      <c r="G666" s="7">
        <v>45941</v>
      </c>
      <c r="H666" t="s">
        <v>17</v>
      </c>
      <c r="J666" s="7">
        <v>45959</v>
      </c>
      <c r="K666">
        <v>1</v>
      </c>
      <c r="L666">
        <v>1</v>
      </c>
      <c r="M666">
        <v>7</v>
      </c>
      <c r="N666">
        <v>9</v>
      </c>
      <c r="O666" s="7">
        <v>45932</v>
      </c>
      <c r="P666" s="7">
        <v>45933</v>
      </c>
      <c r="Q666" s="7">
        <v>45941</v>
      </c>
      <c r="R666" t="s">
        <v>1049</v>
      </c>
    </row>
    <row r="667" spans="1:18" x14ac:dyDescent="0.3">
      <c r="A667" t="s">
        <v>447</v>
      </c>
      <c r="B667" t="s">
        <v>29</v>
      </c>
      <c r="C667" t="s">
        <v>16</v>
      </c>
      <c r="D667" s="7">
        <v>45960</v>
      </c>
      <c r="E667" s="7">
        <v>45962</v>
      </c>
      <c r="F667" s="7">
        <v>45966</v>
      </c>
      <c r="G667" s="7">
        <v>45968</v>
      </c>
      <c r="H667" t="s">
        <v>17</v>
      </c>
      <c r="J667" s="7">
        <v>45996</v>
      </c>
      <c r="K667">
        <v>2</v>
      </c>
      <c r="L667">
        <v>4</v>
      </c>
      <c r="M667">
        <v>2</v>
      </c>
      <c r="N667">
        <v>2</v>
      </c>
      <c r="O667" s="7">
        <v>45960</v>
      </c>
      <c r="P667" s="7">
        <v>45962</v>
      </c>
      <c r="Q667" s="7">
        <v>45968</v>
      </c>
      <c r="R667" t="s">
        <v>1049</v>
      </c>
    </row>
    <row r="668" spans="1:18" x14ac:dyDescent="0.3">
      <c r="A668" t="s">
        <v>95</v>
      </c>
      <c r="B668" t="s">
        <v>29</v>
      </c>
      <c r="C668" t="s">
        <v>16</v>
      </c>
      <c r="D668" s="7">
        <v>45950</v>
      </c>
      <c r="E668" s="7">
        <v>45953</v>
      </c>
      <c r="F668" s="7">
        <v>45957</v>
      </c>
      <c r="G668" s="7">
        <v>45960</v>
      </c>
      <c r="H668" t="s">
        <v>17</v>
      </c>
      <c r="J668" s="7">
        <v>45979</v>
      </c>
      <c r="K668">
        <v>3</v>
      </c>
      <c r="L668">
        <v>4</v>
      </c>
      <c r="M668">
        <v>3</v>
      </c>
      <c r="N668">
        <v>7</v>
      </c>
      <c r="O668" s="7">
        <v>45950</v>
      </c>
      <c r="P668" s="7">
        <v>45953</v>
      </c>
      <c r="Q668" s="7">
        <v>45960</v>
      </c>
      <c r="R668" t="s">
        <v>1049</v>
      </c>
    </row>
    <row r="669" spans="1:18" x14ac:dyDescent="0.3">
      <c r="A669" t="s">
        <v>96</v>
      </c>
      <c r="B669" t="s">
        <v>15</v>
      </c>
      <c r="C669" t="s">
        <v>16</v>
      </c>
      <c r="D669" s="7">
        <v>45954</v>
      </c>
      <c r="E669" s="7">
        <v>45957</v>
      </c>
      <c r="F669" s="7">
        <v>45960</v>
      </c>
      <c r="G669" s="7">
        <v>45963</v>
      </c>
      <c r="H669" t="s">
        <v>17</v>
      </c>
      <c r="J669" s="7">
        <v>45987</v>
      </c>
      <c r="K669">
        <v>3</v>
      </c>
      <c r="L669">
        <v>3</v>
      </c>
      <c r="M669">
        <v>3</v>
      </c>
      <c r="N669">
        <v>0</v>
      </c>
      <c r="O669" s="7">
        <v>45954</v>
      </c>
      <c r="P669" s="7">
        <v>45957</v>
      </c>
      <c r="Q669" s="7">
        <v>45963</v>
      </c>
      <c r="R669" t="s">
        <v>1049</v>
      </c>
    </row>
    <row r="670" spans="1:18" x14ac:dyDescent="0.3">
      <c r="A670" t="s">
        <v>609</v>
      </c>
      <c r="B670" t="s">
        <v>15</v>
      </c>
      <c r="C670" t="s">
        <v>474</v>
      </c>
      <c r="D670" s="7">
        <v>45946</v>
      </c>
      <c r="E670" s="7">
        <v>45950</v>
      </c>
      <c r="F670" s="7">
        <v>45955</v>
      </c>
      <c r="G670" s="7">
        <v>45961</v>
      </c>
      <c r="H670" t="s">
        <v>17</v>
      </c>
      <c r="J670" s="7">
        <v>45974</v>
      </c>
      <c r="K670">
        <v>4</v>
      </c>
      <c r="L670">
        <v>5</v>
      </c>
      <c r="M670">
        <v>6</v>
      </c>
      <c r="N670">
        <v>2</v>
      </c>
      <c r="O670" s="7">
        <v>45946</v>
      </c>
      <c r="P670" s="7">
        <v>45950</v>
      </c>
      <c r="Q670" s="7">
        <v>45961</v>
      </c>
      <c r="R670" t="s">
        <v>1049</v>
      </c>
    </row>
    <row r="671" spans="1:18" x14ac:dyDescent="0.3">
      <c r="A671" t="s">
        <v>820</v>
      </c>
      <c r="B671" t="s">
        <v>22</v>
      </c>
      <c r="C671" t="s">
        <v>474</v>
      </c>
      <c r="D671" s="7">
        <v>45957</v>
      </c>
      <c r="E671" s="7">
        <v>45962</v>
      </c>
      <c r="F671" s="7">
        <v>45963</v>
      </c>
      <c r="G671" s="7">
        <v>45965</v>
      </c>
      <c r="H671" t="s">
        <v>752</v>
      </c>
      <c r="I671" t="s">
        <v>758</v>
      </c>
      <c r="K671">
        <v>5</v>
      </c>
      <c r="L671">
        <v>1</v>
      </c>
      <c r="M671">
        <v>2</v>
      </c>
      <c r="O671" s="7">
        <v>45957</v>
      </c>
      <c r="P671" s="7">
        <v>45962</v>
      </c>
      <c r="Q671" s="7">
        <v>45965</v>
      </c>
      <c r="R671" t="s">
        <v>1049</v>
      </c>
    </row>
    <row r="672" spans="1:18" x14ac:dyDescent="0.3">
      <c r="A672" t="s">
        <v>967</v>
      </c>
      <c r="B672" t="s">
        <v>15</v>
      </c>
      <c r="C672" t="s">
        <v>841</v>
      </c>
      <c r="D672" s="7">
        <v>45959</v>
      </c>
      <c r="H672" t="s">
        <v>752</v>
      </c>
      <c r="I672" t="s">
        <v>753</v>
      </c>
      <c r="O672" s="7">
        <v>45959</v>
      </c>
      <c r="R672" t="s">
        <v>1050</v>
      </c>
    </row>
    <row r="673" spans="1:18" x14ac:dyDescent="0.3">
      <c r="A673" t="s">
        <v>377</v>
      </c>
      <c r="B673" t="s">
        <v>27</v>
      </c>
      <c r="C673" t="s">
        <v>16</v>
      </c>
      <c r="D673" s="7">
        <v>45959</v>
      </c>
      <c r="E673" s="7">
        <v>45960</v>
      </c>
      <c r="F673" s="7">
        <v>45965</v>
      </c>
      <c r="G673" s="7">
        <v>45970</v>
      </c>
      <c r="H673" t="s">
        <v>17</v>
      </c>
      <c r="J673" s="7">
        <v>45995</v>
      </c>
      <c r="K673">
        <v>1</v>
      </c>
      <c r="L673">
        <v>5</v>
      </c>
      <c r="M673">
        <v>5</v>
      </c>
      <c r="N673">
        <v>0</v>
      </c>
      <c r="O673" s="7">
        <v>45959</v>
      </c>
      <c r="P673" s="7">
        <v>45960</v>
      </c>
      <c r="Q673" s="7">
        <v>45970</v>
      </c>
      <c r="R673" t="s">
        <v>1049</v>
      </c>
    </row>
    <row r="674" spans="1:18" x14ac:dyDescent="0.3">
      <c r="A674" t="s">
        <v>723</v>
      </c>
      <c r="B674" t="s">
        <v>27</v>
      </c>
      <c r="C674" t="s">
        <v>474</v>
      </c>
      <c r="D674" s="7">
        <v>45940</v>
      </c>
      <c r="E674" s="7">
        <v>45945</v>
      </c>
      <c r="F674" s="7">
        <v>45946</v>
      </c>
      <c r="G674" s="7">
        <v>45948</v>
      </c>
      <c r="H674" t="s">
        <v>17</v>
      </c>
      <c r="J674" s="7">
        <v>45959</v>
      </c>
      <c r="K674">
        <v>5</v>
      </c>
      <c r="L674">
        <v>1</v>
      </c>
      <c r="M674">
        <v>2</v>
      </c>
      <c r="N674">
        <v>6</v>
      </c>
      <c r="O674" s="7">
        <v>45940</v>
      </c>
      <c r="P674" s="7">
        <v>45945</v>
      </c>
      <c r="Q674" s="7">
        <v>45948</v>
      </c>
      <c r="R674" t="s">
        <v>1049</v>
      </c>
    </row>
    <row r="675" spans="1:18" x14ac:dyDescent="0.3">
      <c r="A675" t="s">
        <v>610</v>
      </c>
      <c r="B675" t="s">
        <v>29</v>
      </c>
      <c r="C675" t="s">
        <v>474</v>
      </c>
      <c r="D675" s="7">
        <v>45955</v>
      </c>
      <c r="E675" s="7">
        <v>45957</v>
      </c>
      <c r="F675" s="7">
        <v>45959</v>
      </c>
      <c r="G675" s="7">
        <v>45964</v>
      </c>
      <c r="H675" t="s">
        <v>17</v>
      </c>
      <c r="J675" s="7">
        <v>45994</v>
      </c>
      <c r="K675">
        <v>2</v>
      </c>
      <c r="L675">
        <v>2</v>
      </c>
      <c r="M675">
        <v>5</v>
      </c>
      <c r="N675">
        <v>10</v>
      </c>
      <c r="O675" s="7">
        <v>45955</v>
      </c>
      <c r="P675" s="7">
        <v>45957</v>
      </c>
      <c r="Q675" s="7">
        <v>45964</v>
      </c>
      <c r="R675" t="s">
        <v>1049</v>
      </c>
    </row>
    <row r="676" spans="1:18" x14ac:dyDescent="0.3">
      <c r="A676" t="s">
        <v>611</v>
      </c>
      <c r="B676" t="s">
        <v>27</v>
      </c>
      <c r="C676" t="s">
        <v>474</v>
      </c>
      <c r="D676" s="7">
        <v>45956</v>
      </c>
      <c r="E676" s="7">
        <v>45960</v>
      </c>
      <c r="F676" s="7">
        <v>45962</v>
      </c>
      <c r="G676" s="7">
        <v>45966</v>
      </c>
      <c r="H676" t="s">
        <v>17</v>
      </c>
      <c r="J676" s="7">
        <v>45994</v>
      </c>
      <c r="K676">
        <v>4</v>
      </c>
      <c r="L676">
        <v>2</v>
      </c>
      <c r="M676">
        <v>4</v>
      </c>
      <c r="N676">
        <v>8</v>
      </c>
      <c r="O676" s="7">
        <v>45956</v>
      </c>
      <c r="P676" s="7">
        <v>45960</v>
      </c>
      <c r="Q676" s="7">
        <v>45966</v>
      </c>
      <c r="R676" t="s">
        <v>1049</v>
      </c>
    </row>
    <row r="677" spans="1:18" x14ac:dyDescent="0.3">
      <c r="A677" t="s">
        <v>968</v>
      </c>
      <c r="B677" t="s">
        <v>22</v>
      </c>
      <c r="C677" t="s">
        <v>841</v>
      </c>
      <c r="D677" s="7">
        <v>45938</v>
      </c>
      <c r="H677" t="s">
        <v>752</v>
      </c>
      <c r="I677" t="s">
        <v>753</v>
      </c>
      <c r="O677" s="7">
        <v>45938</v>
      </c>
      <c r="R677" t="s">
        <v>1050</v>
      </c>
    </row>
    <row r="678" spans="1:18" x14ac:dyDescent="0.3">
      <c r="A678" t="s">
        <v>97</v>
      </c>
      <c r="B678" t="s">
        <v>27</v>
      </c>
      <c r="C678" t="s">
        <v>16</v>
      </c>
      <c r="D678" s="7">
        <v>45950</v>
      </c>
      <c r="E678" s="7">
        <v>45953</v>
      </c>
      <c r="F678" s="7">
        <v>45958</v>
      </c>
      <c r="G678" s="7">
        <v>45962</v>
      </c>
      <c r="H678" t="s">
        <v>17</v>
      </c>
      <c r="J678" s="7">
        <v>45990</v>
      </c>
      <c r="K678">
        <v>3</v>
      </c>
      <c r="L678">
        <v>5</v>
      </c>
      <c r="M678">
        <v>4</v>
      </c>
      <c r="N678">
        <v>10</v>
      </c>
      <c r="O678" s="7">
        <v>45950</v>
      </c>
      <c r="P678" s="7">
        <v>45953</v>
      </c>
      <c r="Q678" s="7">
        <v>45962</v>
      </c>
      <c r="R678" t="s">
        <v>1049</v>
      </c>
    </row>
    <row r="679" spans="1:18" x14ac:dyDescent="0.3">
      <c r="A679" t="s">
        <v>969</v>
      </c>
      <c r="B679" t="s">
        <v>27</v>
      </c>
      <c r="C679" t="s">
        <v>841</v>
      </c>
      <c r="D679" s="7">
        <v>45956</v>
      </c>
      <c r="H679" t="s">
        <v>752</v>
      </c>
      <c r="I679" t="s">
        <v>758</v>
      </c>
      <c r="O679" s="7">
        <v>45956</v>
      </c>
      <c r="R679" t="s">
        <v>1050</v>
      </c>
    </row>
    <row r="680" spans="1:18" x14ac:dyDescent="0.3">
      <c r="A680" t="s">
        <v>821</v>
      </c>
      <c r="B680" t="s">
        <v>22</v>
      </c>
      <c r="C680" t="s">
        <v>16</v>
      </c>
      <c r="D680" s="7">
        <v>45942</v>
      </c>
      <c r="E680" s="7">
        <v>45945</v>
      </c>
      <c r="F680" s="7">
        <v>45949</v>
      </c>
      <c r="G680" s="7">
        <v>45953</v>
      </c>
      <c r="H680" t="s">
        <v>752</v>
      </c>
      <c r="I680" t="s">
        <v>756</v>
      </c>
      <c r="K680">
        <v>3</v>
      </c>
      <c r="L680">
        <v>4</v>
      </c>
      <c r="M680">
        <v>4</v>
      </c>
      <c r="O680" s="7">
        <v>45942</v>
      </c>
      <c r="P680" s="7">
        <v>45945</v>
      </c>
      <c r="Q680" s="7">
        <v>45953</v>
      </c>
      <c r="R680" t="s">
        <v>1049</v>
      </c>
    </row>
    <row r="681" spans="1:18" x14ac:dyDescent="0.3">
      <c r="A681" t="s">
        <v>289</v>
      </c>
      <c r="B681" t="s">
        <v>15</v>
      </c>
      <c r="C681" t="s">
        <v>16</v>
      </c>
      <c r="D681" s="7">
        <v>45938</v>
      </c>
      <c r="E681" s="7">
        <v>45942</v>
      </c>
      <c r="F681" s="7">
        <v>45945</v>
      </c>
      <c r="G681" s="7">
        <v>45947</v>
      </c>
      <c r="H681" t="s">
        <v>17</v>
      </c>
      <c r="J681" s="7">
        <v>45976</v>
      </c>
      <c r="K681">
        <v>4</v>
      </c>
      <c r="L681">
        <v>3</v>
      </c>
      <c r="M681">
        <v>2</v>
      </c>
      <c r="N681">
        <v>10</v>
      </c>
      <c r="O681" s="7">
        <v>45938</v>
      </c>
      <c r="P681" s="7">
        <v>45942</v>
      </c>
      <c r="Q681" s="7">
        <v>45947</v>
      </c>
      <c r="R681" t="s">
        <v>1049</v>
      </c>
    </row>
    <row r="682" spans="1:18" x14ac:dyDescent="0.3">
      <c r="A682" t="s">
        <v>378</v>
      </c>
      <c r="B682" t="s">
        <v>15</v>
      </c>
      <c r="C682" t="s">
        <v>16</v>
      </c>
      <c r="D682" s="7">
        <v>45951</v>
      </c>
      <c r="E682" s="7">
        <v>45952</v>
      </c>
      <c r="F682" s="7">
        <v>45953</v>
      </c>
      <c r="G682" s="7">
        <v>45959</v>
      </c>
      <c r="H682" t="s">
        <v>17</v>
      </c>
      <c r="J682" s="7">
        <v>45971</v>
      </c>
      <c r="K682">
        <v>1</v>
      </c>
      <c r="L682">
        <v>1</v>
      </c>
      <c r="M682">
        <v>6</v>
      </c>
      <c r="N682">
        <v>2</v>
      </c>
      <c r="O682" s="7">
        <v>45951</v>
      </c>
      <c r="P682" s="7">
        <v>45952</v>
      </c>
      <c r="Q682" s="7">
        <v>45959</v>
      </c>
      <c r="R682" t="s">
        <v>1049</v>
      </c>
    </row>
    <row r="683" spans="1:18" x14ac:dyDescent="0.3">
      <c r="A683" t="s">
        <v>194</v>
      </c>
      <c r="B683" t="s">
        <v>22</v>
      </c>
      <c r="C683" t="s">
        <v>16</v>
      </c>
      <c r="D683" s="7">
        <v>45937</v>
      </c>
      <c r="E683" s="7">
        <v>45942</v>
      </c>
      <c r="F683" s="7">
        <v>45943</v>
      </c>
      <c r="G683" s="7">
        <v>45948</v>
      </c>
      <c r="H683" t="s">
        <v>17</v>
      </c>
      <c r="J683" s="7">
        <v>45973</v>
      </c>
      <c r="K683">
        <v>5</v>
      </c>
      <c r="L683">
        <v>1</v>
      </c>
      <c r="M683">
        <v>5</v>
      </c>
      <c r="N683">
        <v>9</v>
      </c>
      <c r="O683" s="7">
        <v>45937</v>
      </c>
      <c r="P683" s="7">
        <v>45942</v>
      </c>
      <c r="Q683" s="7">
        <v>45948</v>
      </c>
      <c r="R683" t="s">
        <v>1049</v>
      </c>
    </row>
    <row r="684" spans="1:18" x14ac:dyDescent="0.3">
      <c r="A684" t="s">
        <v>612</v>
      </c>
      <c r="B684" t="s">
        <v>29</v>
      </c>
      <c r="C684" t="s">
        <v>474</v>
      </c>
      <c r="D684" s="7">
        <v>45950</v>
      </c>
      <c r="E684" s="7">
        <v>45952</v>
      </c>
      <c r="F684" s="7">
        <v>45955</v>
      </c>
      <c r="G684" s="7">
        <v>45957</v>
      </c>
      <c r="H684" t="s">
        <v>17</v>
      </c>
      <c r="J684" s="7">
        <v>45973</v>
      </c>
      <c r="K684">
        <v>2</v>
      </c>
      <c r="L684">
        <v>3</v>
      </c>
      <c r="M684">
        <v>2</v>
      </c>
      <c r="N684">
        <v>8</v>
      </c>
      <c r="O684" s="7">
        <v>45950</v>
      </c>
      <c r="P684" s="7">
        <v>45952</v>
      </c>
      <c r="Q684" s="7">
        <v>45957</v>
      </c>
      <c r="R684" t="s">
        <v>1049</v>
      </c>
    </row>
    <row r="685" spans="1:18" x14ac:dyDescent="0.3">
      <c r="A685" t="s">
        <v>970</v>
      </c>
      <c r="B685" t="s">
        <v>27</v>
      </c>
      <c r="C685" t="s">
        <v>841</v>
      </c>
      <c r="D685" s="7">
        <v>45939</v>
      </c>
      <c r="H685" t="s">
        <v>752</v>
      </c>
      <c r="I685" t="s">
        <v>765</v>
      </c>
      <c r="O685" s="7">
        <v>45939</v>
      </c>
      <c r="R685" t="s">
        <v>1050</v>
      </c>
    </row>
    <row r="686" spans="1:18" x14ac:dyDescent="0.3">
      <c r="A686" t="s">
        <v>971</v>
      </c>
      <c r="B686" t="s">
        <v>22</v>
      </c>
      <c r="C686" t="s">
        <v>841</v>
      </c>
      <c r="D686" s="7">
        <v>45952</v>
      </c>
      <c r="H686" t="s">
        <v>752</v>
      </c>
      <c r="I686" t="s">
        <v>765</v>
      </c>
      <c r="O686" s="7">
        <v>45952</v>
      </c>
      <c r="R686" t="s">
        <v>1050</v>
      </c>
    </row>
    <row r="687" spans="1:18" x14ac:dyDescent="0.3">
      <c r="A687" t="s">
        <v>195</v>
      </c>
      <c r="B687" t="s">
        <v>27</v>
      </c>
      <c r="C687" t="s">
        <v>16</v>
      </c>
      <c r="D687" s="7">
        <v>45955</v>
      </c>
      <c r="E687" s="7">
        <v>45960</v>
      </c>
      <c r="F687" s="7">
        <v>45965</v>
      </c>
      <c r="G687" s="7">
        <v>45969</v>
      </c>
      <c r="H687" t="s">
        <v>17</v>
      </c>
      <c r="J687" s="7">
        <v>45995</v>
      </c>
      <c r="K687">
        <v>5</v>
      </c>
      <c r="L687">
        <v>5</v>
      </c>
      <c r="M687">
        <v>4</v>
      </c>
      <c r="N687">
        <v>5</v>
      </c>
      <c r="O687" s="7">
        <v>45955</v>
      </c>
      <c r="P687" s="7">
        <v>45960</v>
      </c>
      <c r="Q687" s="7">
        <v>45969</v>
      </c>
      <c r="R687" t="s">
        <v>1049</v>
      </c>
    </row>
    <row r="688" spans="1:18" x14ac:dyDescent="0.3">
      <c r="A688" t="s">
        <v>972</v>
      </c>
      <c r="B688" t="s">
        <v>29</v>
      </c>
      <c r="C688" t="s">
        <v>841</v>
      </c>
      <c r="D688" s="7">
        <v>45954</v>
      </c>
      <c r="H688" t="s">
        <v>752</v>
      </c>
      <c r="I688" t="s">
        <v>753</v>
      </c>
      <c r="O688" s="7">
        <v>45954</v>
      </c>
      <c r="R688" t="s">
        <v>1050</v>
      </c>
    </row>
    <row r="689" spans="1:18" x14ac:dyDescent="0.3">
      <c r="A689" t="s">
        <v>973</v>
      </c>
      <c r="B689" t="s">
        <v>27</v>
      </c>
      <c r="C689" t="s">
        <v>841</v>
      </c>
      <c r="D689" s="7">
        <v>45955</v>
      </c>
      <c r="H689" t="s">
        <v>752</v>
      </c>
      <c r="I689" t="s">
        <v>758</v>
      </c>
      <c r="O689" s="7">
        <v>45955</v>
      </c>
      <c r="R689" t="s">
        <v>1050</v>
      </c>
    </row>
    <row r="690" spans="1:18" x14ac:dyDescent="0.3">
      <c r="A690" t="s">
        <v>98</v>
      </c>
      <c r="B690" t="s">
        <v>22</v>
      </c>
      <c r="C690" t="s">
        <v>16</v>
      </c>
      <c r="D690" s="7">
        <v>45952</v>
      </c>
      <c r="E690" s="7">
        <v>45955</v>
      </c>
      <c r="F690" s="7">
        <v>45960</v>
      </c>
      <c r="G690" s="7">
        <v>45963</v>
      </c>
      <c r="H690" t="s">
        <v>17</v>
      </c>
      <c r="J690" s="7">
        <v>45976</v>
      </c>
      <c r="K690">
        <v>3</v>
      </c>
      <c r="L690">
        <v>5</v>
      </c>
      <c r="M690">
        <v>3</v>
      </c>
      <c r="N690">
        <v>5</v>
      </c>
      <c r="O690" s="7">
        <v>45952</v>
      </c>
      <c r="P690" s="7">
        <v>45955</v>
      </c>
      <c r="Q690" s="7">
        <v>45963</v>
      </c>
      <c r="R690" t="s">
        <v>1049</v>
      </c>
    </row>
    <row r="691" spans="1:18" x14ac:dyDescent="0.3">
      <c r="A691" t="s">
        <v>613</v>
      </c>
      <c r="B691" t="s">
        <v>27</v>
      </c>
      <c r="C691" t="s">
        <v>474</v>
      </c>
      <c r="D691" s="7">
        <v>45952</v>
      </c>
      <c r="E691" s="7">
        <v>45956</v>
      </c>
      <c r="F691" s="7">
        <v>45957</v>
      </c>
      <c r="G691" s="7">
        <v>45961</v>
      </c>
      <c r="H691" t="s">
        <v>17</v>
      </c>
      <c r="J691" s="7">
        <v>45983</v>
      </c>
      <c r="K691">
        <v>4</v>
      </c>
      <c r="L691">
        <v>1</v>
      </c>
      <c r="M691">
        <v>4</v>
      </c>
      <c r="N691">
        <v>2</v>
      </c>
      <c r="O691" s="7">
        <v>45952</v>
      </c>
      <c r="P691" s="7">
        <v>45956</v>
      </c>
      <c r="Q691" s="7">
        <v>45961</v>
      </c>
      <c r="R691" t="s">
        <v>1049</v>
      </c>
    </row>
    <row r="692" spans="1:18" x14ac:dyDescent="0.3">
      <c r="A692" t="s">
        <v>99</v>
      </c>
      <c r="B692" t="s">
        <v>15</v>
      </c>
      <c r="C692" t="s">
        <v>16</v>
      </c>
      <c r="D692" s="7">
        <v>45957</v>
      </c>
      <c r="E692" s="7">
        <v>45960</v>
      </c>
      <c r="F692" s="7">
        <v>45962</v>
      </c>
      <c r="G692" s="7">
        <v>45968</v>
      </c>
      <c r="H692" t="s">
        <v>17</v>
      </c>
      <c r="J692" s="7">
        <v>45994</v>
      </c>
      <c r="K692">
        <v>3</v>
      </c>
      <c r="L692">
        <v>2</v>
      </c>
      <c r="M692">
        <v>6</v>
      </c>
      <c r="N692">
        <v>7</v>
      </c>
      <c r="O692" s="7">
        <v>45957</v>
      </c>
      <c r="P692" s="7">
        <v>45960</v>
      </c>
      <c r="Q692" s="7">
        <v>45968</v>
      </c>
      <c r="R692" t="s">
        <v>1049</v>
      </c>
    </row>
    <row r="693" spans="1:18" x14ac:dyDescent="0.3">
      <c r="A693" t="s">
        <v>100</v>
      </c>
      <c r="B693" t="s">
        <v>29</v>
      </c>
      <c r="C693" t="s">
        <v>16</v>
      </c>
      <c r="D693" s="7">
        <v>45935</v>
      </c>
      <c r="E693" s="7">
        <v>45938</v>
      </c>
      <c r="F693" s="7">
        <v>45941</v>
      </c>
      <c r="G693" s="7">
        <v>45945</v>
      </c>
      <c r="H693" t="s">
        <v>17</v>
      </c>
      <c r="J693" s="7">
        <v>45964</v>
      </c>
      <c r="K693">
        <v>3</v>
      </c>
      <c r="L693">
        <v>3</v>
      </c>
      <c r="M693">
        <v>4</v>
      </c>
      <c r="N693">
        <v>3</v>
      </c>
      <c r="O693" s="7">
        <v>45935</v>
      </c>
      <c r="P693" s="7">
        <v>45938</v>
      </c>
      <c r="Q693" s="7">
        <v>45945</v>
      </c>
      <c r="R693" t="s">
        <v>1049</v>
      </c>
    </row>
    <row r="694" spans="1:18" x14ac:dyDescent="0.3">
      <c r="A694" t="s">
        <v>614</v>
      </c>
      <c r="B694" t="s">
        <v>29</v>
      </c>
      <c r="C694" t="s">
        <v>474</v>
      </c>
      <c r="D694" s="7">
        <v>45951</v>
      </c>
      <c r="E694" s="7">
        <v>45953</v>
      </c>
      <c r="F694" s="7">
        <v>45954</v>
      </c>
      <c r="G694" s="7">
        <v>45961</v>
      </c>
      <c r="H694" t="s">
        <v>17</v>
      </c>
      <c r="J694" s="7">
        <v>45984</v>
      </c>
      <c r="K694">
        <v>2</v>
      </c>
      <c r="L694">
        <v>1</v>
      </c>
      <c r="M694">
        <v>7</v>
      </c>
      <c r="N694">
        <v>8</v>
      </c>
      <c r="O694" s="7">
        <v>45951</v>
      </c>
      <c r="P694" s="7">
        <v>45953</v>
      </c>
      <c r="Q694" s="7">
        <v>45961</v>
      </c>
      <c r="R694" t="s">
        <v>1049</v>
      </c>
    </row>
    <row r="695" spans="1:18" x14ac:dyDescent="0.3">
      <c r="A695" t="s">
        <v>615</v>
      </c>
      <c r="B695" t="s">
        <v>29</v>
      </c>
      <c r="C695" t="s">
        <v>474</v>
      </c>
      <c r="D695" s="7">
        <v>45934</v>
      </c>
      <c r="E695" s="7">
        <v>45935</v>
      </c>
      <c r="F695" s="7">
        <v>45937</v>
      </c>
      <c r="G695" s="7">
        <v>45943</v>
      </c>
      <c r="H695" t="s">
        <v>17</v>
      </c>
      <c r="J695" s="7">
        <v>45954</v>
      </c>
      <c r="K695">
        <v>1</v>
      </c>
      <c r="L695">
        <v>2</v>
      </c>
      <c r="M695">
        <v>6</v>
      </c>
      <c r="N695">
        <v>7</v>
      </c>
      <c r="O695" s="7">
        <v>45934</v>
      </c>
      <c r="P695" s="7">
        <v>45935</v>
      </c>
      <c r="Q695" s="7">
        <v>45943</v>
      </c>
      <c r="R695" t="s">
        <v>1049</v>
      </c>
    </row>
    <row r="696" spans="1:18" x14ac:dyDescent="0.3">
      <c r="A696" t="s">
        <v>379</v>
      </c>
      <c r="B696" t="s">
        <v>22</v>
      </c>
      <c r="C696" t="s">
        <v>16</v>
      </c>
      <c r="D696" s="7">
        <v>45959</v>
      </c>
      <c r="E696" s="7">
        <v>45960</v>
      </c>
      <c r="F696" s="7">
        <v>45965</v>
      </c>
      <c r="G696" s="7">
        <v>45968</v>
      </c>
      <c r="H696" t="s">
        <v>17</v>
      </c>
      <c r="J696" s="7">
        <v>45982</v>
      </c>
      <c r="K696">
        <v>1</v>
      </c>
      <c r="L696">
        <v>5</v>
      </c>
      <c r="M696">
        <v>3</v>
      </c>
      <c r="N696">
        <v>2</v>
      </c>
      <c r="O696" s="7">
        <v>45959</v>
      </c>
      <c r="P696" s="7">
        <v>45960</v>
      </c>
      <c r="Q696" s="7">
        <v>45968</v>
      </c>
      <c r="R696" t="s">
        <v>1049</v>
      </c>
    </row>
    <row r="697" spans="1:18" x14ac:dyDescent="0.3">
      <c r="A697" t="s">
        <v>616</v>
      </c>
      <c r="B697" t="s">
        <v>29</v>
      </c>
      <c r="C697" t="s">
        <v>474</v>
      </c>
      <c r="D697" s="7">
        <v>45951</v>
      </c>
      <c r="E697" s="7">
        <v>45953</v>
      </c>
      <c r="F697" s="7">
        <v>45955</v>
      </c>
      <c r="G697" s="7">
        <v>45960</v>
      </c>
      <c r="H697" t="s">
        <v>17</v>
      </c>
      <c r="J697" s="7">
        <v>45974</v>
      </c>
      <c r="K697">
        <v>2</v>
      </c>
      <c r="L697">
        <v>2</v>
      </c>
      <c r="M697">
        <v>5</v>
      </c>
      <c r="N697">
        <v>2</v>
      </c>
      <c r="O697" s="7">
        <v>45951</v>
      </c>
      <c r="P697" s="7">
        <v>45953</v>
      </c>
      <c r="Q697" s="7">
        <v>45960</v>
      </c>
      <c r="R697" t="s">
        <v>1049</v>
      </c>
    </row>
    <row r="698" spans="1:18" x14ac:dyDescent="0.3">
      <c r="A698" t="s">
        <v>290</v>
      </c>
      <c r="B698" t="s">
        <v>15</v>
      </c>
      <c r="C698" t="s">
        <v>16</v>
      </c>
      <c r="D698" s="7">
        <v>45951</v>
      </c>
      <c r="E698" s="7">
        <v>45955</v>
      </c>
      <c r="F698" s="7">
        <v>45959</v>
      </c>
      <c r="G698" s="7">
        <v>45963</v>
      </c>
      <c r="H698" t="s">
        <v>17</v>
      </c>
      <c r="J698" s="7">
        <v>45979</v>
      </c>
      <c r="K698">
        <v>4</v>
      </c>
      <c r="L698">
        <v>4</v>
      </c>
      <c r="M698">
        <v>4</v>
      </c>
      <c r="N698">
        <v>9</v>
      </c>
      <c r="O698" s="7">
        <v>45951</v>
      </c>
      <c r="P698" s="7">
        <v>45955</v>
      </c>
      <c r="Q698" s="7">
        <v>45963</v>
      </c>
      <c r="R698" t="s">
        <v>1049</v>
      </c>
    </row>
    <row r="699" spans="1:18" x14ac:dyDescent="0.3">
      <c r="A699" t="s">
        <v>974</v>
      </c>
      <c r="B699" t="s">
        <v>22</v>
      </c>
      <c r="C699" t="s">
        <v>841</v>
      </c>
      <c r="D699" s="7">
        <v>45932</v>
      </c>
      <c r="H699" t="s">
        <v>752</v>
      </c>
      <c r="I699" t="s">
        <v>765</v>
      </c>
      <c r="O699" s="7">
        <v>45932</v>
      </c>
      <c r="R699" t="s">
        <v>1050</v>
      </c>
    </row>
    <row r="700" spans="1:18" x14ac:dyDescent="0.3">
      <c r="A700" t="s">
        <v>975</v>
      </c>
      <c r="B700" t="s">
        <v>15</v>
      </c>
      <c r="C700" t="s">
        <v>841</v>
      </c>
      <c r="D700" s="7">
        <v>45940</v>
      </c>
      <c r="H700" t="s">
        <v>752</v>
      </c>
      <c r="I700" t="s">
        <v>765</v>
      </c>
      <c r="O700" s="7">
        <v>45940</v>
      </c>
      <c r="R700" t="s">
        <v>1050</v>
      </c>
    </row>
    <row r="701" spans="1:18" x14ac:dyDescent="0.3">
      <c r="A701" t="s">
        <v>724</v>
      </c>
      <c r="B701" t="s">
        <v>27</v>
      </c>
      <c r="C701" t="s">
        <v>474</v>
      </c>
      <c r="D701" s="7">
        <v>45956</v>
      </c>
      <c r="E701" s="7">
        <v>45961</v>
      </c>
      <c r="F701" s="7">
        <v>45962</v>
      </c>
      <c r="G701" s="7">
        <v>45968</v>
      </c>
      <c r="H701" t="s">
        <v>17</v>
      </c>
      <c r="J701" s="7">
        <v>45988</v>
      </c>
      <c r="K701">
        <v>5</v>
      </c>
      <c r="L701">
        <v>1</v>
      </c>
      <c r="M701">
        <v>6</v>
      </c>
      <c r="N701">
        <v>7</v>
      </c>
      <c r="O701" s="7">
        <v>45956</v>
      </c>
      <c r="P701" s="7">
        <v>45961</v>
      </c>
      <c r="Q701" s="7">
        <v>45968</v>
      </c>
      <c r="R701" t="s">
        <v>1049</v>
      </c>
    </row>
    <row r="702" spans="1:18" x14ac:dyDescent="0.3">
      <c r="A702" t="s">
        <v>976</v>
      </c>
      <c r="B702" t="s">
        <v>27</v>
      </c>
      <c r="C702" t="s">
        <v>841</v>
      </c>
      <c r="D702" s="7">
        <v>45945</v>
      </c>
      <c r="H702" t="s">
        <v>752</v>
      </c>
      <c r="I702" t="s">
        <v>756</v>
      </c>
      <c r="O702" s="7">
        <v>45945</v>
      </c>
      <c r="R702" t="s">
        <v>1050</v>
      </c>
    </row>
    <row r="703" spans="1:18" x14ac:dyDescent="0.3">
      <c r="A703" t="s">
        <v>617</v>
      </c>
      <c r="B703" t="s">
        <v>27</v>
      </c>
      <c r="C703" t="s">
        <v>474</v>
      </c>
      <c r="D703" s="7">
        <v>45932</v>
      </c>
      <c r="E703" s="7">
        <v>45936</v>
      </c>
      <c r="F703" s="7">
        <v>45939</v>
      </c>
      <c r="G703" s="7">
        <v>45944</v>
      </c>
      <c r="H703" t="s">
        <v>17</v>
      </c>
      <c r="J703" s="7">
        <v>45967</v>
      </c>
      <c r="K703">
        <v>4</v>
      </c>
      <c r="L703">
        <v>3</v>
      </c>
      <c r="M703">
        <v>5</v>
      </c>
      <c r="N703">
        <v>9</v>
      </c>
      <c r="O703" s="7">
        <v>45932</v>
      </c>
      <c r="P703" s="7">
        <v>45936</v>
      </c>
      <c r="Q703" s="7">
        <v>45944</v>
      </c>
      <c r="R703" t="s">
        <v>1049</v>
      </c>
    </row>
    <row r="704" spans="1:18" x14ac:dyDescent="0.3">
      <c r="A704" t="s">
        <v>822</v>
      </c>
      <c r="B704" t="s">
        <v>27</v>
      </c>
      <c r="C704" t="s">
        <v>474</v>
      </c>
      <c r="D704" s="7">
        <v>45949</v>
      </c>
      <c r="E704" s="7">
        <v>45954</v>
      </c>
      <c r="F704" s="7">
        <v>45956</v>
      </c>
      <c r="G704" s="7">
        <v>45959</v>
      </c>
      <c r="H704" t="s">
        <v>752</v>
      </c>
      <c r="I704" t="s">
        <v>777</v>
      </c>
      <c r="K704">
        <v>5</v>
      </c>
      <c r="L704">
        <v>2</v>
      </c>
      <c r="M704">
        <v>3</v>
      </c>
      <c r="O704" s="7">
        <v>45949</v>
      </c>
      <c r="P704" s="7">
        <v>45954</v>
      </c>
      <c r="Q704" s="7">
        <v>45959</v>
      </c>
      <c r="R704" t="s">
        <v>1049</v>
      </c>
    </row>
    <row r="705" spans="1:18" x14ac:dyDescent="0.3">
      <c r="A705" t="s">
        <v>380</v>
      </c>
      <c r="B705" t="s">
        <v>15</v>
      </c>
      <c r="C705" t="s">
        <v>16</v>
      </c>
      <c r="D705" s="7">
        <v>45942</v>
      </c>
      <c r="E705" s="7">
        <v>45943</v>
      </c>
      <c r="F705" s="7">
        <v>45948</v>
      </c>
      <c r="G705" s="7">
        <v>45955</v>
      </c>
      <c r="H705" t="s">
        <v>17</v>
      </c>
      <c r="J705" s="7">
        <v>45983</v>
      </c>
      <c r="K705">
        <v>1</v>
      </c>
      <c r="L705">
        <v>5</v>
      </c>
      <c r="M705">
        <v>7</v>
      </c>
      <c r="N705">
        <v>2</v>
      </c>
      <c r="O705" s="7">
        <v>45942</v>
      </c>
      <c r="P705" s="7">
        <v>45943</v>
      </c>
      <c r="Q705" s="7">
        <v>45955</v>
      </c>
      <c r="R705" t="s">
        <v>1049</v>
      </c>
    </row>
    <row r="706" spans="1:18" x14ac:dyDescent="0.3">
      <c r="A706" t="s">
        <v>101</v>
      </c>
      <c r="B706" t="s">
        <v>22</v>
      </c>
      <c r="C706" t="s">
        <v>16</v>
      </c>
      <c r="D706" s="7">
        <v>45954</v>
      </c>
      <c r="E706" s="7">
        <v>45957</v>
      </c>
      <c r="F706" s="7">
        <v>45959</v>
      </c>
      <c r="G706" s="7">
        <v>45965</v>
      </c>
      <c r="H706" t="s">
        <v>17</v>
      </c>
      <c r="J706" s="7">
        <v>45989</v>
      </c>
      <c r="K706">
        <v>3</v>
      </c>
      <c r="L706">
        <v>2</v>
      </c>
      <c r="M706">
        <v>6</v>
      </c>
      <c r="N706">
        <v>9</v>
      </c>
      <c r="O706" s="7">
        <v>45954</v>
      </c>
      <c r="P706" s="7">
        <v>45957</v>
      </c>
      <c r="Q706" s="7">
        <v>45965</v>
      </c>
      <c r="R706" t="s">
        <v>1049</v>
      </c>
    </row>
    <row r="707" spans="1:18" x14ac:dyDescent="0.3">
      <c r="A707" t="s">
        <v>102</v>
      </c>
      <c r="B707" t="s">
        <v>22</v>
      </c>
      <c r="C707" t="s">
        <v>16</v>
      </c>
      <c r="D707" s="7">
        <v>45935</v>
      </c>
      <c r="E707" s="7">
        <v>45938</v>
      </c>
      <c r="F707" s="7">
        <v>45943</v>
      </c>
      <c r="G707" s="7">
        <v>45946</v>
      </c>
      <c r="H707" t="s">
        <v>17</v>
      </c>
      <c r="J707" s="7">
        <v>45960</v>
      </c>
      <c r="K707">
        <v>3</v>
      </c>
      <c r="L707">
        <v>5</v>
      </c>
      <c r="M707">
        <v>3</v>
      </c>
      <c r="N707">
        <v>2</v>
      </c>
      <c r="O707" s="7">
        <v>45935</v>
      </c>
      <c r="P707" s="7">
        <v>45938</v>
      </c>
      <c r="Q707" s="7">
        <v>45946</v>
      </c>
      <c r="R707" t="s">
        <v>1049</v>
      </c>
    </row>
    <row r="708" spans="1:18" x14ac:dyDescent="0.3">
      <c r="A708" t="s">
        <v>291</v>
      </c>
      <c r="B708" t="s">
        <v>29</v>
      </c>
      <c r="C708" t="s">
        <v>16</v>
      </c>
      <c r="D708" s="7">
        <v>45933</v>
      </c>
      <c r="E708" s="7">
        <v>45937</v>
      </c>
      <c r="F708" s="7">
        <v>45941</v>
      </c>
      <c r="G708" s="7">
        <v>45944</v>
      </c>
      <c r="H708" t="s">
        <v>17</v>
      </c>
      <c r="J708" s="7">
        <v>45964</v>
      </c>
      <c r="K708">
        <v>4</v>
      </c>
      <c r="L708">
        <v>4</v>
      </c>
      <c r="M708">
        <v>3</v>
      </c>
      <c r="N708">
        <v>6</v>
      </c>
      <c r="O708" s="7">
        <v>45933</v>
      </c>
      <c r="P708" s="7">
        <v>45937</v>
      </c>
      <c r="Q708" s="7">
        <v>45944</v>
      </c>
      <c r="R708" t="s">
        <v>1049</v>
      </c>
    </row>
    <row r="709" spans="1:18" x14ac:dyDescent="0.3">
      <c r="A709" t="s">
        <v>823</v>
      </c>
      <c r="B709" t="s">
        <v>15</v>
      </c>
      <c r="C709" t="s">
        <v>474</v>
      </c>
      <c r="D709" s="7">
        <v>45960</v>
      </c>
      <c r="E709" s="7">
        <v>45962</v>
      </c>
      <c r="F709" s="7">
        <v>45967</v>
      </c>
      <c r="G709" s="7">
        <v>45969</v>
      </c>
      <c r="H709" t="s">
        <v>752</v>
      </c>
      <c r="I709" t="s">
        <v>753</v>
      </c>
      <c r="K709">
        <v>2</v>
      </c>
      <c r="L709">
        <v>5</v>
      </c>
      <c r="M709">
        <v>2</v>
      </c>
      <c r="O709" s="7">
        <v>45960</v>
      </c>
      <c r="P709" s="7">
        <v>45962</v>
      </c>
      <c r="Q709" s="7">
        <v>45969</v>
      </c>
      <c r="R709" t="s">
        <v>1049</v>
      </c>
    </row>
    <row r="710" spans="1:18" x14ac:dyDescent="0.3">
      <c r="A710" t="s">
        <v>725</v>
      </c>
      <c r="B710" t="s">
        <v>27</v>
      </c>
      <c r="C710" t="s">
        <v>474</v>
      </c>
      <c r="D710" s="7">
        <v>45940</v>
      </c>
      <c r="E710" s="7">
        <v>45945</v>
      </c>
      <c r="F710" s="7">
        <v>45948</v>
      </c>
      <c r="G710" s="7">
        <v>45953</v>
      </c>
      <c r="H710" t="s">
        <v>17</v>
      </c>
      <c r="J710" s="7">
        <v>45968</v>
      </c>
      <c r="K710">
        <v>5</v>
      </c>
      <c r="L710">
        <v>3</v>
      </c>
      <c r="M710">
        <v>5</v>
      </c>
      <c r="N710">
        <v>2</v>
      </c>
      <c r="O710" s="7">
        <v>45940</v>
      </c>
      <c r="P710" s="7">
        <v>45945</v>
      </c>
      <c r="Q710" s="7">
        <v>45953</v>
      </c>
      <c r="R710" t="s">
        <v>1049</v>
      </c>
    </row>
    <row r="711" spans="1:18" x14ac:dyDescent="0.3">
      <c r="A711" t="s">
        <v>103</v>
      </c>
      <c r="B711" t="s">
        <v>15</v>
      </c>
      <c r="C711" t="s">
        <v>16</v>
      </c>
      <c r="D711" s="7">
        <v>45941</v>
      </c>
      <c r="E711" s="7">
        <v>45944</v>
      </c>
      <c r="F711" s="7">
        <v>45948</v>
      </c>
      <c r="G711" s="7">
        <v>45950</v>
      </c>
      <c r="H711" t="s">
        <v>17</v>
      </c>
      <c r="J711" s="7">
        <v>45962</v>
      </c>
      <c r="K711">
        <v>3</v>
      </c>
      <c r="L711">
        <v>4</v>
      </c>
      <c r="M711">
        <v>2</v>
      </c>
      <c r="N711">
        <v>6</v>
      </c>
      <c r="O711" s="7">
        <v>45941</v>
      </c>
      <c r="P711" s="7">
        <v>45944</v>
      </c>
      <c r="Q711" s="7">
        <v>45950</v>
      </c>
      <c r="R711" t="s">
        <v>1049</v>
      </c>
    </row>
    <row r="712" spans="1:18" x14ac:dyDescent="0.3">
      <c r="A712" t="s">
        <v>292</v>
      </c>
      <c r="B712" t="s">
        <v>29</v>
      </c>
      <c r="C712" t="s">
        <v>16</v>
      </c>
      <c r="D712" s="7">
        <v>45954</v>
      </c>
      <c r="E712" s="7">
        <v>45958</v>
      </c>
      <c r="F712" s="7">
        <v>45960</v>
      </c>
      <c r="G712" s="7">
        <v>45963</v>
      </c>
      <c r="H712" t="s">
        <v>17</v>
      </c>
      <c r="J712" s="7">
        <v>45988</v>
      </c>
      <c r="K712">
        <v>4</v>
      </c>
      <c r="L712">
        <v>2</v>
      </c>
      <c r="M712">
        <v>3</v>
      </c>
      <c r="N712">
        <v>8</v>
      </c>
      <c r="O712" s="7">
        <v>45954</v>
      </c>
      <c r="P712" s="7">
        <v>45958</v>
      </c>
      <c r="Q712" s="7">
        <v>45963</v>
      </c>
      <c r="R712" t="s">
        <v>1049</v>
      </c>
    </row>
    <row r="713" spans="1:18" x14ac:dyDescent="0.3">
      <c r="A713" t="s">
        <v>448</v>
      </c>
      <c r="B713" t="s">
        <v>29</v>
      </c>
      <c r="C713" t="s">
        <v>16</v>
      </c>
      <c r="D713" s="7">
        <v>45944</v>
      </c>
      <c r="E713" s="7">
        <v>45946</v>
      </c>
      <c r="F713" s="7">
        <v>45947</v>
      </c>
      <c r="G713" s="7">
        <v>45953</v>
      </c>
      <c r="H713" t="s">
        <v>17</v>
      </c>
      <c r="J713" s="7">
        <v>45973</v>
      </c>
      <c r="K713">
        <v>2</v>
      </c>
      <c r="L713">
        <v>1</v>
      </c>
      <c r="M713">
        <v>6</v>
      </c>
      <c r="N713">
        <v>2</v>
      </c>
      <c r="O713" s="7">
        <v>45944</v>
      </c>
      <c r="P713" s="7">
        <v>45946</v>
      </c>
      <c r="Q713" s="7">
        <v>45953</v>
      </c>
      <c r="R713" t="s">
        <v>1049</v>
      </c>
    </row>
    <row r="714" spans="1:18" x14ac:dyDescent="0.3">
      <c r="A714" t="s">
        <v>618</v>
      </c>
      <c r="B714" t="s">
        <v>15</v>
      </c>
      <c r="C714" t="s">
        <v>474</v>
      </c>
      <c r="D714" s="7">
        <v>45936</v>
      </c>
      <c r="E714" s="7">
        <v>45937</v>
      </c>
      <c r="F714" s="7">
        <v>45942</v>
      </c>
      <c r="G714" s="7">
        <v>45946</v>
      </c>
      <c r="H714" t="s">
        <v>17</v>
      </c>
      <c r="J714" s="7">
        <v>45976</v>
      </c>
      <c r="K714">
        <v>1</v>
      </c>
      <c r="L714">
        <v>5</v>
      </c>
      <c r="M714">
        <v>4</v>
      </c>
      <c r="N714">
        <v>5</v>
      </c>
      <c r="O714" s="7">
        <v>45936</v>
      </c>
      <c r="P714" s="7">
        <v>45937</v>
      </c>
      <c r="Q714" s="7">
        <v>45946</v>
      </c>
      <c r="R714" t="s">
        <v>1049</v>
      </c>
    </row>
    <row r="715" spans="1:18" x14ac:dyDescent="0.3">
      <c r="A715" t="s">
        <v>449</v>
      </c>
      <c r="B715" t="s">
        <v>15</v>
      </c>
      <c r="C715" t="s">
        <v>16</v>
      </c>
      <c r="D715" s="7">
        <v>45937</v>
      </c>
      <c r="E715" s="7">
        <v>45939</v>
      </c>
      <c r="F715" s="7">
        <v>45942</v>
      </c>
      <c r="G715" s="7">
        <v>45949</v>
      </c>
      <c r="H715" t="s">
        <v>17</v>
      </c>
      <c r="J715" s="7">
        <v>45964</v>
      </c>
      <c r="K715">
        <v>2</v>
      </c>
      <c r="L715">
        <v>3</v>
      </c>
      <c r="M715">
        <v>7</v>
      </c>
      <c r="N715">
        <v>8</v>
      </c>
      <c r="O715" s="7">
        <v>45937</v>
      </c>
      <c r="P715" s="7">
        <v>45939</v>
      </c>
      <c r="Q715" s="7">
        <v>45949</v>
      </c>
      <c r="R715" t="s">
        <v>1049</v>
      </c>
    </row>
    <row r="716" spans="1:18" x14ac:dyDescent="0.3">
      <c r="A716" t="s">
        <v>619</v>
      </c>
      <c r="B716" t="s">
        <v>15</v>
      </c>
      <c r="C716" t="s">
        <v>474</v>
      </c>
      <c r="D716" s="7">
        <v>45935</v>
      </c>
      <c r="E716" s="7">
        <v>45936</v>
      </c>
      <c r="F716" s="7">
        <v>45937</v>
      </c>
      <c r="G716" s="7">
        <v>45944</v>
      </c>
      <c r="H716" t="s">
        <v>17</v>
      </c>
      <c r="J716" s="7">
        <v>45964</v>
      </c>
      <c r="K716">
        <v>1</v>
      </c>
      <c r="L716">
        <v>1</v>
      </c>
      <c r="M716">
        <v>7</v>
      </c>
      <c r="N716">
        <v>7</v>
      </c>
      <c r="O716" s="7">
        <v>45935</v>
      </c>
      <c r="P716" s="7">
        <v>45936</v>
      </c>
      <c r="Q716" s="7">
        <v>45944</v>
      </c>
      <c r="R716" t="s">
        <v>1049</v>
      </c>
    </row>
    <row r="717" spans="1:18" x14ac:dyDescent="0.3">
      <c r="A717" t="s">
        <v>620</v>
      </c>
      <c r="B717" t="s">
        <v>22</v>
      </c>
      <c r="C717" t="s">
        <v>474</v>
      </c>
      <c r="D717" s="7">
        <v>45956</v>
      </c>
      <c r="E717" s="7">
        <v>45960</v>
      </c>
      <c r="F717" s="7">
        <v>45961</v>
      </c>
      <c r="G717" s="7">
        <v>45963</v>
      </c>
      <c r="H717" t="s">
        <v>17</v>
      </c>
      <c r="J717" s="7">
        <v>45993</v>
      </c>
      <c r="K717">
        <v>4</v>
      </c>
      <c r="L717">
        <v>1</v>
      </c>
      <c r="M717">
        <v>2</v>
      </c>
      <c r="N717">
        <v>7</v>
      </c>
      <c r="O717" s="7">
        <v>45956</v>
      </c>
      <c r="P717" s="7">
        <v>45960</v>
      </c>
      <c r="Q717" s="7">
        <v>45963</v>
      </c>
      <c r="R717" t="s">
        <v>1049</v>
      </c>
    </row>
    <row r="718" spans="1:18" x14ac:dyDescent="0.3">
      <c r="A718" t="s">
        <v>450</v>
      </c>
      <c r="B718" t="s">
        <v>27</v>
      </c>
      <c r="C718" t="s">
        <v>16</v>
      </c>
      <c r="D718" s="7">
        <v>45948</v>
      </c>
      <c r="E718" s="7">
        <v>45950</v>
      </c>
      <c r="F718" s="7">
        <v>45954</v>
      </c>
      <c r="G718" s="7">
        <v>45958</v>
      </c>
      <c r="H718" t="s">
        <v>17</v>
      </c>
      <c r="J718" s="7">
        <v>45969</v>
      </c>
      <c r="K718">
        <v>2</v>
      </c>
      <c r="L718">
        <v>4</v>
      </c>
      <c r="M718">
        <v>4</v>
      </c>
      <c r="N718">
        <v>9</v>
      </c>
      <c r="O718" s="7">
        <v>45948</v>
      </c>
      <c r="P718" s="7">
        <v>45950</v>
      </c>
      <c r="Q718" s="7">
        <v>45958</v>
      </c>
      <c r="R718" t="s">
        <v>1049</v>
      </c>
    </row>
    <row r="719" spans="1:18" x14ac:dyDescent="0.3">
      <c r="A719" t="s">
        <v>621</v>
      </c>
      <c r="B719" t="s">
        <v>15</v>
      </c>
      <c r="C719" t="s">
        <v>474</v>
      </c>
      <c r="D719" s="7">
        <v>45959</v>
      </c>
      <c r="E719" s="7">
        <v>45963</v>
      </c>
      <c r="F719" s="7">
        <v>45965</v>
      </c>
      <c r="G719" s="7">
        <v>45967</v>
      </c>
      <c r="H719" t="s">
        <v>17</v>
      </c>
      <c r="J719" s="7">
        <v>45977</v>
      </c>
      <c r="K719">
        <v>4</v>
      </c>
      <c r="L719">
        <v>2</v>
      </c>
      <c r="M719">
        <v>2</v>
      </c>
      <c r="N719">
        <v>7</v>
      </c>
      <c r="O719" s="7">
        <v>45959</v>
      </c>
      <c r="P719" s="7">
        <v>45963</v>
      </c>
      <c r="Q719" s="7">
        <v>45967</v>
      </c>
      <c r="R719" t="s">
        <v>1049</v>
      </c>
    </row>
    <row r="720" spans="1:18" x14ac:dyDescent="0.3">
      <c r="A720" t="s">
        <v>622</v>
      </c>
      <c r="B720" t="s">
        <v>15</v>
      </c>
      <c r="C720" t="s">
        <v>474</v>
      </c>
      <c r="D720" s="7">
        <v>45942</v>
      </c>
      <c r="E720" s="7">
        <v>45943</v>
      </c>
      <c r="F720" s="7">
        <v>45944</v>
      </c>
      <c r="G720" s="7">
        <v>45951</v>
      </c>
      <c r="H720" t="s">
        <v>17</v>
      </c>
      <c r="J720" s="7">
        <v>45975</v>
      </c>
      <c r="K720">
        <v>1</v>
      </c>
      <c r="L720">
        <v>1</v>
      </c>
      <c r="M720">
        <v>7</v>
      </c>
      <c r="N720">
        <v>2</v>
      </c>
      <c r="O720" s="7">
        <v>45942</v>
      </c>
      <c r="P720" s="7">
        <v>45943</v>
      </c>
      <c r="Q720" s="7">
        <v>45951</v>
      </c>
      <c r="R720" t="s">
        <v>1049</v>
      </c>
    </row>
    <row r="721" spans="1:18" x14ac:dyDescent="0.3">
      <c r="A721" t="s">
        <v>104</v>
      </c>
      <c r="B721" t="s">
        <v>15</v>
      </c>
      <c r="C721" t="s">
        <v>16</v>
      </c>
      <c r="D721" s="7">
        <v>45947</v>
      </c>
      <c r="E721" s="7">
        <v>45950</v>
      </c>
      <c r="F721" s="7">
        <v>45953</v>
      </c>
      <c r="G721" s="7">
        <v>45958</v>
      </c>
      <c r="H721" t="s">
        <v>17</v>
      </c>
      <c r="J721" s="7">
        <v>45976</v>
      </c>
      <c r="K721">
        <v>3</v>
      </c>
      <c r="L721">
        <v>3</v>
      </c>
      <c r="M721">
        <v>5</v>
      </c>
      <c r="N721">
        <v>7</v>
      </c>
      <c r="O721" s="7">
        <v>45947</v>
      </c>
      <c r="P721" s="7">
        <v>45950</v>
      </c>
      <c r="Q721" s="7">
        <v>45958</v>
      </c>
      <c r="R721" t="s">
        <v>1049</v>
      </c>
    </row>
    <row r="722" spans="1:18" x14ac:dyDescent="0.3">
      <c r="A722" t="s">
        <v>105</v>
      </c>
      <c r="B722" t="s">
        <v>29</v>
      </c>
      <c r="C722" t="s">
        <v>16</v>
      </c>
      <c r="D722" s="7">
        <v>45947</v>
      </c>
      <c r="E722" s="7">
        <v>45950</v>
      </c>
      <c r="F722" s="7">
        <v>45955</v>
      </c>
      <c r="G722" s="7">
        <v>45962</v>
      </c>
      <c r="H722" t="s">
        <v>17</v>
      </c>
      <c r="J722" s="7">
        <v>45978</v>
      </c>
      <c r="K722">
        <v>3</v>
      </c>
      <c r="L722">
        <v>5</v>
      </c>
      <c r="M722">
        <v>7</v>
      </c>
      <c r="N722">
        <v>4</v>
      </c>
      <c r="O722" s="7">
        <v>45947</v>
      </c>
      <c r="P722" s="7">
        <v>45950</v>
      </c>
      <c r="Q722" s="7">
        <v>45962</v>
      </c>
      <c r="R722" t="s">
        <v>1049</v>
      </c>
    </row>
    <row r="723" spans="1:18" x14ac:dyDescent="0.3">
      <c r="A723" t="s">
        <v>381</v>
      </c>
      <c r="B723" t="s">
        <v>29</v>
      </c>
      <c r="C723" t="s">
        <v>16</v>
      </c>
      <c r="D723" s="7">
        <v>45960</v>
      </c>
      <c r="E723" s="7">
        <v>45961</v>
      </c>
      <c r="F723" s="7">
        <v>45966</v>
      </c>
      <c r="G723" s="7">
        <v>45973</v>
      </c>
      <c r="H723" t="s">
        <v>17</v>
      </c>
      <c r="J723" s="7">
        <v>45988</v>
      </c>
      <c r="K723">
        <v>1</v>
      </c>
      <c r="L723">
        <v>5</v>
      </c>
      <c r="M723">
        <v>7</v>
      </c>
      <c r="N723">
        <v>6</v>
      </c>
      <c r="O723" s="7">
        <v>45960</v>
      </c>
      <c r="P723" s="7">
        <v>45961</v>
      </c>
      <c r="Q723" s="7">
        <v>45973</v>
      </c>
      <c r="R723" t="s">
        <v>1049</v>
      </c>
    </row>
    <row r="724" spans="1:18" x14ac:dyDescent="0.3">
      <c r="A724" t="s">
        <v>726</v>
      </c>
      <c r="B724" t="s">
        <v>22</v>
      </c>
      <c r="C724" t="s">
        <v>474</v>
      </c>
      <c r="D724" s="7">
        <v>45939</v>
      </c>
      <c r="E724" s="7">
        <v>45944</v>
      </c>
      <c r="F724" s="7">
        <v>45949</v>
      </c>
      <c r="G724" s="7">
        <v>45953</v>
      </c>
      <c r="H724" t="s">
        <v>17</v>
      </c>
      <c r="J724" s="7">
        <v>45981</v>
      </c>
      <c r="K724">
        <v>5</v>
      </c>
      <c r="L724">
        <v>5</v>
      </c>
      <c r="M724">
        <v>4</v>
      </c>
      <c r="N724">
        <v>3</v>
      </c>
      <c r="O724" s="7">
        <v>45939</v>
      </c>
      <c r="P724" s="7">
        <v>45944</v>
      </c>
      <c r="Q724" s="7">
        <v>45953</v>
      </c>
      <c r="R724" t="s">
        <v>1049</v>
      </c>
    </row>
    <row r="725" spans="1:18" x14ac:dyDescent="0.3">
      <c r="A725" t="s">
        <v>727</v>
      </c>
      <c r="B725" t="s">
        <v>27</v>
      </c>
      <c r="C725" t="s">
        <v>474</v>
      </c>
      <c r="D725" s="7">
        <v>45957</v>
      </c>
      <c r="E725" s="7">
        <v>45962</v>
      </c>
      <c r="F725" s="7">
        <v>45966</v>
      </c>
      <c r="G725" s="7">
        <v>45968</v>
      </c>
      <c r="H725" t="s">
        <v>17</v>
      </c>
      <c r="J725" s="7">
        <v>45983</v>
      </c>
      <c r="K725">
        <v>5</v>
      </c>
      <c r="L725">
        <v>4</v>
      </c>
      <c r="M725">
        <v>2</v>
      </c>
      <c r="N725">
        <v>4</v>
      </c>
      <c r="O725" s="7">
        <v>45957</v>
      </c>
      <c r="P725" s="7">
        <v>45962</v>
      </c>
      <c r="Q725" s="7">
        <v>45968</v>
      </c>
      <c r="R725" t="s">
        <v>1049</v>
      </c>
    </row>
    <row r="726" spans="1:18" x14ac:dyDescent="0.3">
      <c r="A726" t="s">
        <v>623</v>
      </c>
      <c r="B726" t="s">
        <v>22</v>
      </c>
      <c r="C726" t="s">
        <v>474</v>
      </c>
      <c r="D726" s="7">
        <v>45936</v>
      </c>
      <c r="E726" s="7">
        <v>45939</v>
      </c>
      <c r="F726" s="7">
        <v>45942</v>
      </c>
      <c r="G726" s="7">
        <v>45945</v>
      </c>
      <c r="H726" t="s">
        <v>17</v>
      </c>
      <c r="J726" s="7">
        <v>45970</v>
      </c>
      <c r="K726">
        <v>3</v>
      </c>
      <c r="L726">
        <v>3</v>
      </c>
      <c r="M726">
        <v>3</v>
      </c>
      <c r="N726">
        <v>10</v>
      </c>
      <c r="O726" s="7">
        <v>45936</v>
      </c>
      <c r="P726" s="7">
        <v>45939</v>
      </c>
      <c r="Q726" s="7">
        <v>45945</v>
      </c>
      <c r="R726" t="s">
        <v>1049</v>
      </c>
    </row>
    <row r="727" spans="1:18" x14ac:dyDescent="0.3">
      <c r="A727" t="s">
        <v>624</v>
      </c>
      <c r="B727" t="s">
        <v>27</v>
      </c>
      <c r="C727" t="s">
        <v>474</v>
      </c>
      <c r="D727" s="7">
        <v>45939</v>
      </c>
      <c r="E727" s="7">
        <v>45942</v>
      </c>
      <c r="F727" s="7">
        <v>45943</v>
      </c>
      <c r="G727" s="7">
        <v>45949</v>
      </c>
      <c r="H727" t="s">
        <v>17</v>
      </c>
      <c r="J727" s="7">
        <v>45961</v>
      </c>
      <c r="K727">
        <v>3</v>
      </c>
      <c r="L727">
        <v>1</v>
      </c>
      <c r="M727">
        <v>6</v>
      </c>
      <c r="N727">
        <v>8</v>
      </c>
      <c r="O727" s="7">
        <v>45939</v>
      </c>
      <c r="P727" s="7">
        <v>45942</v>
      </c>
      <c r="Q727" s="7">
        <v>45949</v>
      </c>
      <c r="R727" t="s">
        <v>1049</v>
      </c>
    </row>
    <row r="728" spans="1:18" x14ac:dyDescent="0.3">
      <c r="A728" t="s">
        <v>451</v>
      </c>
      <c r="B728" t="s">
        <v>29</v>
      </c>
      <c r="C728" t="s">
        <v>16</v>
      </c>
      <c r="D728" s="7">
        <v>45960</v>
      </c>
      <c r="E728" s="7">
        <v>45962</v>
      </c>
      <c r="F728" s="7">
        <v>45965</v>
      </c>
      <c r="G728" s="7">
        <v>45968</v>
      </c>
      <c r="H728" t="s">
        <v>17</v>
      </c>
      <c r="J728" s="7">
        <v>45982</v>
      </c>
      <c r="K728">
        <v>2</v>
      </c>
      <c r="L728">
        <v>3</v>
      </c>
      <c r="M728">
        <v>3</v>
      </c>
      <c r="N728">
        <v>10</v>
      </c>
      <c r="O728" s="7">
        <v>45960</v>
      </c>
      <c r="P728" s="7">
        <v>45962</v>
      </c>
      <c r="Q728" s="7">
        <v>45968</v>
      </c>
      <c r="R728" t="s">
        <v>1049</v>
      </c>
    </row>
    <row r="729" spans="1:18" x14ac:dyDescent="0.3">
      <c r="A729" t="s">
        <v>977</v>
      </c>
      <c r="B729" t="s">
        <v>29</v>
      </c>
      <c r="C729" t="s">
        <v>841</v>
      </c>
      <c r="D729" s="7">
        <v>45957</v>
      </c>
      <c r="H729" t="s">
        <v>752</v>
      </c>
      <c r="I729" t="s">
        <v>753</v>
      </c>
      <c r="O729" s="7">
        <v>45957</v>
      </c>
      <c r="R729" t="s">
        <v>1050</v>
      </c>
    </row>
    <row r="730" spans="1:18" x14ac:dyDescent="0.3">
      <c r="A730" t="s">
        <v>452</v>
      </c>
      <c r="B730" t="s">
        <v>29</v>
      </c>
      <c r="C730" t="s">
        <v>16</v>
      </c>
      <c r="D730" s="7">
        <v>45961</v>
      </c>
      <c r="E730" s="7">
        <v>45963</v>
      </c>
      <c r="F730" s="7">
        <v>45967</v>
      </c>
      <c r="G730" s="7">
        <v>45972</v>
      </c>
      <c r="H730" t="s">
        <v>17</v>
      </c>
      <c r="J730" s="7">
        <v>46001</v>
      </c>
      <c r="K730">
        <v>2</v>
      </c>
      <c r="L730">
        <v>4</v>
      </c>
      <c r="M730">
        <v>5</v>
      </c>
      <c r="N730">
        <v>3</v>
      </c>
      <c r="O730" s="7">
        <v>45961</v>
      </c>
      <c r="P730" s="7">
        <v>45963</v>
      </c>
      <c r="Q730" s="7">
        <v>45972</v>
      </c>
      <c r="R730" t="s">
        <v>1049</v>
      </c>
    </row>
    <row r="731" spans="1:18" x14ac:dyDescent="0.3">
      <c r="A731" t="s">
        <v>106</v>
      </c>
      <c r="B731" t="s">
        <v>22</v>
      </c>
      <c r="C731" t="s">
        <v>16</v>
      </c>
      <c r="D731" s="7">
        <v>45946</v>
      </c>
      <c r="E731" s="7">
        <v>45949</v>
      </c>
      <c r="F731" s="7">
        <v>45953</v>
      </c>
      <c r="G731" s="7">
        <v>45958</v>
      </c>
      <c r="H731" t="s">
        <v>17</v>
      </c>
      <c r="J731" s="7">
        <v>45981</v>
      </c>
      <c r="K731">
        <v>3</v>
      </c>
      <c r="L731">
        <v>4</v>
      </c>
      <c r="M731">
        <v>5</v>
      </c>
      <c r="N731">
        <v>9</v>
      </c>
      <c r="O731" s="7">
        <v>45946</v>
      </c>
      <c r="P731" s="7">
        <v>45949</v>
      </c>
      <c r="Q731" s="7">
        <v>45958</v>
      </c>
      <c r="R731" t="s">
        <v>1049</v>
      </c>
    </row>
    <row r="732" spans="1:18" x14ac:dyDescent="0.3">
      <c r="A732" t="s">
        <v>196</v>
      </c>
      <c r="B732" t="s">
        <v>15</v>
      </c>
      <c r="C732" t="s">
        <v>16</v>
      </c>
      <c r="D732" s="7">
        <v>45961</v>
      </c>
      <c r="E732" s="7">
        <v>45966</v>
      </c>
      <c r="F732" s="7">
        <v>45968</v>
      </c>
      <c r="G732" s="7">
        <v>45970</v>
      </c>
      <c r="H732" t="s">
        <v>17</v>
      </c>
      <c r="J732" s="7">
        <v>46000</v>
      </c>
      <c r="K732">
        <v>5</v>
      </c>
      <c r="L732">
        <v>2</v>
      </c>
      <c r="M732">
        <v>2</v>
      </c>
      <c r="N732">
        <v>1</v>
      </c>
      <c r="O732" s="7">
        <v>45961</v>
      </c>
      <c r="P732" s="7">
        <v>45966</v>
      </c>
      <c r="Q732" s="7">
        <v>45970</v>
      </c>
      <c r="R732" t="s">
        <v>1049</v>
      </c>
    </row>
    <row r="733" spans="1:18" x14ac:dyDescent="0.3">
      <c r="A733" t="s">
        <v>453</v>
      </c>
      <c r="B733" t="s">
        <v>15</v>
      </c>
      <c r="C733" t="s">
        <v>16</v>
      </c>
      <c r="D733" s="7">
        <v>45956</v>
      </c>
      <c r="E733" s="7">
        <v>45958</v>
      </c>
      <c r="F733" s="7">
        <v>45961</v>
      </c>
      <c r="G733" s="7">
        <v>45964</v>
      </c>
      <c r="H733" t="s">
        <v>17</v>
      </c>
      <c r="J733" s="7">
        <v>45987</v>
      </c>
      <c r="K733">
        <v>2</v>
      </c>
      <c r="L733">
        <v>3</v>
      </c>
      <c r="M733">
        <v>3</v>
      </c>
      <c r="N733">
        <v>8</v>
      </c>
      <c r="O733" s="7">
        <v>45956</v>
      </c>
      <c r="P733" s="7">
        <v>45958</v>
      </c>
      <c r="Q733" s="7">
        <v>45964</v>
      </c>
      <c r="R733" t="s">
        <v>1049</v>
      </c>
    </row>
    <row r="734" spans="1:18" x14ac:dyDescent="0.3">
      <c r="A734" t="s">
        <v>382</v>
      </c>
      <c r="B734" t="s">
        <v>29</v>
      </c>
      <c r="C734" t="s">
        <v>16</v>
      </c>
      <c r="D734" s="7">
        <v>45940</v>
      </c>
      <c r="E734" s="7">
        <v>45941</v>
      </c>
      <c r="F734" s="7">
        <v>45946</v>
      </c>
      <c r="G734" s="7">
        <v>45953</v>
      </c>
      <c r="H734" t="s">
        <v>17</v>
      </c>
      <c r="J734" s="7">
        <v>45975</v>
      </c>
      <c r="K734">
        <v>1</v>
      </c>
      <c r="L734">
        <v>5</v>
      </c>
      <c r="M734">
        <v>7</v>
      </c>
      <c r="N734">
        <v>6</v>
      </c>
      <c r="O734" s="7">
        <v>45940</v>
      </c>
      <c r="P734" s="7">
        <v>45941</v>
      </c>
      <c r="Q734" s="7">
        <v>45953</v>
      </c>
      <c r="R734" t="s">
        <v>1049</v>
      </c>
    </row>
    <row r="735" spans="1:18" x14ac:dyDescent="0.3">
      <c r="A735" t="s">
        <v>454</v>
      </c>
      <c r="B735" t="s">
        <v>15</v>
      </c>
      <c r="C735" t="s">
        <v>16</v>
      </c>
      <c r="D735" s="7">
        <v>45954</v>
      </c>
      <c r="E735" s="7">
        <v>45956</v>
      </c>
      <c r="F735" s="7">
        <v>45960</v>
      </c>
      <c r="G735" s="7">
        <v>45964</v>
      </c>
      <c r="H735" t="s">
        <v>17</v>
      </c>
      <c r="J735" s="7">
        <v>45987</v>
      </c>
      <c r="K735">
        <v>2</v>
      </c>
      <c r="L735">
        <v>4</v>
      </c>
      <c r="M735">
        <v>4</v>
      </c>
      <c r="N735">
        <v>4</v>
      </c>
      <c r="O735" s="7">
        <v>45954</v>
      </c>
      <c r="P735" s="7">
        <v>45956</v>
      </c>
      <c r="Q735" s="7">
        <v>45964</v>
      </c>
      <c r="R735" t="s">
        <v>1049</v>
      </c>
    </row>
    <row r="736" spans="1:18" x14ac:dyDescent="0.3">
      <c r="A736" t="s">
        <v>455</v>
      </c>
      <c r="B736" t="s">
        <v>15</v>
      </c>
      <c r="C736" t="s">
        <v>16</v>
      </c>
      <c r="D736" s="7">
        <v>45958</v>
      </c>
      <c r="E736" s="7">
        <v>45960</v>
      </c>
      <c r="F736" s="7">
        <v>45964</v>
      </c>
      <c r="G736" s="7">
        <v>45966</v>
      </c>
      <c r="H736" t="s">
        <v>17</v>
      </c>
      <c r="J736" s="7">
        <v>45991</v>
      </c>
      <c r="K736">
        <v>2</v>
      </c>
      <c r="L736">
        <v>4</v>
      </c>
      <c r="M736">
        <v>2</v>
      </c>
      <c r="N736">
        <v>4</v>
      </c>
      <c r="O736" s="7">
        <v>45958</v>
      </c>
      <c r="P736" s="7">
        <v>45960</v>
      </c>
      <c r="Q736" s="7">
        <v>45966</v>
      </c>
      <c r="R736" t="s">
        <v>1049</v>
      </c>
    </row>
    <row r="737" spans="1:18" x14ac:dyDescent="0.3">
      <c r="A737" t="s">
        <v>625</v>
      </c>
      <c r="B737" t="s">
        <v>22</v>
      </c>
      <c r="C737" t="s">
        <v>474</v>
      </c>
      <c r="D737" s="7">
        <v>45941</v>
      </c>
      <c r="E737" s="7">
        <v>45943</v>
      </c>
      <c r="F737" s="7">
        <v>45945</v>
      </c>
      <c r="G737" s="7">
        <v>45947</v>
      </c>
      <c r="H737" t="s">
        <v>17</v>
      </c>
      <c r="J737" s="7">
        <v>45969</v>
      </c>
      <c r="K737">
        <v>2</v>
      </c>
      <c r="L737">
        <v>2</v>
      </c>
      <c r="M737">
        <v>2</v>
      </c>
      <c r="N737">
        <v>9</v>
      </c>
      <c r="O737" s="7">
        <v>45941</v>
      </c>
      <c r="P737" s="7">
        <v>45943</v>
      </c>
      <c r="Q737" s="7">
        <v>45947</v>
      </c>
      <c r="R737" t="s">
        <v>1049</v>
      </c>
    </row>
    <row r="738" spans="1:18" x14ac:dyDescent="0.3">
      <c r="A738" t="s">
        <v>293</v>
      </c>
      <c r="B738" t="s">
        <v>27</v>
      </c>
      <c r="C738" t="s">
        <v>16</v>
      </c>
      <c r="D738" s="7">
        <v>45956</v>
      </c>
      <c r="E738" s="7">
        <v>45960</v>
      </c>
      <c r="F738" s="7">
        <v>45965</v>
      </c>
      <c r="G738" s="7">
        <v>45968</v>
      </c>
      <c r="H738" t="s">
        <v>17</v>
      </c>
      <c r="J738" s="7">
        <v>45978</v>
      </c>
      <c r="K738">
        <v>4</v>
      </c>
      <c r="L738">
        <v>5</v>
      </c>
      <c r="M738">
        <v>3</v>
      </c>
      <c r="N738">
        <v>0</v>
      </c>
      <c r="O738" s="7">
        <v>45956</v>
      </c>
      <c r="P738" s="7">
        <v>45960</v>
      </c>
      <c r="Q738" s="7">
        <v>45968</v>
      </c>
      <c r="R738" t="s">
        <v>1049</v>
      </c>
    </row>
    <row r="739" spans="1:18" x14ac:dyDescent="0.3">
      <c r="A739" t="s">
        <v>978</v>
      </c>
      <c r="B739" t="s">
        <v>29</v>
      </c>
      <c r="C739" t="s">
        <v>841</v>
      </c>
      <c r="D739" s="7">
        <v>45934</v>
      </c>
      <c r="H739" t="s">
        <v>752</v>
      </c>
      <c r="I739" t="s">
        <v>777</v>
      </c>
      <c r="O739" s="7">
        <v>45934</v>
      </c>
      <c r="R739" t="s">
        <v>1050</v>
      </c>
    </row>
    <row r="740" spans="1:18" x14ac:dyDescent="0.3">
      <c r="A740" t="s">
        <v>626</v>
      </c>
      <c r="B740" t="s">
        <v>29</v>
      </c>
      <c r="C740" t="s">
        <v>474</v>
      </c>
      <c r="D740" s="7">
        <v>45945</v>
      </c>
      <c r="E740" s="7">
        <v>45946</v>
      </c>
      <c r="F740" s="7">
        <v>45950</v>
      </c>
      <c r="G740" s="7">
        <v>45956</v>
      </c>
      <c r="H740" t="s">
        <v>17</v>
      </c>
      <c r="J740" s="7">
        <v>45967</v>
      </c>
      <c r="K740">
        <v>1</v>
      </c>
      <c r="L740">
        <v>4</v>
      </c>
      <c r="M740">
        <v>6</v>
      </c>
      <c r="N740">
        <v>7</v>
      </c>
      <c r="O740" s="7">
        <v>45945</v>
      </c>
      <c r="P740" s="7">
        <v>45946</v>
      </c>
      <c r="Q740" s="7">
        <v>45956</v>
      </c>
      <c r="R740" t="s">
        <v>1049</v>
      </c>
    </row>
    <row r="741" spans="1:18" x14ac:dyDescent="0.3">
      <c r="A741" t="s">
        <v>627</v>
      </c>
      <c r="B741" t="s">
        <v>22</v>
      </c>
      <c r="C741" t="s">
        <v>474</v>
      </c>
      <c r="D741" s="7">
        <v>45961</v>
      </c>
      <c r="E741" s="7">
        <v>45964</v>
      </c>
      <c r="F741" s="7">
        <v>45965</v>
      </c>
      <c r="G741" s="7">
        <v>45970</v>
      </c>
      <c r="H741" t="s">
        <v>17</v>
      </c>
      <c r="J741" s="7">
        <v>45997</v>
      </c>
      <c r="K741">
        <v>3</v>
      </c>
      <c r="L741">
        <v>1</v>
      </c>
      <c r="M741">
        <v>5</v>
      </c>
      <c r="N741">
        <v>7</v>
      </c>
      <c r="O741" s="7">
        <v>45961</v>
      </c>
      <c r="P741" s="7">
        <v>45964</v>
      </c>
      <c r="Q741" s="7">
        <v>45970</v>
      </c>
      <c r="R741" t="s">
        <v>1049</v>
      </c>
    </row>
    <row r="742" spans="1:18" x14ac:dyDescent="0.3">
      <c r="A742" t="s">
        <v>197</v>
      </c>
      <c r="B742" t="s">
        <v>22</v>
      </c>
      <c r="C742" t="s">
        <v>16</v>
      </c>
      <c r="D742" s="7">
        <v>45933</v>
      </c>
      <c r="E742" s="7">
        <v>45938</v>
      </c>
      <c r="F742" s="7">
        <v>45943</v>
      </c>
      <c r="G742" s="7">
        <v>45950</v>
      </c>
      <c r="H742" t="s">
        <v>17</v>
      </c>
      <c r="J742" s="7">
        <v>45966</v>
      </c>
      <c r="K742">
        <v>5</v>
      </c>
      <c r="L742">
        <v>5</v>
      </c>
      <c r="M742">
        <v>7</v>
      </c>
      <c r="N742">
        <v>1</v>
      </c>
      <c r="O742" s="7">
        <v>45933</v>
      </c>
      <c r="P742" s="7">
        <v>45938</v>
      </c>
      <c r="Q742" s="7">
        <v>45950</v>
      </c>
      <c r="R742" t="s">
        <v>1049</v>
      </c>
    </row>
    <row r="743" spans="1:18" x14ac:dyDescent="0.3">
      <c r="A743" t="s">
        <v>198</v>
      </c>
      <c r="B743" t="s">
        <v>15</v>
      </c>
      <c r="C743" t="s">
        <v>16</v>
      </c>
      <c r="D743" s="7">
        <v>45935</v>
      </c>
      <c r="E743" s="7">
        <v>45940</v>
      </c>
      <c r="F743" s="7">
        <v>45943</v>
      </c>
      <c r="G743" s="7">
        <v>45947</v>
      </c>
      <c r="H743" t="s">
        <v>17</v>
      </c>
      <c r="J743" s="7">
        <v>45968</v>
      </c>
      <c r="K743">
        <v>5</v>
      </c>
      <c r="L743">
        <v>3</v>
      </c>
      <c r="M743">
        <v>4</v>
      </c>
      <c r="N743">
        <v>2</v>
      </c>
      <c r="O743" s="7">
        <v>45935</v>
      </c>
      <c r="P743" s="7">
        <v>45940</v>
      </c>
      <c r="Q743" s="7">
        <v>45947</v>
      </c>
      <c r="R743" t="s">
        <v>1049</v>
      </c>
    </row>
    <row r="744" spans="1:18" x14ac:dyDescent="0.3">
      <c r="A744" t="s">
        <v>107</v>
      </c>
      <c r="B744" t="s">
        <v>29</v>
      </c>
      <c r="C744" t="s">
        <v>16</v>
      </c>
      <c r="D744" s="7">
        <v>45955</v>
      </c>
      <c r="E744" s="7">
        <v>45958</v>
      </c>
      <c r="F744" s="7">
        <v>45960</v>
      </c>
      <c r="G744" s="7">
        <v>45965</v>
      </c>
      <c r="H744" t="s">
        <v>17</v>
      </c>
      <c r="J744" s="7">
        <v>45975</v>
      </c>
      <c r="K744">
        <v>3</v>
      </c>
      <c r="L744">
        <v>2</v>
      </c>
      <c r="M744">
        <v>5</v>
      </c>
      <c r="N744">
        <v>2</v>
      </c>
      <c r="O744" s="7">
        <v>45955</v>
      </c>
      <c r="P744" s="7">
        <v>45958</v>
      </c>
      <c r="Q744" s="7">
        <v>45965</v>
      </c>
      <c r="R744" t="s">
        <v>1049</v>
      </c>
    </row>
    <row r="745" spans="1:18" x14ac:dyDescent="0.3">
      <c r="A745" t="s">
        <v>294</v>
      </c>
      <c r="B745" t="s">
        <v>27</v>
      </c>
      <c r="C745" t="s">
        <v>16</v>
      </c>
      <c r="D745" s="7">
        <v>45961</v>
      </c>
      <c r="E745" s="7">
        <v>45965</v>
      </c>
      <c r="F745" s="7">
        <v>45966</v>
      </c>
      <c r="G745" s="7">
        <v>45973</v>
      </c>
      <c r="H745" t="s">
        <v>17</v>
      </c>
      <c r="J745" s="7">
        <v>45993</v>
      </c>
      <c r="K745">
        <v>4</v>
      </c>
      <c r="L745">
        <v>1</v>
      </c>
      <c r="M745">
        <v>7</v>
      </c>
      <c r="N745">
        <v>1</v>
      </c>
      <c r="O745" s="7">
        <v>45961</v>
      </c>
      <c r="P745" s="7">
        <v>45965</v>
      </c>
      <c r="Q745" s="7">
        <v>45973</v>
      </c>
      <c r="R745" t="s">
        <v>1049</v>
      </c>
    </row>
    <row r="746" spans="1:18" x14ac:dyDescent="0.3">
      <c r="A746" t="s">
        <v>728</v>
      </c>
      <c r="B746" t="s">
        <v>22</v>
      </c>
      <c r="C746" t="s">
        <v>474</v>
      </c>
      <c r="D746" s="7">
        <v>45938</v>
      </c>
      <c r="E746" s="7">
        <v>45943</v>
      </c>
      <c r="F746" s="7">
        <v>45944</v>
      </c>
      <c r="G746" s="7">
        <v>45946</v>
      </c>
      <c r="H746" t="s">
        <v>17</v>
      </c>
      <c r="J746" s="7">
        <v>45972</v>
      </c>
      <c r="K746">
        <v>5</v>
      </c>
      <c r="L746">
        <v>1</v>
      </c>
      <c r="M746">
        <v>2</v>
      </c>
      <c r="N746">
        <v>5</v>
      </c>
      <c r="O746" s="7">
        <v>45938</v>
      </c>
      <c r="P746" s="7">
        <v>45943</v>
      </c>
      <c r="Q746" s="7">
        <v>45946</v>
      </c>
      <c r="R746" t="s">
        <v>1049</v>
      </c>
    </row>
    <row r="747" spans="1:18" x14ac:dyDescent="0.3">
      <c r="A747" t="s">
        <v>456</v>
      </c>
      <c r="B747" t="s">
        <v>27</v>
      </c>
      <c r="C747" t="s">
        <v>16</v>
      </c>
      <c r="D747" s="7">
        <v>45958</v>
      </c>
      <c r="E747" s="7">
        <v>45960</v>
      </c>
      <c r="F747" s="7">
        <v>45963</v>
      </c>
      <c r="G747" s="7">
        <v>45969</v>
      </c>
      <c r="H747" t="s">
        <v>17</v>
      </c>
      <c r="J747" s="7">
        <v>45985</v>
      </c>
      <c r="K747">
        <v>2</v>
      </c>
      <c r="L747">
        <v>3</v>
      </c>
      <c r="M747">
        <v>6</v>
      </c>
      <c r="N747">
        <v>9</v>
      </c>
      <c r="O747" s="7">
        <v>45958</v>
      </c>
      <c r="P747" s="7">
        <v>45960</v>
      </c>
      <c r="Q747" s="7">
        <v>45969</v>
      </c>
      <c r="R747" t="s">
        <v>1049</v>
      </c>
    </row>
    <row r="748" spans="1:18" x14ac:dyDescent="0.3">
      <c r="A748" t="s">
        <v>824</v>
      </c>
      <c r="B748" t="s">
        <v>27</v>
      </c>
      <c r="C748" t="s">
        <v>16</v>
      </c>
      <c r="D748" s="7">
        <v>45952</v>
      </c>
      <c r="E748" s="7">
        <v>45957</v>
      </c>
      <c r="F748" s="7">
        <v>45959</v>
      </c>
      <c r="G748" s="7">
        <v>45961</v>
      </c>
      <c r="H748" t="s">
        <v>752</v>
      </c>
      <c r="I748" t="s">
        <v>765</v>
      </c>
      <c r="K748">
        <v>5</v>
      </c>
      <c r="L748">
        <v>2</v>
      </c>
      <c r="M748">
        <v>2</v>
      </c>
      <c r="O748" s="7">
        <v>45952</v>
      </c>
      <c r="P748" s="7">
        <v>45957</v>
      </c>
      <c r="Q748" s="7">
        <v>45961</v>
      </c>
      <c r="R748" t="s">
        <v>1049</v>
      </c>
    </row>
    <row r="749" spans="1:18" x14ac:dyDescent="0.3">
      <c r="A749" t="s">
        <v>979</v>
      </c>
      <c r="B749" t="s">
        <v>29</v>
      </c>
      <c r="C749" t="s">
        <v>841</v>
      </c>
      <c r="D749" s="7">
        <v>45954</v>
      </c>
      <c r="H749" t="s">
        <v>752</v>
      </c>
      <c r="I749" t="s">
        <v>756</v>
      </c>
      <c r="O749" s="7">
        <v>45954</v>
      </c>
      <c r="R749" t="s">
        <v>1050</v>
      </c>
    </row>
    <row r="750" spans="1:18" x14ac:dyDescent="0.3">
      <c r="A750" t="s">
        <v>383</v>
      </c>
      <c r="B750" t="s">
        <v>29</v>
      </c>
      <c r="C750" t="s">
        <v>16</v>
      </c>
      <c r="D750" s="7">
        <v>45952</v>
      </c>
      <c r="E750" s="7">
        <v>45953</v>
      </c>
      <c r="F750" s="7">
        <v>45957</v>
      </c>
      <c r="G750" s="7">
        <v>45963</v>
      </c>
      <c r="H750" t="s">
        <v>17</v>
      </c>
      <c r="J750" s="7">
        <v>45973</v>
      </c>
      <c r="K750">
        <v>1</v>
      </c>
      <c r="L750">
        <v>4</v>
      </c>
      <c r="M750">
        <v>6</v>
      </c>
      <c r="N750">
        <v>7</v>
      </c>
      <c r="O750" s="7">
        <v>45952</v>
      </c>
      <c r="P750" s="7">
        <v>45953</v>
      </c>
      <c r="Q750" s="7">
        <v>45963</v>
      </c>
      <c r="R750" t="s">
        <v>1049</v>
      </c>
    </row>
    <row r="751" spans="1:18" x14ac:dyDescent="0.3">
      <c r="A751" t="s">
        <v>628</v>
      </c>
      <c r="B751" t="s">
        <v>22</v>
      </c>
      <c r="C751" t="s">
        <v>474</v>
      </c>
      <c r="D751" s="7">
        <v>45943</v>
      </c>
      <c r="E751" s="7">
        <v>45944</v>
      </c>
      <c r="F751" s="7">
        <v>45946</v>
      </c>
      <c r="G751" s="7">
        <v>45949</v>
      </c>
      <c r="H751" t="s">
        <v>17</v>
      </c>
      <c r="J751" s="7">
        <v>45959</v>
      </c>
      <c r="K751">
        <v>1</v>
      </c>
      <c r="L751">
        <v>2</v>
      </c>
      <c r="M751">
        <v>3</v>
      </c>
      <c r="N751">
        <v>0</v>
      </c>
      <c r="O751" s="7">
        <v>45943</v>
      </c>
      <c r="P751" s="7">
        <v>45944</v>
      </c>
      <c r="Q751" s="7">
        <v>45949</v>
      </c>
      <c r="R751" t="s">
        <v>1049</v>
      </c>
    </row>
    <row r="752" spans="1:18" x14ac:dyDescent="0.3">
      <c r="A752" t="s">
        <v>629</v>
      </c>
      <c r="B752" t="s">
        <v>29</v>
      </c>
      <c r="C752" t="s">
        <v>474</v>
      </c>
      <c r="D752" s="7">
        <v>45961</v>
      </c>
      <c r="E752" s="7">
        <v>45964</v>
      </c>
      <c r="F752" s="7">
        <v>45968</v>
      </c>
      <c r="G752" s="7">
        <v>45975</v>
      </c>
      <c r="H752" t="s">
        <v>17</v>
      </c>
      <c r="J752" s="7">
        <v>46005</v>
      </c>
      <c r="K752">
        <v>3</v>
      </c>
      <c r="L752">
        <v>4</v>
      </c>
      <c r="M752">
        <v>7</v>
      </c>
      <c r="N752">
        <v>7</v>
      </c>
      <c r="O752" s="7">
        <v>45961</v>
      </c>
      <c r="P752" s="7">
        <v>45964</v>
      </c>
      <c r="Q752" s="7">
        <v>45975</v>
      </c>
      <c r="R752" t="s">
        <v>1049</v>
      </c>
    </row>
    <row r="753" spans="1:18" x14ac:dyDescent="0.3">
      <c r="A753" t="s">
        <v>630</v>
      </c>
      <c r="B753" t="s">
        <v>29</v>
      </c>
      <c r="C753" t="s">
        <v>474</v>
      </c>
      <c r="D753" s="7">
        <v>45958</v>
      </c>
      <c r="E753" s="7">
        <v>45962</v>
      </c>
      <c r="F753" s="7">
        <v>45965</v>
      </c>
      <c r="G753" s="7">
        <v>45970</v>
      </c>
      <c r="H753" t="s">
        <v>17</v>
      </c>
      <c r="J753" s="7">
        <v>45987</v>
      </c>
      <c r="K753">
        <v>4</v>
      </c>
      <c r="L753">
        <v>3</v>
      </c>
      <c r="M753">
        <v>5</v>
      </c>
      <c r="N753">
        <v>4</v>
      </c>
      <c r="O753" s="7">
        <v>45958</v>
      </c>
      <c r="P753" s="7">
        <v>45962</v>
      </c>
      <c r="Q753" s="7">
        <v>45970</v>
      </c>
      <c r="R753" t="s">
        <v>1049</v>
      </c>
    </row>
    <row r="754" spans="1:18" x14ac:dyDescent="0.3">
      <c r="A754" t="s">
        <v>295</v>
      </c>
      <c r="B754" t="s">
        <v>29</v>
      </c>
      <c r="C754" t="s">
        <v>16</v>
      </c>
      <c r="D754" s="7">
        <v>45956</v>
      </c>
      <c r="E754" s="7">
        <v>45960</v>
      </c>
      <c r="F754" s="7">
        <v>45963</v>
      </c>
      <c r="G754" s="7">
        <v>45965</v>
      </c>
      <c r="H754" t="s">
        <v>17</v>
      </c>
      <c r="J754" s="7">
        <v>45982</v>
      </c>
      <c r="K754">
        <v>4</v>
      </c>
      <c r="L754">
        <v>3</v>
      </c>
      <c r="M754">
        <v>2</v>
      </c>
      <c r="N754">
        <v>4</v>
      </c>
      <c r="O754" s="7">
        <v>45956</v>
      </c>
      <c r="P754" s="7">
        <v>45960</v>
      </c>
      <c r="Q754" s="7">
        <v>45965</v>
      </c>
      <c r="R754" t="s">
        <v>1049</v>
      </c>
    </row>
    <row r="755" spans="1:18" x14ac:dyDescent="0.3">
      <c r="A755" t="s">
        <v>729</v>
      </c>
      <c r="B755" t="s">
        <v>27</v>
      </c>
      <c r="C755" t="s">
        <v>474</v>
      </c>
      <c r="D755" s="7">
        <v>45948</v>
      </c>
      <c r="E755" s="7">
        <v>45953</v>
      </c>
      <c r="F755" s="7">
        <v>45954</v>
      </c>
      <c r="G755" s="7">
        <v>45960</v>
      </c>
      <c r="H755" t="s">
        <v>17</v>
      </c>
      <c r="J755" s="7">
        <v>45981</v>
      </c>
      <c r="K755">
        <v>5</v>
      </c>
      <c r="L755">
        <v>1</v>
      </c>
      <c r="M755">
        <v>6</v>
      </c>
      <c r="N755">
        <v>9</v>
      </c>
      <c r="O755" s="7">
        <v>45948</v>
      </c>
      <c r="P755" s="7">
        <v>45953</v>
      </c>
      <c r="Q755" s="7">
        <v>45960</v>
      </c>
      <c r="R755" t="s">
        <v>1049</v>
      </c>
    </row>
    <row r="756" spans="1:18" x14ac:dyDescent="0.3">
      <c r="A756" t="s">
        <v>296</v>
      </c>
      <c r="B756" t="s">
        <v>22</v>
      </c>
      <c r="C756" t="s">
        <v>16</v>
      </c>
      <c r="D756" s="7">
        <v>45942</v>
      </c>
      <c r="E756" s="7">
        <v>45946</v>
      </c>
      <c r="F756" s="7">
        <v>45947</v>
      </c>
      <c r="G756" s="7">
        <v>45953</v>
      </c>
      <c r="H756" t="s">
        <v>17</v>
      </c>
      <c r="J756" s="7">
        <v>45972</v>
      </c>
      <c r="K756">
        <v>4</v>
      </c>
      <c r="L756">
        <v>1</v>
      </c>
      <c r="M756">
        <v>6</v>
      </c>
      <c r="N756">
        <v>6</v>
      </c>
      <c r="O756" s="7">
        <v>45942</v>
      </c>
      <c r="P756" s="7">
        <v>45946</v>
      </c>
      <c r="Q756" s="7">
        <v>45953</v>
      </c>
      <c r="R756" t="s">
        <v>1049</v>
      </c>
    </row>
    <row r="757" spans="1:18" x14ac:dyDescent="0.3">
      <c r="A757" t="s">
        <v>297</v>
      </c>
      <c r="B757" t="s">
        <v>15</v>
      </c>
      <c r="C757" t="s">
        <v>16</v>
      </c>
      <c r="D757" s="7">
        <v>45933</v>
      </c>
      <c r="E757" s="7">
        <v>45937</v>
      </c>
      <c r="F757" s="7">
        <v>45938</v>
      </c>
      <c r="G757" s="7">
        <v>45940</v>
      </c>
      <c r="H757" t="s">
        <v>17</v>
      </c>
      <c r="J757" s="7">
        <v>45954</v>
      </c>
      <c r="K757">
        <v>4</v>
      </c>
      <c r="L757">
        <v>1</v>
      </c>
      <c r="M757">
        <v>2</v>
      </c>
      <c r="N757">
        <v>5</v>
      </c>
      <c r="O757" s="7">
        <v>45933</v>
      </c>
      <c r="P757" s="7">
        <v>45937</v>
      </c>
      <c r="Q757" s="7">
        <v>45940</v>
      </c>
      <c r="R757" t="s">
        <v>1049</v>
      </c>
    </row>
    <row r="758" spans="1:18" x14ac:dyDescent="0.3">
      <c r="A758" t="s">
        <v>730</v>
      </c>
      <c r="B758" t="s">
        <v>27</v>
      </c>
      <c r="C758" t="s">
        <v>474</v>
      </c>
      <c r="D758" s="7">
        <v>45956</v>
      </c>
      <c r="E758" s="7">
        <v>45961</v>
      </c>
      <c r="F758" s="7">
        <v>45964</v>
      </c>
      <c r="G758" s="7">
        <v>45969</v>
      </c>
      <c r="H758" t="s">
        <v>17</v>
      </c>
      <c r="J758" s="7">
        <v>45982</v>
      </c>
      <c r="K758">
        <v>5</v>
      </c>
      <c r="L758">
        <v>3</v>
      </c>
      <c r="M758">
        <v>5</v>
      </c>
      <c r="N758">
        <v>7</v>
      </c>
      <c r="O758" s="7">
        <v>45956</v>
      </c>
      <c r="P758" s="7">
        <v>45961</v>
      </c>
      <c r="Q758" s="7">
        <v>45969</v>
      </c>
      <c r="R758" t="s">
        <v>1049</v>
      </c>
    </row>
    <row r="759" spans="1:18" x14ac:dyDescent="0.3">
      <c r="A759" t="s">
        <v>631</v>
      </c>
      <c r="B759" t="s">
        <v>29</v>
      </c>
      <c r="C759" t="s">
        <v>474</v>
      </c>
      <c r="D759" s="7">
        <v>45943</v>
      </c>
      <c r="E759" s="7">
        <v>45944</v>
      </c>
      <c r="F759" s="7">
        <v>45948</v>
      </c>
      <c r="G759" s="7">
        <v>45955</v>
      </c>
      <c r="H759" t="s">
        <v>17</v>
      </c>
      <c r="J759" s="7">
        <v>45977</v>
      </c>
      <c r="K759">
        <v>1</v>
      </c>
      <c r="L759">
        <v>4</v>
      </c>
      <c r="M759">
        <v>7</v>
      </c>
      <c r="N759">
        <v>6</v>
      </c>
      <c r="O759" s="7">
        <v>45943</v>
      </c>
      <c r="P759" s="7">
        <v>45944</v>
      </c>
      <c r="Q759" s="7">
        <v>45955</v>
      </c>
      <c r="R759" t="s">
        <v>1049</v>
      </c>
    </row>
    <row r="760" spans="1:18" x14ac:dyDescent="0.3">
      <c r="A760" t="s">
        <v>632</v>
      </c>
      <c r="B760" t="s">
        <v>27</v>
      </c>
      <c r="C760" t="s">
        <v>474</v>
      </c>
      <c r="D760" s="7">
        <v>45931</v>
      </c>
      <c r="E760" s="7">
        <v>45933</v>
      </c>
      <c r="F760" s="7">
        <v>45936</v>
      </c>
      <c r="G760" s="7">
        <v>45939</v>
      </c>
      <c r="H760" t="s">
        <v>17</v>
      </c>
      <c r="J760" s="7">
        <v>45965</v>
      </c>
      <c r="K760">
        <v>2</v>
      </c>
      <c r="L760">
        <v>3</v>
      </c>
      <c r="M760">
        <v>3</v>
      </c>
      <c r="N760">
        <v>6</v>
      </c>
      <c r="O760" s="7">
        <v>45931</v>
      </c>
      <c r="P760" s="7">
        <v>45933</v>
      </c>
      <c r="Q760" s="7">
        <v>45939</v>
      </c>
      <c r="R760" t="s">
        <v>1049</v>
      </c>
    </row>
    <row r="761" spans="1:18" x14ac:dyDescent="0.3">
      <c r="A761" t="s">
        <v>980</v>
      </c>
      <c r="B761" t="s">
        <v>29</v>
      </c>
      <c r="C761" t="s">
        <v>841</v>
      </c>
      <c r="D761" s="7">
        <v>45939</v>
      </c>
      <c r="H761" t="s">
        <v>752</v>
      </c>
      <c r="I761" t="s">
        <v>756</v>
      </c>
      <c r="O761" s="7">
        <v>45939</v>
      </c>
      <c r="R761" t="s">
        <v>1050</v>
      </c>
    </row>
    <row r="762" spans="1:18" x14ac:dyDescent="0.3">
      <c r="A762" t="s">
        <v>633</v>
      </c>
      <c r="B762" t="s">
        <v>29</v>
      </c>
      <c r="C762" t="s">
        <v>474</v>
      </c>
      <c r="D762" s="7">
        <v>45948</v>
      </c>
      <c r="E762" s="7">
        <v>45951</v>
      </c>
      <c r="F762" s="7">
        <v>45954</v>
      </c>
      <c r="G762" s="7">
        <v>45957</v>
      </c>
      <c r="H762" t="s">
        <v>17</v>
      </c>
      <c r="J762" s="7">
        <v>45985</v>
      </c>
      <c r="K762">
        <v>3</v>
      </c>
      <c r="L762">
        <v>3</v>
      </c>
      <c r="M762">
        <v>3</v>
      </c>
      <c r="N762">
        <v>2</v>
      </c>
      <c r="O762" s="7">
        <v>45948</v>
      </c>
      <c r="P762" s="7">
        <v>45951</v>
      </c>
      <c r="Q762" s="7">
        <v>45957</v>
      </c>
      <c r="R762" t="s">
        <v>1049</v>
      </c>
    </row>
    <row r="763" spans="1:18" x14ac:dyDescent="0.3">
      <c r="A763" t="s">
        <v>384</v>
      </c>
      <c r="B763" t="s">
        <v>27</v>
      </c>
      <c r="C763" t="s">
        <v>16</v>
      </c>
      <c r="D763" s="7">
        <v>45934</v>
      </c>
      <c r="E763" s="7">
        <v>45935</v>
      </c>
      <c r="F763" s="7">
        <v>45936</v>
      </c>
      <c r="G763" s="7">
        <v>45940</v>
      </c>
      <c r="H763" t="s">
        <v>17</v>
      </c>
      <c r="J763" s="7">
        <v>45959</v>
      </c>
      <c r="K763">
        <v>1</v>
      </c>
      <c r="L763">
        <v>1</v>
      </c>
      <c r="M763">
        <v>4</v>
      </c>
      <c r="N763">
        <v>8</v>
      </c>
      <c r="O763" s="7">
        <v>45934</v>
      </c>
      <c r="P763" s="7">
        <v>45935</v>
      </c>
      <c r="Q763" s="7">
        <v>45940</v>
      </c>
      <c r="R763" t="s">
        <v>1049</v>
      </c>
    </row>
    <row r="764" spans="1:18" x14ac:dyDescent="0.3">
      <c r="A764" t="s">
        <v>981</v>
      </c>
      <c r="B764" t="s">
        <v>22</v>
      </c>
      <c r="C764" t="s">
        <v>841</v>
      </c>
      <c r="D764" s="7">
        <v>45945</v>
      </c>
      <c r="H764" t="s">
        <v>752</v>
      </c>
      <c r="I764" t="s">
        <v>753</v>
      </c>
      <c r="O764" s="7">
        <v>45945</v>
      </c>
      <c r="R764" t="s">
        <v>1050</v>
      </c>
    </row>
    <row r="765" spans="1:18" x14ac:dyDescent="0.3">
      <c r="A765" t="s">
        <v>825</v>
      </c>
      <c r="B765" t="s">
        <v>29</v>
      </c>
      <c r="C765" t="s">
        <v>16</v>
      </c>
      <c r="D765" s="7">
        <v>45942</v>
      </c>
      <c r="E765" s="7">
        <v>45946</v>
      </c>
      <c r="F765" s="7">
        <v>45948</v>
      </c>
      <c r="G765" s="7">
        <v>45952</v>
      </c>
      <c r="H765" t="s">
        <v>752</v>
      </c>
      <c r="I765" t="s">
        <v>756</v>
      </c>
      <c r="K765">
        <v>4</v>
      </c>
      <c r="L765">
        <v>2</v>
      </c>
      <c r="M765">
        <v>4</v>
      </c>
      <c r="O765" s="7">
        <v>45942</v>
      </c>
      <c r="P765" s="7">
        <v>45946</v>
      </c>
      <c r="Q765" s="7">
        <v>45952</v>
      </c>
      <c r="R765" t="s">
        <v>1049</v>
      </c>
    </row>
    <row r="766" spans="1:18" x14ac:dyDescent="0.3">
      <c r="A766" t="s">
        <v>982</v>
      </c>
      <c r="B766" t="s">
        <v>22</v>
      </c>
      <c r="C766" t="s">
        <v>841</v>
      </c>
      <c r="D766" s="7">
        <v>45952</v>
      </c>
      <c r="H766" t="s">
        <v>752</v>
      </c>
      <c r="I766" t="s">
        <v>777</v>
      </c>
      <c r="O766" s="7">
        <v>45952</v>
      </c>
      <c r="R766" t="s">
        <v>1050</v>
      </c>
    </row>
    <row r="767" spans="1:18" x14ac:dyDescent="0.3">
      <c r="A767" t="s">
        <v>298</v>
      </c>
      <c r="B767" t="s">
        <v>15</v>
      </c>
      <c r="C767" t="s">
        <v>16</v>
      </c>
      <c r="D767" s="7">
        <v>45954</v>
      </c>
      <c r="E767" s="7">
        <v>45958</v>
      </c>
      <c r="F767" s="7">
        <v>45959</v>
      </c>
      <c r="G767" s="7">
        <v>45963</v>
      </c>
      <c r="H767" t="s">
        <v>17</v>
      </c>
      <c r="J767" s="7">
        <v>45978</v>
      </c>
      <c r="K767">
        <v>4</v>
      </c>
      <c r="L767">
        <v>1</v>
      </c>
      <c r="M767">
        <v>4</v>
      </c>
      <c r="N767">
        <v>1</v>
      </c>
      <c r="O767" s="7">
        <v>45954</v>
      </c>
      <c r="P767" s="7">
        <v>45958</v>
      </c>
      <c r="Q767" s="7">
        <v>45963</v>
      </c>
      <c r="R767" t="s">
        <v>1049</v>
      </c>
    </row>
    <row r="768" spans="1:18" x14ac:dyDescent="0.3">
      <c r="A768" t="s">
        <v>983</v>
      </c>
      <c r="B768" t="s">
        <v>29</v>
      </c>
      <c r="C768" t="s">
        <v>841</v>
      </c>
      <c r="D768" s="7">
        <v>45952</v>
      </c>
      <c r="H768" t="s">
        <v>752</v>
      </c>
      <c r="I768" t="s">
        <v>765</v>
      </c>
      <c r="O768" s="7">
        <v>45952</v>
      </c>
      <c r="R768" t="s">
        <v>1050</v>
      </c>
    </row>
    <row r="769" spans="1:18" x14ac:dyDescent="0.3">
      <c r="A769" t="s">
        <v>731</v>
      </c>
      <c r="B769" t="s">
        <v>22</v>
      </c>
      <c r="C769" t="s">
        <v>474</v>
      </c>
      <c r="D769" s="7">
        <v>45939</v>
      </c>
      <c r="E769" s="7">
        <v>45944</v>
      </c>
      <c r="F769" s="7">
        <v>45946</v>
      </c>
      <c r="G769" s="7">
        <v>45951</v>
      </c>
      <c r="H769" t="s">
        <v>17</v>
      </c>
      <c r="J769" s="7">
        <v>45963</v>
      </c>
      <c r="K769">
        <v>5</v>
      </c>
      <c r="L769">
        <v>2</v>
      </c>
      <c r="M769">
        <v>5</v>
      </c>
      <c r="N769">
        <v>0</v>
      </c>
      <c r="O769" s="7">
        <v>45939</v>
      </c>
      <c r="P769" s="7">
        <v>45944</v>
      </c>
      <c r="Q769" s="7">
        <v>45951</v>
      </c>
      <c r="R769" t="s">
        <v>1049</v>
      </c>
    </row>
    <row r="770" spans="1:18" x14ac:dyDescent="0.3">
      <c r="A770" t="s">
        <v>634</v>
      </c>
      <c r="B770" t="s">
        <v>22</v>
      </c>
      <c r="C770" t="s">
        <v>474</v>
      </c>
      <c r="D770" s="7">
        <v>45949</v>
      </c>
      <c r="E770" s="7">
        <v>45952</v>
      </c>
      <c r="F770" s="7">
        <v>45956</v>
      </c>
      <c r="G770" s="7">
        <v>45963</v>
      </c>
      <c r="H770" t="s">
        <v>17</v>
      </c>
      <c r="J770" s="7">
        <v>45974</v>
      </c>
      <c r="K770">
        <v>3</v>
      </c>
      <c r="L770">
        <v>4</v>
      </c>
      <c r="M770">
        <v>7</v>
      </c>
      <c r="N770">
        <v>4</v>
      </c>
      <c r="O770" s="7">
        <v>45949</v>
      </c>
      <c r="P770" s="7">
        <v>45952</v>
      </c>
      <c r="Q770" s="7">
        <v>45963</v>
      </c>
      <c r="R770" t="s">
        <v>1049</v>
      </c>
    </row>
    <row r="771" spans="1:18" x14ac:dyDescent="0.3">
      <c r="A771" t="s">
        <v>457</v>
      </c>
      <c r="B771" t="s">
        <v>15</v>
      </c>
      <c r="C771" t="s">
        <v>16</v>
      </c>
      <c r="D771" s="7">
        <v>45943</v>
      </c>
      <c r="E771" s="7">
        <v>45945</v>
      </c>
      <c r="F771" s="7">
        <v>45949</v>
      </c>
      <c r="G771" s="7">
        <v>45956</v>
      </c>
      <c r="H771" t="s">
        <v>17</v>
      </c>
      <c r="J771" s="7">
        <v>45975</v>
      </c>
      <c r="K771">
        <v>2</v>
      </c>
      <c r="L771">
        <v>4</v>
      </c>
      <c r="M771">
        <v>7</v>
      </c>
      <c r="N771">
        <v>0</v>
      </c>
      <c r="O771" s="7">
        <v>45943</v>
      </c>
      <c r="P771" s="7">
        <v>45945</v>
      </c>
      <c r="Q771" s="7">
        <v>45956</v>
      </c>
      <c r="R771" t="s">
        <v>1049</v>
      </c>
    </row>
    <row r="772" spans="1:18" x14ac:dyDescent="0.3">
      <c r="A772" t="s">
        <v>984</v>
      </c>
      <c r="B772" t="s">
        <v>22</v>
      </c>
      <c r="C772" t="s">
        <v>841</v>
      </c>
      <c r="D772" s="7">
        <v>45957</v>
      </c>
      <c r="H772" t="s">
        <v>752</v>
      </c>
      <c r="I772" t="s">
        <v>777</v>
      </c>
      <c r="O772" s="7">
        <v>45957</v>
      </c>
      <c r="R772" t="s">
        <v>1050</v>
      </c>
    </row>
    <row r="773" spans="1:18" x14ac:dyDescent="0.3">
      <c r="A773" t="s">
        <v>985</v>
      </c>
      <c r="B773" t="s">
        <v>22</v>
      </c>
      <c r="C773" t="s">
        <v>841</v>
      </c>
      <c r="D773" s="7">
        <v>45951</v>
      </c>
      <c r="H773" t="s">
        <v>752</v>
      </c>
      <c r="I773" t="s">
        <v>758</v>
      </c>
      <c r="O773" s="7">
        <v>45951</v>
      </c>
      <c r="R773" t="s">
        <v>1050</v>
      </c>
    </row>
    <row r="774" spans="1:18" x14ac:dyDescent="0.3">
      <c r="A774" t="s">
        <v>732</v>
      </c>
      <c r="B774" t="s">
        <v>15</v>
      </c>
      <c r="C774" t="s">
        <v>474</v>
      </c>
      <c r="D774" s="7">
        <v>45961</v>
      </c>
      <c r="E774" s="7">
        <v>45966</v>
      </c>
      <c r="F774" s="7">
        <v>45971</v>
      </c>
      <c r="G774" s="7">
        <v>45975</v>
      </c>
      <c r="H774" t="s">
        <v>17</v>
      </c>
      <c r="J774" s="7">
        <v>45994</v>
      </c>
      <c r="K774">
        <v>5</v>
      </c>
      <c r="L774">
        <v>5</v>
      </c>
      <c r="M774">
        <v>4</v>
      </c>
      <c r="N774">
        <v>4</v>
      </c>
      <c r="O774" s="7">
        <v>45961</v>
      </c>
      <c r="P774" s="7">
        <v>45966</v>
      </c>
      <c r="Q774" s="7">
        <v>45975</v>
      </c>
      <c r="R774" t="s">
        <v>1049</v>
      </c>
    </row>
    <row r="775" spans="1:18" x14ac:dyDescent="0.3">
      <c r="A775" t="s">
        <v>733</v>
      </c>
      <c r="B775" t="s">
        <v>29</v>
      </c>
      <c r="C775" t="s">
        <v>474</v>
      </c>
      <c r="D775" s="7">
        <v>45942</v>
      </c>
      <c r="E775" s="7">
        <v>45947</v>
      </c>
      <c r="F775" s="7">
        <v>45952</v>
      </c>
      <c r="G775" s="7">
        <v>45956</v>
      </c>
      <c r="H775" t="s">
        <v>17</v>
      </c>
      <c r="J775" s="7">
        <v>45980</v>
      </c>
      <c r="K775">
        <v>5</v>
      </c>
      <c r="L775">
        <v>5</v>
      </c>
      <c r="M775">
        <v>4</v>
      </c>
      <c r="N775">
        <v>1</v>
      </c>
      <c r="O775" s="7">
        <v>45942</v>
      </c>
      <c r="P775" s="7">
        <v>45947</v>
      </c>
      <c r="Q775" s="7">
        <v>45956</v>
      </c>
      <c r="R775" t="s">
        <v>1049</v>
      </c>
    </row>
    <row r="776" spans="1:18" x14ac:dyDescent="0.3">
      <c r="A776" t="s">
        <v>986</v>
      </c>
      <c r="B776" t="s">
        <v>22</v>
      </c>
      <c r="C776" t="s">
        <v>841</v>
      </c>
      <c r="D776" s="7">
        <v>45934</v>
      </c>
      <c r="H776" t="s">
        <v>752</v>
      </c>
      <c r="I776" t="s">
        <v>753</v>
      </c>
      <c r="O776" s="7">
        <v>45934</v>
      </c>
      <c r="R776" t="s">
        <v>1050</v>
      </c>
    </row>
    <row r="777" spans="1:18" x14ac:dyDescent="0.3">
      <c r="A777" t="s">
        <v>635</v>
      </c>
      <c r="B777" t="s">
        <v>22</v>
      </c>
      <c r="C777" t="s">
        <v>474</v>
      </c>
      <c r="D777" s="7">
        <v>45952</v>
      </c>
      <c r="E777" s="7">
        <v>45954</v>
      </c>
      <c r="F777" s="7">
        <v>45959</v>
      </c>
      <c r="G777" s="7">
        <v>45964</v>
      </c>
      <c r="H777" t="s">
        <v>17</v>
      </c>
      <c r="J777" s="7">
        <v>45990</v>
      </c>
      <c r="K777">
        <v>2</v>
      </c>
      <c r="L777">
        <v>5</v>
      </c>
      <c r="M777">
        <v>5</v>
      </c>
      <c r="N777">
        <v>10</v>
      </c>
      <c r="O777" s="7">
        <v>45952</v>
      </c>
      <c r="P777" s="7">
        <v>45954</v>
      </c>
      <c r="Q777" s="7">
        <v>45964</v>
      </c>
      <c r="R777" t="s">
        <v>1049</v>
      </c>
    </row>
    <row r="778" spans="1:18" x14ac:dyDescent="0.3">
      <c r="A778" t="s">
        <v>458</v>
      </c>
      <c r="B778" t="s">
        <v>22</v>
      </c>
      <c r="C778" t="s">
        <v>16</v>
      </c>
      <c r="D778" s="7">
        <v>45938</v>
      </c>
      <c r="E778" s="7">
        <v>45940</v>
      </c>
      <c r="F778" s="7">
        <v>45944</v>
      </c>
      <c r="G778" s="7">
        <v>45948</v>
      </c>
      <c r="H778" t="s">
        <v>17</v>
      </c>
      <c r="J778" s="7">
        <v>45977</v>
      </c>
      <c r="K778">
        <v>2</v>
      </c>
      <c r="L778">
        <v>4</v>
      </c>
      <c r="M778">
        <v>4</v>
      </c>
      <c r="N778">
        <v>1</v>
      </c>
      <c r="O778" s="7">
        <v>45938</v>
      </c>
      <c r="P778" s="7">
        <v>45940</v>
      </c>
      <c r="Q778" s="7">
        <v>45948</v>
      </c>
      <c r="R778" t="s">
        <v>1049</v>
      </c>
    </row>
    <row r="779" spans="1:18" x14ac:dyDescent="0.3">
      <c r="A779" t="s">
        <v>987</v>
      </c>
      <c r="B779" t="s">
        <v>27</v>
      </c>
      <c r="C779" t="s">
        <v>841</v>
      </c>
      <c r="D779" s="7">
        <v>45946</v>
      </c>
      <c r="H779" t="s">
        <v>752</v>
      </c>
      <c r="I779" t="s">
        <v>756</v>
      </c>
      <c r="O779" s="7">
        <v>45946</v>
      </c>
      <c r="R779" t="s">
        <v>1050</v>
      </c>
    </row>
    <row r="780" spans="1:18" x14ac:dyDescent="0.3">
      <c r="A780" t="s">
        <v>299</v>
      </c>
      <c r="B780" t="s">
        <v>15</v>
      </c>
      <c r="C780" t="s">
        <v>16</v>
      </c>
      <c r="D780" s="7">
        <v>45931</v>
      </c>
      <c r="E780" s="7">
        <v>45935</v>
      </c>
      <c r="F780" s="7">
        <v>45936</v>
      </c>
      <c r="G780" s="7">
        <v>45939</v>
      </c>
      <c r="H780" t="s">
        <v>17</v>
      </c>
      <c r="J780" s="7">
        <v>45965</v>
      </c>
      <c r="K780">
        <v>4</v>
      </c>
      <c r="L780">
        <v>1</v>
      </c>
      <c r="M780">
        <v>3</v>
      </c>
      <c r="N780">
        <v>3</v>
      </c>
      <c r="O780" s="7">
        <v>45931</v>
      </c>
      <c r="P780" s="7">
        <v>45935</v>
      </c>
      <c r="Q780" s="7">
        <v>45939</v>
      </c>
      <c r="R780" t="s">
        <v>1049</v>
      </c>
    </row>
    <row r="781" spans="1:18" x14ac:dyDescent="0.3">
      <c r="A781" t="s">
        <v>199</v>
      </c>
      <c r="B781" t="s">
        <v>27</v>
      </c>
      <c r="C781" t="s">
        <v>16</v>
      </c>
      <c r="D781" s="7">
        <v>45950</v>
      </c>
      <c r="E781" s="7">
        <v>45955</v>
      </c>
      <c r="F781" s="7">
        <v>45956</v>
      </c>
      <c r="G781" s="7">
        <v>45958</v>
      </c>
      <c r="H781" t="s">
        <v>17</v>
      </c>
      <c r="J781" s="7">
        <v>45978</v>
      </c>
      <c r="K781">
        <v>5</v>
      </c>
      <c r="L781">
        <v>1</v>
      </c>
      <c r="M781">
        <v>2</v>
      </c>
      <c r="N781">
        <v>2</v>
      </c>
      <c r="O781" s="7">
        <v>45950</v>
      </c>
      <c r="P781" s="7">
        <v>45955</v>
      </c>
      <c r="Q781" s="7">
        <v>45958</v>
      </c>
      <c r="R781" t="s">
        <v>1049</v>
      </c>
    </row>
    <row r="782" spans="1:18" x14ac:dyDescent="0.3">
      <c r="A782" t="s">
        <v>385</v>
      </c>
      <c r="B782" t="s">
        <v>15</v>
      </c>
      <c r="C782" t="s">
        <v>16</v>
      </c>
      <c r="D782" s="7">
        <v>45959</v>
      </c>
      <c r="E782" s="7">
        <v>45960</v>
      </c>
      <c r="F782" s="7">
        <v>45961</v>
      </c>
      <c r="G782" s="7">
        <v>45964</v>
      </c>
      <c r="H782" t="s">
        <v>17</v>
      </c>
      <c r="J782" s="7">
        <v>45987</v>
      </c>
      <c r="K782">
        <v>1</v>
      </c>
      <c r="L782">
        <v>1</v>
      </c>
      <c r="M782">
        <v>3</v>
      </c>
      <c r="N782">
        <v>2</v>
      </c>
      <c r="O782" s="7">
        <v>45959</v>
      </c>
      <c r="P782" s="7">
        <v>45960</v>
      </c>
      <c r="Q782" s="7">
        <v>45964</v>
      </c>
      <c r="R782" t="s">
        <v>1049</v>
      </c>
    </row>
    <row r="783" spans="1:18" x14ac:dyDescent="0.3">
      <c r="A783" t="s">
        <v>636</v>
      </c>
      <c r="B783" t="s">
        <v>29</v>
      </c>
      <c r="C783" t="s">
        <v>474</v>
      </c>
      <c r="D783" s="7">
        <v>45961</v>
      </c>
      <c r="E783" s="7">
        <v>45962</v>
      </c>
      <c r="F783" s="7">
        <v>45965</v>
      </c>
      <c r="G783" s="7">
        <v>45968</v>
      </c>
      <c r="H783" t="s">
        <v>17</v>
      </c>
      <c r="J783" s="7">
        <v>45982</v>
      </c>
      <c r="K783">
        <v>1</v>
      </c>
      <c r="L783">
        <v>3</v>
      </c>
      <c r="M783">
        <v>3</v>
      </c>
      <c r="N783">
        <v>4</v>
      </c>
      <c r="O783" s="7">
        <v>45961</v>
      </c>
      <c r="P783" s="7">
        <v>45962</v>
      </c>
      <c r="Q783" s="7">
        <v>45968</v>
      </c>
      <c r="R783" t="s">
        <v>1049</v>
      </c>
    </row>
    <row r="784" spans="1:18" x14ac:dyDescent="0.3">
      <c r="A784" t="s">
        <v>988</v>
      </c>
      <c r="B784" t="s">
        <v>29</v>
      </c>
      <c r="C784" t="s">
        <v>841</v>
      </c>
      <c r="D784" s="7">
        <v>45948</v>
      </c>
      <c r="H784" t="s">
        <v>752</v>
      </c>
      <c r="I784" t="s">
        <v>758</v>
      </c>
      <c r="O784" s="7">
        <v>45948</v>
      </c>
      <c r="R784" t="s">
        <v>1050</v>
      </c>
    </row>
    <row r="785" spans="1:18" x14ac:dyDescent="0.3">
      <c r="A785" t="s">
        <v>200</v>
      </c>
      <c r="B785" t="s">
        <v>22</v>
      </c>
      <c r="C785" t="s">
        <v>16</v>
      </c>
      <c r="D785" s="7">
        <v>45941</v>
      </c>
      <c r="E785" s="7">
        <v>45946</v>
      </c>
      <c r="F785" s="7">
        <v>45951</v>
      </c>
      <c r="G785" s="7">
        <v>45957</v>
      </c>
      <c r="H785" t="s">
        <v>17</v>
      </c>
      <c r="J785" s="7">
        <v>45977</v>
      </c>
      <c r="K785">
        <v>5</v>
      </c>
      <c r="L785">
        <v>5</v>
      </c>
      <c r="M785">
        <v>6</v>
      </c>
      <c r="N785">
        <v>9</v>
      </c>
      <c r="O785" s="7">
        <v>45941</v>
      </c>
      <c r="P785" s="7">
        <v>45946</v>
      </c>
      <c r="Q785" s="7">
        <v>45957</v>
      </c>
      <c r="R785" t="s">
        <v>1049</v>
      </c>
    </row>
    <row r="786" spans="1:18" x14ac:dyDescent="0.3">
      <c r="A786" t="s">
        <v>989</v>
      </c>
      <c r="B786" t="s">
        <v>15</v>
      </c>
      <c r="C786" t="s">
        <v>841</v>
      </c>
      <c r="D786" s="7">
        <v>45960</v>
      </c>
      <c r="H786" t="s">
        <v>752</v>
      </c>
      <c r="I786" t="s">
        <v>756</v>
      </c>
      <c r="O786" s="7">
        <v>45960</v>
      </c>
      <c r="R786" t="s">
        <v>1050</v>
      </c>
    </row>
    <row r="787" spans="1:18" x14ac:dyDescent="0.3">
      <c r="A787" t="s">
        <v>637</v>
      </c>
      <c r="B787" t="s">
        <v>29</v>
      </c>
      <c r="C787" t="s">
        <v>474</v>
      </c>
      <c r="D787" s="7">
        <v>45950</v>
      </c>
      <c r="E787" s="7">
        <v>45952</v>
      </c>
      <c r="F787" s="7">
        <v>45953</v>
      </c>
      <c r="G787" s="7">
        <v>45955</v>
      </c>
      <c r="H787" t="s">
        <v>17</v>
      </c>
      <c r="J787" s="7">
        <v>45980</v>
      </c>
      <c r="K787">
        <v>2</v>
      </c>
      <c r="L787">
        <v>1</v>
      </c>
      <c r="M787">
        <v>2</v>
      </c>
      <c r="N787">
        <v>7</v>
      </c>
      <c r="O787" s="7">
        <v>45950</v>
      </c>
      <c r="P787" s="7">
        <v>45952</v>
      </c>
      <c r="Q787" s="7">
        <v>45955</v>
      </c>
      <c r="R787" t="s">
        <v>1049</v>
      </c>
    </row>
    <row r="788" spans="1:18" x14ac:dyDescent="0.3">
      <c r="A788" t="s">
        <v>990</v>
      </c>
      <c r="B788" t="s">
        <v>15</v>
      </c>
      <c r="C788" t="s">
        <v>841</v>
      </c>
      <c r="D788" s="7">
        <v>45938</v>
      </c>
      <c r="H788" t="s">
        <v>752</v>
      </c>
      <c r="I788" t="s">
        <v>765</v>
      </c>
      <c r="O788" s="7">
        <v>45938</v>
      </c>
      <c r="R788" t="s">
        <v>1050</v>
      </c>
    </row>
    <row r="789" spans="1:18" x14ac:dyDescent="0.3">
      <c r="A789" t="s">
        <v>108</v>
      </c>
      <c r="B789" t="s">
        <v>29</v>
      </c>
      <c r="C789" t="s">
        <v>16</v>
      </c>
      <c r="D789" s="7">
        <v>45951</v>
      </c>
      <c r="E789" s="7">
        <v>45954</v>
      </c>
      <c r="F789" s="7">
        <v>45959</v>
      </c>
      <c r="G789" s="7">
        <v>45962</v>
      </c>
      <c r="H789" t="s">
        <v>17</v>
      </c>
      <c r="J789" s="7">
        <v>45983</v>
      </c>
      <c r="K789">
        <v>3</v>
      </c>
      <c r="L789">
        <v>5</v>
      </c>
      <c r="M789">
        <v>3</v>
      </c>
      <c r="N789">
        <v>3</v>
      </c>
      <c r="O789" s="7">
        <v>45951</v>
      </c>
      <c r="P789" s="7">
        <v>45954</v>
      </c>
      <c r="Q789" s="7">
        <v>45962</v>
      </c>
      <c r="R789" t="s">
        <v>1049</v>
      </c>
    </row>
    <row r="790" spans="1:18" x14ac:dyDescent="0.3">
      <c r="A790" t="s">
        <v>638</v>
      </c>
      <c r="B790" t="s">
        <v>27</v>
      </c>
      <c r="C790" t="s">
        <v>474</v>
      </c>
      <c r="D790" s="7">
        <v>45933</v>
      </c>
      <c r="E790" s="7">
        <v>45935</v>
      </c>
      <c r="F790" s="7">
        <v>45940</v>
      </c>
      <c r="G790" s="7">
        <v>45942</v>
      </c>
      <c r="H790" t="s">
        <v>17</v>
      </c>
      <c r="J790" s="7">
        <v>45958</v>
      </c>
      <c r="K790">
        <v>2</v>
      </c>
      <c r="L790">
        <v>5</v>
      </c>
      <c r="M790">
        <v>2</v>
      </c>
      <c r="N790">
        <v>3</v>
      </c>
      <c r="O790" s="7">
        <v>45933</v>
      </c>
      <c r="P790" s="7">
        <v>45935</v>
      </c>
      <c r="Q790" s="7">
        <v>45942</v>
      </c>
      <c r="R790" t="s">
        <v>1049</v>
      </c>
    </row>
    <row r="791" spans="1:18" x14ac:dyDescent="0.3">
      <c r="A791" t="s">
        <v>639</v>
      </c>
      <c r="B791" t="s">
        <v>29</v>
      </c>
      <c r="C791" t="s">
        <v>474</v>
      </c>
      <c r="D791" s="7">
        <v>45951</v>
      </c>
      <c r="E791" s="7">
        <v>45953</v>
      </c>
      <c r="F791" s="7">
        <v>45956</v>
      </c>
      <c r="G791" s="7">
        <v>45959</v>
      </c>
      <c r="H791" t="s">
        <v>17</v>
      </c>
      <c r="J791" s="7">
        <v>45974</v>
      </c>
      <c r="K791">
        <v>2</v>
      </c>
      <c r="L791">
        <v>3</v>
      </c>
      <c r="M791">
        <v>3</v>
      </c>
      <c r="N791">
        <v>3</v>
      </c>
      <c r="O791" s="7">
        <v>45951</v>
      </c>
      <c r="P791" s="7">
        <v>45953</v>
      </c>
      <c r="Q791" s="7">
        <v>45959</v>
      </c>
      <c r="R791" t="s">
        <v>1049</v>
      </c>
    </row>
    <row r="792" spans="1:18" x14ac:dyDescent="0.3">
      <c r="A792" t="s">
        <v>109</v>
      </c>
      <c r="B792" t="s">
        <v>27</v>
      </c>
      <c r="C792" t="s">
        <v>16</v>
      </c>
      <c r="D792" s="7">
        <v>45957</v>
      </c>
      <c r="E792" s="7">
        <v>45960</v>
      </c>
      <c r="F792" s="7">
        <v>45964</v>
      </c>
      <c r="G792" s="7">
        <v>45969</v>
      </c>
      <c r="H792" t="s">
        <v>17</v>
      </c>
      <c r="J792" s="7">
        <v>45991</v>
      </c>
      <c r="K792">
        <v>3</v>
      </c>
      <c r="L792">
        <v>4</v>
      </c>
      <c r="M792">
        <v>5</v>
      </c>
      <c r="N792">
        <v>5</v>
      </c>
      <c r="O792" s="7">
        <v>45957</v>
      </c>
      <c r="P792" s="7">
        <v>45960</v>
      </c>
      <c r="Q792" s="7">
        <v>45969</v>
      </c>
      <c r="R792" t="s">
        <v>1049</v>
      </c>
    </row>
    <row r="793" spans="1:18" x14ac:dyDescent="0.3">
      <c r="A793" t="s">
        <v>459</v>
      </c>
      <c r="B793" t="s">
        <v>29</v>
      </c>
      <c r="C793" t="s">
        <v>16</v>
      </c>
      <c r="D793" s="7">
        <v>45945</v>
      </c>
      <c r="E793" s="7">
        <v>45947</v>
      </c>
      <c r="F793" s="7">
        <v>45948</v>
      </c>
      <c r="G793" s="7">
        <v>45953</v>
      </c>
      <c r="H793" t="s">
        <v>17</v>
      </c>
      <c r="J793" s="7">
        <v>45963</v>
      </c>
      <c r="K793">
        <v>2</v>
      </c>
      <c r="L793">
        <v>1</v>
      </c>
      <c r="M793">
        <v>5</v>
      </c>
      <c r="N793">
        <v>8</v>
      </c>
      <c r="O793" s="7">
        <v>45945</v>
      </c>
      <c r="P793" s="7">
        <v>45947</v>
      </c>
      <c r="Q793" s="7">
        <v>45953</v>
      </c>
      <c r="R793" t="s">
        <v>1049</v>
      </c>
    </row>
    <row r="794" spans="1:18" x14ac:dyDescent="0.3">
      <c r="A794" t="s">
        <v>991</v>
      </c>
      <c r="B794" t="s">
        <v>22</v>
      </c>
      <c r="C794" t="s">
        <v>841</v>
      </c>
      <c r="D794" s="7">
        <v>45960</v>
      </c>
      <c r="H794" t="s">
        <v>752</v>
      </c>
      <c r="I794" t="s">
        <v>765</v>
      </c>
      <c r="O794" s="7">
        <v>45960</v>
      </c>
      <c r="R794" t="s">
        <v>1050</v>
      </c>
    </row>
    <row r="795" spans="1:18" x14ac:dyDescent="0.3">
      <c r="A795" t="s">
        <v>640</v>
      </c>
      <c r="B795" t="s">
        <v>27</v>
      </c>
      <c r="C795" t="s">
        <v>474</v>
      </c>
      <c r="D795" s="7">
        <v>45953</v>
      </c>
      <c r="E795" s="7">
        <v>45956</v>
      </c>
      <c r="F795" s="7">
        <v>45959</v>
      </c>
      <c r="G795" s="7">
        <v>45963</v>
      </c>
      <c r="H795" t="s">
        <v>17</v>
      </c>
      <c r="J795" s="7">
        <v>45980</v>
      </c>
      <c r="K795">
        <v>3</v>
      </c>
      <c r="L795">
        <v>3</v>
      </c>
      <c r="M795">
        <v>4</v>
      </c>
      <c r="N795">
        <v>1</v>
      </c>
      <c r="O795" s="7">
        <v>45953</v>
      </c>
      <c r="P795" s="7">
        <v>45956</v>
      </c>
      <c r="Q795" s="7">
        <v>45963</v>
      </c>
      <c r="R795" t="s">
        <v>1049</v>
      </c>
    </row>
    <row r="796" spans="1:18" x14ac:dyDescent="0.3">
      <c r="A796" t="s">
        <v>734</v>
      </c>
      <c r="B796" t="s">
        <v>29</v>
      </c>
      <c r="C796" t="s">
        <v>474</v>
      </c>
      <c r="D796" s="7">
        <v>45940</v>
      </c>
      <c r="E796" s="7">
        <v>45945</v>
      </c>
      <c r="F796" s="7">
        <v>45949</v>
      </c>
      <c r="G796" s="7">
        <v>45954</v>
      </c>
      <c r="H796" t="s">
        <v>17</v>
      </c>
      <c r="J796" s="7">
        <v>45971</v>
      </c>
      <c r="K796">
        <v>5</v>
      </c>
      <c r="L796">
        <v>4</v>
      </c>
      <c r="M796">
        <v>5</v>
      </c>
      <c r="N796">
        <v>10</v>
      </c>
      <c r="O796" s="7">
        <v>45940</v>
      </c>
      <c r="P796" s="7">
        <v>45945</v>
      </c>
      <c r="Q796" s="7">
        <v>45954</v>
      </c>
      <c r="R796" t="s">
        <v>1049</v>
      </c>
    </row>
    <row r="797" spans="1:18" x14ac:dyDescent="0.3">
      <c r="A797" t="s">
        <v>110</v>
      </c>
      <c r="B797" t="s">
        <v>22</v>
      </c>
      <c r="C797" t="s">
        <v>16</v>
      </c>
      <c r="D797" s="7">
        <v>45951</v>
      </c>
      <c r="E797" s="7">
        <v>45954</v>
      </c>
      <c r="F797" s="7">
        <v>45958</v>
      </c>
      <c r="G797" s="7">
        <v>45960</v>
      </c>
      <c r="H797" t="s">
        <v>17</v>
      </c>
      <c r="J797" s="7">
        <v>45974</v>
      </c>
      <c r="K797">
        <v>3</v>
      </c>
      <c r="L797">
        <v>4</v>
      </c>
      <c r="M797">
        <v>2</v>
      </c>
      <c r="N797">
        <v>4</v>
      </c>
      <c r="O797" s="7">
        <v>45951</v>
      </c>
      <c r="P797" s="7">
        <v>45954</v>
      </c>
      <c r="Q797" s="7">
        <v>45960</v>
      </c>
      <c r="R797" t="s">
        <v>1049</v>
      </c>
    </row>
    <row r="798" spans="1:18" x14ac:dyDescent="0.3">
      <c r="A798" t="s">
        <v>386</v>
      </c>
      <c r="B798" t="s">
        <v>27</v>
      </c>
      <c r="C798" t="s">
        <v>16</v>
      </c>
      <c r="D798" s="7">
        <v>45944</v>
      </c>
      <c r="E798" s="7">
        <v>45945</v>
      </c>
      <c r="F798" s="7">
        <v>45946</v>
      </c>
      <c r="G798" s="7">
        <v>45952</v>
      </c>
      <c r="H798" t="s">
        <v>17</v>
      </c>
      <c r="J798" s="7">
        <v>45968</v>
      </c>
      <c r="K798">
        <v>1</v>
      </c>
      <c r="L798">
        <v>1</v>
      </c>
      <c r="M798">
        <v>6</v>
      </c>
      <c r="N798">
        <v>8</v>
      </c>
      <c r="O798" s="7">
        <v>45944</v>
      </c>
      <c r="P798" s="7">
        <v>45945</v>
      </c>
      <c r="Q798" s="7">
        <v>45952</v>
      </c>
      <c r="R798" t="s">
        <v>1049</v>
      </c>
    </row>
    <row r="799" spans="1:18" x14ac:dyDescent="0.3">
      <c r="A799" t="s">
        <v>111</v>
      </c>
      <c r="B799" t="s">
        <v>22</v>
      </c>
      <c r="C799" t="s">
        <v>16</v>
      </c>
      <c r="D799" s="7">
        <v>45934</v>
      </c>
      <c r="E799" s="7">
        <v>45937</v>
      </c>
      <c r="F799" s="7">
        <v>45942</v>
      </c>
      <c r="G799" s="7">
        <v>45946</v>
      </c>
      <c r="H799" t="s">
        <v>17</v>
      </c>
      <c r="J799" s="7">
        <v>45956</v>
      </c>
      <c r="K799">
        <v>3</v>
      </c>
      <c r="L799">
        <v>5</v>
      </c>
      <c r="M799">
        <v>4</v>
      </c>
      <c r="N799">
        <v>7</v>
      </c>
      <c r="O799" s="7">
        <v>45934</v>
      </c>
      <c r="P799" s="7">
        <v>45937</v>
      </c>
      <c r="Q799" s="7">
        <v>45946</v>
      </c>
      <c r="R799" t="s">
        <v>1049</v>
      </c>
    </row>
    <row r="800" spans="1:18" x14ac:dyDescent="0.3">
      <c r="A800" t="s">
        <v>992</v>
      </c>
      <c r="B800" t="s">
        <v>15</v>
      </c>
      <c r="C800" t="s">
        <v>841</v>
      </c>
      <c r="D800" s="7">
        <v>45935</v>
      </c>
      <c r="H800" t="s">
        <v>752</v>
      </c>
      <c r="I800" t="s">
        <v>765</v>
      </c>
      <c r="O800" s="7">
        <v>45935</v>
      </c>
      <c r="R800" t="s">
        <v>1050</v>
      </c>
    </row>
    <row r="801" spans="1:18" x14ac:dyDescent="0.3">
      <c r="A801" t="s">
        <v>993</v>
      </c>
      <c r="B801" t="s">
        <v>15</v>
      </c>
      <c r="C801" t="s">
        <v>841</v>
      </c>
      <c r="D801" s="7">
        <v>45932</v>
      </c>
      <c r="H801" t="s">
        <v>752</v>
      </c>
      <c r="I801" t="s">
        <v>756</v>
      </c>
      <c r="O801" s="7">
        <v>45932</v>
      </c>
      <c r="R801" t="s">
        <v>1050</v>
      </c>
    </row>
    <row r="802" spans="1:18" x14ac:dyDescent="0.3">
      <c r="A802" t="s">
        <v>994</v>
      </c>
      <c r="B802" t="s">
        <v>27</v>
      </c>
      <c r="C802" t="s">
        <v>841</v>
      </c>
      <c r="D802" s="7">
        <v>45961</v>
      </c>
      <c r="H802" t="s">
        <v>752</v>
      </c>
      <c r="I802" t="s">
        <v>758</v>
      </c>
      <c r="O802" s="7">
        <v>45961</v>
      </c>
      <c r="R802" t="s">
        <v>1050</v>
      </c>
    </row>
    <row r="803" spans="1:18" x14ac:dyDescent="0.3">
      <c r="A803" t="s">
        <v>826</v>
      </c>
      <c r="B803" t="s">
        <v>29</v>
      </c>
      <c r="C803" t="s">
        <v>16</v>
      </c>
      <c r="D803" s="7">
        <v>45932</v>
      </c>
      <c r="E803" s="7">
        <v>45934</v>
      </c>
      <c r="F803" s="7">
        <v>45936</v>
      </c>
      <c r="G803" s="7">
        <v>45939</v>
      </c>
      <c r="H803" t="s">
        <v>752</v>
      </c>
      <c r="I803" t="s">
        <v>765</v>
      </c>
      <c r="K803">
        <v>2</v>
      </c>
      <c r="L803">
        <v>2</v>
      </c>
      <c r="M803">
        <v>3</v>
      </c>
      <c r="O803" s="7">
        <v>45932</v>
      </c>
      <c r="P803" s="7">
        <v>45934</v>
      </c>
      <c r="Q803" s="7">
        <v>45939</v>
      </c>
      <c r="R803" t="s">
        <v>1049</v>
      </c>
    </row>
    <row r="804" spans="1:18" x14ac:dyDescent="0.3">
      <c r="A804" t="s">
        <v>201</v>
      </c>
      <c r="B804" t="s">
        <v>27</v>
      </c>
      <c r="C804" t="s">
        <v>16</v>
      </c>
      <c r="D804" s="7">
        <v>45940</v>
      </c>
      <c r="E804" s="7">
        <v>45945</v>
      </c>
      <c r="F804" s="7">
        <v>45950</v>
      </c>
      <c r="G804" s="7">
        <v>45955</v>
      </c>
      <c r="H804" t="s">
        <v>17</v>
      </c>
      <c r="J804" s="7">
        <v>45983</v>
      </c>
      <c r="K804">
        <v>5</v>
      </c>
      <c r="L804">
        <v>5</v>
      </c>
      <c r="M804">
        <v>5</v>
      </c>
      <c r="N804">
        <v>10</v>
      </c>
      <c r="O804" s="7">
        <v>45940</v>
      </c>
      <c r="P804" s="7">
        <v>45945</v>
      </c>
      <c r="Q804" s="7">
        <v>45955</v>
      </c>
      <c r="R804" t="s">
        <v>1049</v>
      </c>
    </row>
    <row r="805" spans="1:18" x14ac:dyDescent="0.3">
      <c r="A805" t="s">
        <v>112</v>
      </c>
      <c r="B805" t="s">
        <v>22</v>
      </c>
      <c r="C805" t="s">
        <v>16</v>
      </c>
      <c r="D805" s="7">
        <v>45946</v>
      </c>
      <c r="E805" s="7">
        <v>45949</v>
      </c>
      <c r="F805" s="7">
        <v>45954</v>
      </c>
      <c r="G805" s="7">
        <v>45958</v>
      </c>
      <c r="H805" t="s">
        <v>17</v>
      </c>
      <c r="J805" s="7">
        <v>45984</v>
      </c>
      <c r="K805">
        <v>3</v>
      </c>
      <c r="L805">
        <v>5</v>
      </c>
      <c r="M805">
        <v>4</v>
      </c>
      <c r="N805">
        <v>1</v>
      </c>
      <c r="O805" s="7">
        <v>45946</v>
      </c>
      <c r="P805" s="7">
        <v>45949</v>
      </c>
      <c r="Q805" s="7">
        <v>45958</v>
      </c>
      <c r="R805" t="s">
        <v>1049</v>
      </c>
    </row>
    <row r="806" spans="1:18" x14ac:dyDescent="0.3">
      <c r="A806" t="s">
        <v>460</v>
      </c>
      <c r="B806" t="s">
        <v>29</v>
      </c>
      <c r="C806" t="s">
        <v>16</v>
      </c>
      <c r="D806" s="7">
        <v>45934</v>
      </c>
      <c r="E806" s="7">
        <v>45936</v>
      </c>
      <c r="F806" s="7">
        <v>45938</v>
      </c>
      <c r="G806" s="7">
        <v>45943</v>
      </c>
      <c r="H806" t="s">
        <v>17</v>
      </c>
      <c r="J806" s="7">
        <v>45958</v>
      </c>
      <c r="K806">
        <v>2</v>
      </c>
      <c r="L806">
        <v>2</v>
      </c>
      <c r="M806">
        <v>5</v>
      </c>
      <c r="N806">
        <v>9</v>
      </c>
      <c r="O806" s="7">
        <v>45934</v>
      </c>
      <c r="P806" s="7">
        <v>45936</v>
      </c>
      <c r="Q806" s="7">
        <v>45943</v>
      </c>
      <c r="R806" t="s">
        <v>1049</v>
      </c>
    </row>
    <row r="807" spans="1:18" x14ac:dyDescent="0.3">
      <c r="A807" t="s">
        <v>995</v>
      </c>
      <c r="B807" t="s">
        <v>15</v>
      </c>
      <c r="C807" t="s">
        <v>841</v>
      </c>
      <c r="D807" s="7">
        <v>45934</v>
      </c>
      <c r="H807" t="s">
        <v>752</v>
      </c>
      <c r="I807" t="s">
        <v>758</v>
      </c>
      <c r="O807" s="7">
        <v>45934</v>
      </c>
      <c r="R807" t="s">
        <v>1050</v>
      </c>
    </row>
    <row r="808" spans="1:18" x14ac:dyDescent="0.3">
      <c r="A808" t="s">
        <v>641</v>
      </c>
      <c r="B808" t="s">
        <v>29</v>
      </c>
      <c r="C808" t="s">
        <v>474</v>
      </c>
      <c r="D808" s="7">
        <v>45938</v>
      </c>
      <c r="E808" s="7">
        <v>45941</v>
      </c>
      <c r="F808" s="7">
        <v>45945</v>
      </c>
      <c r="G808" s="7">
        <v>45949</v>
      </c>
      <c r="H808" t="s">
        <v>17</v>
      </c>
      <c r="J808" s="7">
        <v>45962</v>
      </c>
      <c r="K808">
        <v>3</v>
      </c>
      <c r="L808">
        <v>4</v>
      </c>
      <c r="M808">
        <v>4</v>
      </c>
      <c r="N808">
        <v>3</v>
      </c>
      <c r="O808" s="7">
        <v>45938</v>
      </c>
      <c r="P808" s="7">
        <v>45941</v>
      </c>
      <c r="Q808" s="7">
        <v>45949</v>
      </c>
      <c r="R808" t="s">
        <v>1049</v>
      </c>
    </row>
    <row r="809" spans="1:18" x14ac:dyDescent="0.3">
      <c r="A809" t="s">
        <v>202</v>
      </c>
      <c r="B809" t="s">
        <v>15</v>
      </c>
      <c r="C809" t="s">
        <v>16</v>
      </c>
      <c r="D809" s="7">
        <v>45959</v>
      </c>
      <c r="E809" s="7">
        <v>45964</v>
      </c>
      <c r="F809" s="7">
        <v>45966</v>
      </c>
      <c r="G809" s="7">
        <v>45968</v>
      </c>
      <c r="H809" t="s">
        <v>17</v>
      </c>
      <c r="J809" s="7">
        <v>45989</v>
      </c>
      <c r="K809">
        <v>5</v>
      </c>
      <c r="L809">
        <v>2</v>
      </c>
      <c r="M809">
        <v>2</v>
      </c>
      <c r="N809">
        <v>2</v>
      </c>
      <c r="O809" s="7">
        <v>45959</v>
      </c>
      <c r="P809" s="7">
        <v>45964</v>
      </c>
      <c r="Q809" s="7">
        <v>45968</v>
      </c>
      <c r="R809" t="s">
        <v>1049</v>
      </c>
    </row>
    <row r="810" spans="1:18" x14ac:dyDescent="0.3">
      <c r="A810" t="s">
        <v>735</v>
      </c>
      <c r="B810" t="s">
        <v>29</v>
      </c>
      <c r="C810" t="s">
        <v>474</v>
      </c>
      <c r="D810" s="7">
        <v>45948</v>
      </c>
      <c r="E810" s="7">
        <v>45953</v>
      </c>
      <c r="F810" s="7">
        <v>45955</v>
      </c>
      <c r="G810" s="7">
        <v>45957</v>
      </c>
      <c r="H810" t="s">
        <v>17</v>
      </c>
      <c r="J810" s="7">
        <v>45987</v>
      </c>
      <c r="K810">
        <v>5</v>
      </c>
      <c r="L810">
        <v>2</v>
      </c>
      <c r="M810">
        <v>2</v>
      </c>
      <c r="N810">
        <v>5</v>
      </c>
      <c r="O810" s="7">
        <v>45948</v>
      </c>
      <c r="P810" s="7">
        <v>45953</v>
      </c>
      <c r="Q810" s="7">
        <v>45957</v>
      </c>
      <c r="R810" t="s">
        <v>1049</v>
      </c>
    </row>
    <row r="811" spans="1:18" x14ac:dyDescent="0.3">
      <c r="A811" t="s">
        <v>387</v>
      </c>
      <c r="B811" t="s">
        <v>29</v>
      </c>
      <c r="C811" t="s">
        <v>16</v>
      </c>
      <c r="D811" s="7">
        <v>45935</v>
      </c>
      <c r="E811" s="7">
        <v>45936</v>
      </c>
      <c r="F811" s="7">
        <v>45939</v>
      </c>
      <c r="G811" s="7">
        <v>45942</v>
      </c>
      <c r="H811" t="s">
        <v>17</v>
      </c>
      <c r="J811" s="7">
        <v>45953</v>
      </c>
      <c r="K811">
        <v>1</v>
      </c>
      <c r="L811">
        <v>3</v>
      </c>
      <c r="M811">
        <v>3</v>
      </c>
      <c r="N811">
        <v>1</v>
      </c>
      <c r="O811" s="7">
        <v>45935</v>
      </c>
      <c r="P811" s="7">
        <v>45936</v>
      </c>
      <c r="Q811" s="7">
        <v>45942</v>
      </c>
      <c r="R811" t="s">
        <v>1049</v>
      </c>
    </row>
    <row r="812" spans="1:18" x14ac:dyDescent="0.3">
      <c r="A812" t="s">
        <v>996</v>
      </c>
      <c r="B812" t="s">
        <v>29</v>
      </c>
      <c r="C812" t="s">
        <v>841</v>
      </c>
      <c r="D812" s="7">
        <v>45943</v>
      </c>
      <c r="H812" t="s">
        <v>752</v>
      </c>
      <c r="I812" t="s">
        <v>756</v>
      </c>
      <c r="O812" s="7">
        <v>45943</v>
      </c>
      <c r="R812" t="s">
        <v>1050</v>
      </c>
    </row>
    <row r="813" spans="1:18" x14ac:dyDescent="0.3">
      <c r="A813" t="s">
        <v>203</v>
      </c>
      <c r="B813" t="s">
        <v>22</v>
      </c>
      <c r="C813" t="s">
        <v>16</v>
      </c>
      <c r="D813" s="7">
        <v>45945</v>
      </c>
      <c r="E813" s="7">
        <v>45950</v>
      </c>
      <c r="F813" s="7">
        <v>45953</v>
      </c>
      <c r="G813" s="7">
        <v>45960</v>
      </c>
      <c r="H813" t="s">
        <v>17</v>
      </c>
      <c r="J813" s="7">
        <v>45982</v>
      </c>
      <c r="K813">
        <v>5</v>
      </c>
      <c r="L813">
        <v>3</v>
      </c>
      <c r="M813">
        <v>7</v>
      </c>
      <c r="N813">
        <v>7</v>
      </c>
      <c r="O813" s="7">
        <v>45945</v>
      </c>
      <c r="P813" s="7">
        <v>45950</v>
      </c>
      <c r="Q813" s="7">
        <v>45960</v>
      </c>
      <c r="R813" t="s">
        <v>1049</v>
      </c>
    </row>
    <row r="814" spans="1:18" x14ac:dyDescent="0.3">
      <c r="A814" t="s">
        <v>642</v>
      </c>
      <c r="B814" t="s">
        <v>22</v>
      </c>
      <c r="C814" t="s">
        <v>474</v>
      </c>
      <c r="D814" s="7">
        <v>45942</v>
      </c>
      <c r="E814" s="7">
        <v>45944</v>
      </c>
      <c r="F814" s="7">
        <v>45947</v>
      </c>
      <c r="G814" s="7">
        <v>45951</v>
      </c>
      <c r="H814" t="s">
        <v>17</v>
      </c>
      <c r="J814" s="7">
        <v>45981</v>
      </c>
      <c r="K814">
        <v>2</v>
      </c>
      <c r="L814">
        <v>3</v>
      </c>
      <c r="M814">
        <v>4</v>
      </c>
      <c r="N814">
        <v>3</v>
      </c>
      <c r="O814" s="7">
        <v>45942</v>
      </c>
      <c r="P814" s="7">
        <v>45944</v>
      </c>
      <c r="Q814" s="7">
        <v>45951</v>
      </c>
      <c r="R814" t="s">
        <v>1049</v>
      </c>
    </row>
    <row r="815" spans="1:18" x14ac:dyDescent="0.3">
      <c r="A815" t="s">
        <v>997</v>
      </c>
      <c r="B815" t="s">
        <v>27</v>
      </c>
      <c r="C815" t="s">
        <v>841</v>
      </c>
      <c r="D815" s="7">
        <v>45952</v>
      </c>
      <c r="H815" t="s">
        <v>752</v>
      </c>
      <c r="I815" t="s">
        <v>758</v>
      </c>
      <c r="O815" s="7">
        <v>45952</v>
      </c>
      <c r="R815" t="s">
        <v>1050</v>
      </c>
    </row>
    <row r="816" spans="1:18" x14ac:dyDescent="0.3">
      <c r="A816" t="s">
        <v>204</v>
      </c>
      <c r="B816" t="s">
        <v>27</v>
      </c>
      <c r="C816" t="s">
        <v>16</v>
      </c>
      <c r="D816" s="7">
        <v>45961</v>
      </c>
      <c r="E816" s="7">
        <v>45966</v>
      </c>
      <c r="F816" s="7">
        <v>45970</v>
      </c>
      <c r="G816" s="7">
        <v>45977</v>
      </c>
      <c r="H816" t="s">
        <v>17</v>
      </c>
      <c r="J816" s="7">
        <v>45995</v>
      </c>
      <c r="K816">
        <v>5</v>
      </c>
      <c r="L816">
        <v>4</v>
      </c>
      <c r="M816">
        <v>7</v>
      </c>
      <c r="N816">
        <v>2</v>
      </c>
      <c r="O816" s="7">
        <v>45961</v>
      </c>
      <c r="P816" s="7">
        <v>45966</v>
      </c>
      <c r="Q816" s="7">
        <v>45977</v>
      </c>
      <c r="R816" t="s">
        <v>1049</v>
      </c>
    </row>
    <row r="817" spans="1:18" x14ac:dyDescent="0.3">
      <c r="A817" t="s">
        <v>736</v>
      </c>
      <c r="B817" t="s">
        <v>15</v>
      </c>
      <c r="C817" t="s">
        <v>474</v>
      </c>
      <c r="D817" s="7">
        <v>45954</v>
      </c>
      <c r="E817" s="7">
        <v>45959</v>
      </c>
      <c r="F817" s="7">
        <v>45961</v>
      </c>
      <c r="G817" s="7">
        <v>45968</v>
      </c>
      <c r="H817" t="s">
        <v>17</v>
      </c>
      <c r="J817" s="7">
        <v>45995</v>
      </c>
      <c r="K817">
        <v>5</v>
      </c>
      <c r="L817">
        <v>2</v>
      </c>
      <c r="M817">
        <v>7</v>
      </c>
      <c r="N817">
        <v>5</v>
      </c>
      <c r="O817" s="7">
        <v>45954</v>
      </c>
      <c r="P817" s="7">
        <v>45959</v>
      </c>
      <c r="Q817" s="7">
        <v>45968</v>
      </c>
      <c r="R817" t="s">
        <v>1049</v>
      </c>
    </row>
    <row r="818" spans="1:18" x14ac:dyDescent="0.3">
      <c r="A818" t="s">
        <v>827</v>
      </c>
      <c r="B818" t="s">
        <v>22</v>
      </c>
      <c r="C818" t="s">
        <v>474</v>
      </c>
      <c r="D818" s="7">
        <v>45953</v>
      </c>
      <c r="E818" s="7">
        <v>45955</v>
      </c>
      <c r="F818" s="7">
        <v>45956</v>
      </c>
      <c r="G818" s="7">
        <v>45962</v>
      </c>
      <c r="H818" t="s">
        <v>752</v>
      </c>
      <c r="I818" t="s">
        <v>756</v>
      </c>
      <c r="K818">
        <v>2</v>
      </c>
      <c r="L818">
        <v>1</v>
      </c>
      <c r="M818">
        <v>6</v>
      </c>
      <c r="O818" s="7">
        <v>45953</v>
      </c>
      <c r="P818" s="7">
        <v>45955</v>
      </c>
      <c r="Q818" s="7">
        <v>45962</v>
      </c>
      <c r="R818" t="s">
        <v>1049</v>
      </c>
    </row>
    <row r="819" spans="1:18" x14ac:dyDescent="0.3">
      <c r="A819" t="s">
        <v>643</v>
      </c>
      <c r="B819" t="s">
        <v>15</v>
      </c>
      <c r="C819" t="s">
        <v>474</v>
      </c>
      <c r="D819" s="7">
        <v>45961</v>
      </c>
      <c r="E819" s="7">
        <v>45963</v>
      </c>
      <c r="F819" s="7">
        <v>45965</v>
      </c>
      <c r="G819" s="7">
        <v>45967</v>
      </c>
      <c r="H819" t="s">
        <v>17</v>
      </c>
      <c r="J819" s="7">
        <v>45996</v>
      </c>
      <c r="K819">
        <v>2</v>
      </c>
      <c r="L819">
        <v>2</v>
      </c>
      <c r="M819">
        <v>2</v>
      </c>
      <c r="N819">
        <v>8</v>
      </c>
      <c r="O819" s="7">
        <v>45961</v>
      </c>
      <c r="P819" s="7">
        <v>45963</v>
      </c>
      <c r="Q819" s="7">
        <v>45967</v>
      </c>
      <c r="R819" t="s">
        <v>1049</v>
      </c>
    </row>
    <row r="820" spans="1:18" x14ac:dyDescent="0.3">
      <c r="A820" t="s">
        <v>737</v>
      </c>
      <c r="B820" t="s">
        <v>27</v>
      </c>
      <c r="C820" t="s">
        <v>474</v>
      </c>
      <c r="D820" s="7">
        <v>45948</v>
      </c>
      <c r="E820" s="7">
        <v>45953</v>
      </c>
      <c r="F820" s="7">
        <v>45957</v>
      </c>
      <c r="G820" s="7">
        <v>45960</v>
      </c>
      <c r="H820" t="s">
        <v>17</v>
      </c>
      <c r="J820" s="7">
        <v>45971</v>
      </c>
      <c r="K820">
        <v>5</v>
      </c>
      <c r="L820">
        <v>4</v>
      </c>
      <c r="M820">
        <v>3</v>
      </c>
      <c r="N820">
        <v>8</v>
      </c>
      <c r="O820" s="7">
        <v>45948</v>
      </c>
      <c r="P820" s="7">
        <v>45953</v>
      </c>
      <c r="Q820" s="7">
        <v>45960</v>
      </c>
      <c r="R820" t="s">
        <v>1049</v>
      </c>
    </row>
    <row r="821" spans="1:18" x14ac:dyDescent="0.3">
      <c r="A821" t="s">
        <v>998</v>
      </c>
      <c r="B821" t="s">
        <v>15</v>
      </c>
      <c r="C821" t="s">
        <v>841</v>
      </c>
      <c r="D821" s="7">
        <v>45944</v>
      </c>
      <c r="H821" t="s">
        <v>752</v>
      </c>
      <c r="I821" t="s">
        <v>756</v>
      </c>
      <c r="O821" s="7">
        <v>45944</v>
      </c>
      <c r="R821" t="s">
        <v>1050</v>
      </c>
    </row>
    <row r="822" spans="1:18" x14ac:dyDescent="0.3">
      <c r="A822" t="s">
        <v>205</v>
      </c>
      <c r="B822" t="s">
        <v>27</v>
      </c>
      <c r="C822" t="s">
        <v>16</v>
      </c>
      <c r="D822" s="7">
        <v>45949</v>
      </c>
      <c r="E822" s="7">
        <v>45954</v>
      </c>
      <c r="F822" s="7">
        <v>45957</v>
      </c>
      <c r="G822" s="7">
        <v>45961</v>
      </c>
      <c r="H822" t="s">
        <v>17</v>
      </c>
      <c r="J822" s="7">
        <v>45990</v>
      </c>
      <c r="K822">
        <v>5</v>
      </c>
      <c r="L822">
        <v>3</v>
      </c>
      <c r="M822">
        <v>4</v>
      </c>
      <c r="N822">
        <v>2</v>
      </c>
      <c r="O822" s="7">
        <v>45949</v>
      </c>
      <c r="P822" s="7">
        <v>45954</v>
      </c>
      <c r="Q822" s="7">
        <v>45961</v>
      </c>
      <c r="R822" t="s">
        <v>1049</v>
      </c>
    </row>
    <row r="823" spans="1:18" x14ac:dyDescent="0.3">
      <c r="A823" t="s">
        <v>999</v>
      </c>
      <c r="B823" t="s">
        <v>22</v>
      </c>
      <c r="C823" t="s">
        <v>841</v>
      </c>
      <c r="D823" s="7">
        <v>45954</v>
      </c>
      <c r="H823" t="s">
        <v>752</v>
      </c>
      <c r="I823" t="s">
        <v>753</v>
      </c>
      <c r="O823" s="7">
        <v>45954</v>
      </c>
      <c r="R823" t="s">
        <v>1050</v>
      </c>
    </row>
    <row r="824" spans="1:18" x14ac:dyDescent="0.3">
      <c r="A824" t="s">
        <v>113</v>
      </c>
      <c r="B824" t="s">
        <v>29</v>
      </c>
      <c r="C824" t="s">
        <v>16</v>
      </c>
      <c r="D824" s="7">
        <v>45954</v>
      </c>
      <c r="E824" s="7">
        <v>45957</v>
      </c>
      <c r="F824" s="7">
        <v>45961</v>
      </c>
      <c r="G824" s="7">
        <v>45964</v>
      </c>
      <c r="H824" t="s">
        <v>17</v>
      </c>
      <c r="J824" s="7">
        <v>45975</v>
      </c>
      <c r="K824">
        <v>3</v>
      </c>
      <c r="L824">
        <v>4</v>
      </c>
      <c r="M824">
        <v>3</v>
      </c>
      <c r="N824">
        <v>3</v>
      </c>
      <c r="O824" s="7">
        <v>45954</v>
      </c>
      <c r="P824" s="7">
        <v>45957</v>
      </c>
      <c r="Q824" s="7">
        <v>45964</v>
      </c>
      <c r="R824" t="s">
        <v>1049</v>
      </c>
    </row>
    <row r="825" spans="1:18" x14ac:dyDescent="0.3">
      <c r="A825" t="s">
        <v>738</v>
      </c>
      <c r="B825" t="s">
        <v>22</v>
      </c>
      <c r="C825" t="s">
        <v>474</v>
      </c>
      <c r="D825" s="7">
        <v>45935</v>
      </c>
      <c r="E825" s="7">
        <v>45940</v>
      </c>
      <c r="F825" s="7">
        <v>45943</v>
      </c>
      <c r="G825" s="7">
        <v>45945</v>
      </c>
      <c r="H825" t="s">
        <v>17</v>
      </c>
      <c r="J825" s="7">
        <v>45958</v>
      </c>
      <c r="K825">
        <v>5</v>
      </c>
      <c r="L825">
        <v>3</v>
      </c>
      <c r="M825">
        <v>2</v>
      </c>
      <c r="N825">
        <v>4</v>
      </c>
      <c r="O825" s="7">
        <v>45935</v>
      </c>
      <c r="P825" s="7">
        <v>45940</v>
      </c>
      <c r="Q825" s="7">
        <v>45945</v>
      </c>
      <c r="R825" t="s">
        <v>1049</v>
      </c>
    </row>
    <row r="826" spans="1:18" x14ac:dyDescent="0.3">
      <c r="A826" t="s">
        <v>828</v>
      </c>
      <c r="B826" t="s">
        <v>15</v>
      </c>
      <c r="C826" t="s">
        <v>16</v>
      </c>
      <c r="D826" s="7">
        <v>45959</v>
      </c>
      <c r="E826" s="7">
        <v>45960</v>
      </c>
      <c r="F826" s="7">
        <v>45964</v>
      </c>
      <c r="G826" s="7">
        <v>45971</v>
      </c>
      <c r="H826" t="s">
        <v>752</v>
      </c>
      <c r="I826" t="s">
        <v>756</v>
      </c>
      <c r="K826">
        <v>1</v>
      </c>
      <c r="L826">
        <v>4</v>
      </c>
      <c r="M826">
        <v>7</v>
      </c>
      <c r="O826" s="7">
        <v>45959</v>
      </c>
      <c r="P826" s="7">
        <v>45960</v>
      </c>
      <c r="Q826" s="7">
        <v>45971</v>
      </c>
      <c r="R826" t="s">
        <v>1049</v>
      </c>
    </row>
    <row r="827" spans="1:18" x14ac:dyDescent="0.3">
      <c r="A827" t="s">
        <v>644</v>
      </c>
      <c r="B827" t="s">
        <v>15</v>
      </c>
      <c r="C827" t="s">
        <v>474</v>
      </c>
      <c r="D827" s="7">
        <v>45944</v>
      </c>
      <c r="E827" s="7">
        <v>45945</v>
      </c>
      <c r="F827" s="7">
        <v>45946</v>
      </c>
      <c r="G827" s="7">
        <v>45949</v>
      </c>
      <c r="H827" t="s">
        <v>17</v>
      </c>
      <c r="J827" s="7">
        <v>45979</v>
      </c>
      <c r="K827">
        <v>1</v>
      </c>
      <c r="L827">
        <v>1</v>
      </c>
      <c r="M827">
        <v>3</v>
      </c>
      <c r="N827">
        <v>3</v>
      </c>
      <c r="O827" s="7">
        <v>45944</v>
      </c>
      <c r="P827" s="7">
        <v>45945</v>
      </c>
      <c r="Q827" s="7">
        <v>45949</v>
      </c>
      <c r="R827" t="s">
        <v>1049</v>
      </c>
    </row>
    <row r="828" spans="1:18" x14ac:dyDescent="0.3">
      <c r="A828" t="s">
        <v>388</v>
      </c>
      <c r="B828" t="s">
        <v>22</v>
      </c>
      <c r="C828" t="s">
        <v>16</v>
      </c>
      <c r="D828" s="7">
        <v>45951</v>
      </c>
      <c r="E828" s="7">
        <v>45952</v>
      </c>
      <c r="F828" s="7">
        <v>45955</v>
      </c>
      <c r="G828" s="7">
        <v>45959</v>
      </c>
      <c r="H828" t="s">
        <v>17</v>
      </c>
      <c r="J828" s="7">
        <v>45969</v>
      </c>
      <c r="K828">
        <v>1</v>
      </c>
      <c r="L828">
        <v>3</v>
      </c>
      <c r="M828">
        <v>4</v>
      </c>
      <c r="N828">
        <v>6</v>
      </c>
      <c r="O828" s="7">
        <v>45951</v>
      </c>
      <c r="P828" s="7">
        <v>45952</v>
      </c>
      <c r="Q828" s="7">
        <v>45959</v>
      </c>
      <c r="R828" t="s">
        <v>1049</v>
      </c>
    </row>
    <row r="829" spans="1:18" x14ac:dyDescent="0.3">
      <c r="A829" t="s">
        <v>1000</v>
      </c>
      <c r="B829" t="s">
        <v>22</v>
      </c>
      <c r="C829" t="s">
        <v>841</v>
      </c>
      <c r="D829" s="7">
        <v>45934</v>
      </c>
      <c r="H829" t="s">
        <v>752</v>
      </c>
      <c r="I829" t="s">
        <v>756</v>
      </c>
      <c r="O829" s="7">
        <v>45934</v>
      </c>
      <c r="R829" t="s">
        <v>1050</v>
      </c>
    </row>
    <row r="830" spans="1:18" x14ac:dyDescent="0.3">
      <c r="A830" t="s">
        <v>389</v>
      </c>
      <c r="B830" t="s">
        <v>27</v>
      </c>
      <c r="C830" t="s">
        <v>16</v>
      </c>
      <c r="D830" s="7">
        <v>45957</v>
      </c>
      <c r="E830" s="7">
        <v>45958</v>
      </c>
      <c r="F830" s="7">
        <v>45961</v>
      </c>
      <c r="G830" s="7">
        <v>45966</v>
      </c>
      <c r="H830" t="s">
        <v>17</v>
      </c>
      <c r="J830" s="7">
        <v>45977</v>
      </c>
      <c r="K830">
        <v>1</v>
      </c>
      <c r="L830">
        <v>3</v>
      </c>
      <c r="M830">
        <v>5</v>
      </c>
      <c r="N830">
        <v>2</v>
      </c>
      <c r="O830" s="7">
        <v>45957</v>
      </c>
      <c r="P830" s="7">
        <v>45958</v>
      </c>
      <c r="Q830" s="7">
        <v>45966</v>
      </c>
      <c r="R830" t="s">
        <v>1049</v>
      </c>
    </row>
    <row r="831" spans="1:18" x14ac:dyDescent="0.3">
      <c r="A831" t="s">
        <v>829</v>
      </c>
      <c r="B831" t="s">
        <v>15</v>
      </c>
      <c r="C831" t="s">
        <v>16</v>
      </c>
      <c r="D831" s="7">
        <v>45946</v>
      </c>
      <c r="E831" s="7">
        <v>45951</v>
      </c>
      <c r="F831" s="7">
        <v>45953</v>
      </c>
      <c r="G831" s="7">
        <v>45959</v>
      </c>
      <c r="H831" t="s">
        <v>752</v>
      </c>
      <c r="I831" t="s">
        <v>777</v>
      </c>
      <c r="K831">
        <v>5</v>
      </c>
      <c r="L831">
        <v>2</v>
      </c>
      <c r="M831">
        <v>6</v>
      </c>
      <c r="O831" s="7">
        <v>45946</v>
      </c>
      <c r="P831" s="7">
        <v>45951</v>
      </c>
      <c r="Q831" s="7">
        <v>45959</v>
      </c>
      <c r="R831" t="s">
        <v>1049</v>
      </c>
    </row>
    <row r="832" spans="1:18" x14ac:dyDescent="0.3">
      <c r="A832" t="s">
        <v>830</v>
      </c>
      <c r="B832" t="s">
        <v>15</v>
      </c>
      <c r="C832" t="s">
        <v>474</v>
      </c>
      <c r="D832" s="7">
        <v>45950</v>
      </c>
      <c r="E832" s="7">
        <v>45953</v>
      </c>
      <c r="F832" s="7">
        <v>45957</v>
      </c>
      <c r="G832" s="7">
        <v>45959</v>
      </c>
      <c r="H832" t="s">
        <v>752</v>
      </c>
      <c r="I832" t="s">
        <v>765</v>
      </c>
      <c r="K832">
        <v>3</v>
      </c>
      <c r="L832">
        <v>4</v>
      </c>
      <c r="M832">
        <v>2</v>
      </c>
      <c r="O832" s="7">
        <v>45950</v>
      </c>
      <c r="P832" s="7">
        <v>45953</v>
      </c>
      <c r="Q832" s="7">
        <v>45959</v>
      </c>
      <c r="R832" t="s">
        <v>1049</v>
      </c>
    </row>
    <row r="833" spans="1:18" x14ac:dyDescent="0.3">
      <c r="A833" t="s">
        <v>645</v>
      </c>
      <c r="B833" t="s">
        <v>22</v>
      </c>
      <c r="C833" t="s">
        <v>474</v>
      </c>
      <c r="D833" s="7">
        <v>45944</v>
      </c>
      <c r="E833" s="7">
        <v>45946</v>
      </c>
      <c r="F833" s="7">
        <v>45951</v>
      </c>
      <c r="G833" s="7">
        <v>45958</v>
      </c>
      <c r="H833" t="s">
        <v>17</v>
      </c>
      <c r="J833" s="7">
        <v>45971</v>
      </c>
      <c r="K833">
        <v>2</v>
      </c>
      <c r="L833">
        <v>5</v>
      </c>
      <c r="M833">
        <v>7</v>
      </c>
      <c r="N833">
        <v>9</v>
      </c>
      <c r="O833" s="7">
        <v>45944</v>
      </c>
      <c r="P833" s="7">
        <v>45946</v>
      </c>
      <c r="Q833" s="7">
        <v>45958</v>
      </c>
      <c r="R833" t="s">
        <v>1049</v>
      </c>
    </row>
    <row r="834" spans="1:18" x14ac:dyDescent="0.3">
      <c r="A834" t="s">
        <v>739</v>
      </c>
      <c r="B834" t="s">
        <v>29</v>
      </c>
      <c r="C834" t="s">
        <v>474</v>
      </c>
      <c r="D834" s="7">
        <v>45961</v>
      </c>
      <c r="E834" s="7">
        <v>45966</v>
      </c>
      <c r="F834" s="7">
        <v>45971</v>
      </c>
      <c r="G834" s="7">
        <v>45975</v>
      </c>
      <c r="H834" t="s">
        <v>17</v>
      </c>
      <c r="J834" s="7">
        <v>45998</v>
      </c>
      <c r="K834">
        <v>5</v>
      </c>
      <c r="L834">
        <v>5</v>
      </c>
      <c r="M834">
        <v>4</v>
      </c>
      <c r="N834">
        <v>9</v>
      </c>
      <c r="O834" s="7">
        <v>45961</v>
      </c>
      <c r="P834" s="7">
        <v>45966</v>
      </c>
      <c r="Q834" s="7">
        <v>45975</v>
      </c>
      <c r="R834" t="s">
        <v>1049</v>
      </c>
    </row>
    <row r="835" spans="1:18" x14ac:dyDescent="0.3">
      <c r="A835" t="s">
        <v>300</v>
      </c>
      <c r="B835" t="s">
        <v>15</v>
      </c>
      <c r="C835" t="s">
        <v>16</v>
      </c>
      <c r="D835" s="7">
        <v>45961</v>
      </c>
      <c r="E835" s="7">
        <v>45965</v>
      </c>
      <c r="F835" s="7">
        <v>45967</v>
      </c>
      <c r="G835" s="7">
        <v>45971</v>
      </c>
      <c r="H835" t="s">
        <v>17</v>
      </c>
      <c r="J835" s="7">
        <v>45995</v>
      </c>
      <c r="K835">
        <v>4</v>
      </c>
      <c r="L835">
        <v>2</v>
      </c>
      <c r="M835">
        <v>4</v>
      </c>
      <c r="N835">
        <v>6</v>
      </c>
      <c r="O835" s="7">
        <v>45961</v>
      </c>
      <c r="P835" s="7">
        <v>45965</v>
      </c>
      <c r="Q835" s="7">
        <v>45971</v>
      </c>
      <c r="R835" t="s">
        <v>1049</v>
      </c>
    </row>
    <row r="836" spans="1:18" x14ac:dyDescent="0.3">
      <c r="A836" t="s">
        <v>740</v>
      </c>
      <c r="B836" t="s">
        <v>29</v>
      </c>
      <c r="C836" t="s">
        <v>474</v>
      </c>
      <c r="D836" s="7">
        <v>45939</v>
      </c>
      <c r="E836" s="7">
        <v>45944</v>
      </c>
      <c r="F836" s="7">
        <v>45948</v>
      </c>
      <c r="G836" s="7">
        <v>45951</v>
      </c>
      <c r="H836" t="s">
        <v>17</v>
      </c>
      <c r="J836" s="7">
        <v>45973</v>
      </c>
      <c r="K836">
        <v>5</v>
      </c>
      <c r="L836">
        <v>4</v>
      </c>
      <c r="M836">
        <v>3</v>
      </c>
      <c r="N836">
        <v>8</v>
      </c>
      <c r="O836" s="7">
        <v>45939</v>
      </c>
      <c r="P836" s="7">
        <v>45944</v>
      </c>
      <c r="Q836" s="7">
        <v>45951</v>
      </c>
      <c r="R836" t="s">
        <v>1049</v>
      </c>
    </row>
    <row r="837" spans="1:18" x14ac:dyDescent="0.3">
      <c r="A837" t="s">
        <v>831</v>
      </c>
      <c r="B837" t="s">
        <v>22</v>
      </c>
      <c r="C837" t="s">
        <v>16</v>
      </c>
      <c r="D837" s="7">
        <v>45932</v>
      </c>
      <c r="E837" s="7">
        <v>45933</v>
      </c>
      <c r="F837" s="7">
        <v>45934</v>
      </c>
      <c r="G837" s="7">
        <v>45936</v>
      </c>
      <c r="H837" t="s">
        <v>752</v>
      </c>
      <c r="I837" t="s">
        <v>753</v>
      </c>
      <c r="K837">
        <v>1</v>
      </c>
      <c r="L837">
        <v>1</v>
      </c>
      <c r="M837">
        <v>2</v>
      </c>
      <c r="O837" s="7">
        <v>45932</v>
      </c>
      <c r="P837" s="7">
        <v>45933</v>
      </c>
      <c r="Q837" s="7">
        <v>45936</v>
      </c>
      <c r="R837" t="s">
        <v>1049</v>
      </c>
    </row>
    <row r="838" spans="1:18" x14ac:dyDescent="0.3">
      <c r="A838" t="s">
        <v>301</v>
      </c>
      <c r="B838" t="s">
        <v>22</v>
      </c>
      <c r="C838" t="s">
        <v>16</v>
      </c>
      <c r="D838" s="7">
        <v>45953</v>
      </c>
      <c r="E838" s="7">
        <v>45957</v>
      </c>
      <c r="F838" s="7">
        <v>45959</v>
      </c>
      <c r="G838" s="7">
        <v>45964</v>
      </c>
      <c r="H838" t="s">
        <v>17</v>
      </c>
      <c r="J838" s="7">
        <v>45977</v>
      </c>
      <c r="K838">
        <v>4</v>
      </c>
      <c r="L838">
        <v>2</v>
      </c>
      <c r="M838">
        <v>5</v>
      </c>
      <c r="N838">
        <v>2</v>
      </c>
      <c r="O838" s="7">
        <v>45953</v>
      </c>
      <c r="P838" s="7">
        <v>45957</v>
      </c>
      <c r="Q838" s="7">
        <v>45964</v>
      </c>
      <c r="R838" t="s">
        <v>1049</v>
      </c>
    </row>
    <row r="839" spans="1:18" x14ac:dyDescent="0.3">
      <c r="A839" t="s">
        <v>206</v>
      </c>
      <c r="B839" t="s">
        <v>27</v>
      </c>
      <c r="C839" t="s">
        <v>16</v>
      </c>
      <c r="D839" s="7">
        <v>45942</v>
      </c>
      <c r="E839" s="7">
        <v>45947</v>
      </c>
      <c r="F839" s="7">
        <v>45950</v>
      </c>
      <c r="G839" s="7">
        <v>45955</v>
      </c>
      <c r="H839" t="s">
        <v>17</v>
      </c>
      <c r="J839" s="7">
        <v>45982</v>
      </c>
      <c r="K839">
        <v>5</v>
      </c>
      <c r="L839">
        <v>3</v>
      </c>
      <c r="M839">
        <v>5</v>
      </c>
      <c r="N839">
        <v>6</v>
      </c>
      <c r="O839" s="7">
        <v>45942</v>
      </c>
      <c r="P839" s="7">
        <v>45947</v>
      </c>
      <c r="Q839" s="7">
        <v>45955</v>
      </c>
      <c r="R839" t="s">
        <v>1049</v>
      </c>
    </row>
    <row r="840" spans="1:18" x14ac:dyDescent="0.3">
      <c r="A840" t="s">
        <v>646</v>
      </c>
      <c r="B840" t="s">
        <v>15</v>
      </c>
      <c r="C840" t="s">
        <v>474</v>
      </c>
      <c r="D840" s="7">
        <v>45937</v>
      </c>
      <c r="E840" s="7">
        <v>45940</v>
      </c>
      <c r="F840" s="7">
        <v>45941</v>
      </c>
      <c r="G840" s="7">
        <v>45947</v>
      </c>
      <c r="H840" t="s">
        <v>17</v>
      </c>
      <c r="J840" s="7">
        <v>45965</v>
      </c>
      <c r="K840">
        <v>3</v>
      </c>
      <c r="L840">
        <v>1</v>
      </c>
      <c r="M840">
        <v>6</v>
      </c>
      <c r="N840">
        <v>6</v>
      </c>
      <c r="O840" s="7">
        <v>45937</v>
      </c>
      <c r="P840" s="7">
        <v>45940</v>
      </c>
      <c r="Q840" s="7">
        <v>45947</v>
      </c>
      <c r="R840" t="s">
        <v>1049</v>
      </c>
    </row>
    <row r="841" spans="1:18" x14ac:dyDescent="0.3">
      <c r="A841" t="s">
        <v>647</v>
      </c>
      <c r="B841" t="s">
        <v>29</v>
      </c>
      <c r="C841" t="s">
        <v>474</v>
      </c>
      <c r="D841" s="7">
        <v>45945</v>
      </c>
      <c r="E841" s="7">
        <v>45948</v>
      </c>
      <c r="F841" s="7">
        <v>45952</v>
      </c>
      <c r="G841" s="7">
        <v>45959</v>
      </c>
      <c r="H841" t="s">
        <v>17</v>
      </c>
      <c r="J841" s="7">
        <v>45984</v>
      </c>
      <c r="K841">
        <v>3</v>
      </c>
      <c r="L841">
        <v>4</v>
      </c>
      <c r="M841">
        <v>7</v>
      </c>
      <c r="N841">
        <v>9</v>
      </c>
      <c r="O841" s="7">
        <v>45945</v>
      </c>
      <c r="P841" s="7">
        <v>45948</v>
      </c>
      <c r="Q841" s="7">
        <v>45959</v>
      </c>
      <c r="R841" t="s">
        <v>1049</v>
      </c>
    </row>
    <row r="842" spans="1:18" x14ac:dyDescent="0.3">
      <c r="A842" t="s">
        <v>1001</v>
      </c>
      <c r="B842" t="s">
        <v>27</v>
      </c>
      <c r="C842" t="s">
        <v>841</v>
      </c>
      <c r="D842" s="7">
        <v>45945</v>
      </c>
      <c r="H842" t="s">
        <v>752</v>
      </c>
      <c r="I842" t="s">
        <v>753</v>
      </c>
      <c r="O842" s="7">
        <v>45945</v>
      </c>
      <c r="R842" t="s">
        <v>1050</v>
      </c>
    </row>
    <row r="843" spans="1:18" x14ac:dyDescent="0.3">
      <c r="A843" t="s">
        <v>302</v>
      </c>
      <c r="B843" t="s">
        <v>15</v>
      </c>
      <c r="C843" t="s">
        <v>16</v>
      </c>
      <c r="D843" s="7">
        <v>45961</v>
      </c>
      <c r="E843" s="7">
        <v>45965</v>
      </c>
      <c r="F843" s="7">
        <v>45968</v>
      </c>
      <c r="G843" s="7">
        <v>45974</v>
      </c>
      <c r="H843" t="s">
        <v>17</v>
      </c>
      <c r="J843" s="7">
        <v>45988</v>
      </c>
      <c r="K843">
        <v>4</v>
      </c>
      <c r="L843">
        <v>3</v>
      </c>
      <c r="M843">
        <v>6</v>
      </c>
      <c r="N843">
        <v>9</v>
      </c>
      <c r="O843" s="7">
        <v>45961</v>
      </c>
      <c r="P843" s="7">
        <v>45965</v>
      </c>
      <c r="Q843" s="7">
        <v>45974</v>
      </c>
      <c r="R843" t="s">
        <v>1049</v>
      </c>
    </row>
    <row r="844" spans="1:18" x14ac:dyDescent="0.3">
      <c r="A844" t="s">
        <v>461</v>
      </c>
      <c r="B844" t="s">
        <v>27</v>
      </c>
      <c r="C844" t="s">
        <v>16</v>
      </c>
      <c r="D844" s="7">
        <v>45938</v>
      </c>
      <c r="E844" s="7">
        <v>45940</v>
      </c>
      <c r="F844" s="7">
        <v>45945</v>
      </c>
      <c r="G844" s="7">
        <v>45948</v>
      </c>
      <c r="H844" t="s">
        <v>17</v>
      </c>
      <c r="J844" s="7">
        <v>45964</v>
      </c>
      <c r="K844">
        <v>2</v>
      </c>
      <c r="L844">
        <v>5</v>
      </c>
      <c r="M844">
        <v>3</v>
      </c>
      <c r="N844">
        <v>0</v>
      </c>
      <c r="O844" s="7">
        <v>45938</v>
      </c>
      <c r="P844" s="7">
        <v>45940</v>
      </c>
      <c r="Q844" s="7">
        <v>45948</v>
      </c>
      <c r="R844" t="s">
        <v>1049</v>
      </c>
    </row>
    <row r="845" spans="1:18" x14ac:dyDescent="0.3">
      <c r="A845" t="s">
        <v>832</v>
      </c>
      <c r="B845" t="s">
        <v>22</v>
      </c>
      <c r="C845" t="s">
        <v>474</v>
      </c>
      <c r="D845" s="7">
        <v>45958</v>
      </c>
      <c r="E845" s="7">
        <v>45962</v>
      </c>
      <c r="F845" s="7">
        <v>45966</v>
      </c>
      <c r="G845" s="7">
        <v>45968</v>
      </c>
      <c r="H845" t="s">
        <v>752</v>
      </c>
      <c r="I845" t="s">
        <v>753</v>
      </c>
      <c r="K845">
        <v>4</v>
      </c>
      <c r="L845">
        <v>4</v>
      </c>
      <c r="M845">
        <v>2</v>
      </c>
      <c r="O845" s="7">
        <v>45958</v>
      </c>
      <c r="P845" s="7">
        <v>45962</v>
      </c>
      <c r="Q845" s="7">
        <v>45968</v>
      </c>
      <c r="R845" t="s">
        <v>1049</v>
      </c>
    </row>
    <row r="846" spans="1:18" x14ac:dyDescent="0.3">
      <c r="A846" t="s">
        <v>1002</v>
      </c>
      <c r="B846" t="s">
        <v>15</v>
      </c>
      <c r="C846" t="s">
        <v>841</v>
      </c>
      <c r="D846" s="7">
        <v>45942</v>
      </c>
      <c r="H846" t="s">
        <v>752</v>
      </c>
      <c r="I846" t="s">
        <v>777</v>
      </c>
      <c r="O846" s="7">
        <v>45942</v>
      </c>
      <c r="R846" t="s">
        <v>1050</v>
      </c>
    </row>
    <row r="847" spans="1:18" x14ac:dyDescent="0.3">
      <c r="A847" t="s">
        <v>114</v>
      </c>
      <c r="B847" t="s">
        <v>27</v>
      </c>
      <c r="C847" t="s">
        <v>16</v>
      </c>
      <c r="D847" s="7">
        <v>45934</v>
      </c>
      <c r="E847" s="7">
        <v>45937</v>
      </c>
      <c r="F847" s="7">
        <v>45940</v>
      </c>
      <c r="G847" s="7">
        <v>45945</v>
      </c>
      <c r="H847" t="s">
        <v>17</v>
      </c>
      <c r="J847" s="7">
        <v>45975</v>
      </c>
      <c r="K847">
        <v>3</v>
      </c>
      <c r="L847">
        <v>3</v>
      </c>
      <c r="M847">
        <v>5</v>
      </c>
      <c r="N847">
        <v>7</v>
      </c>
      <c r="O847" s="7">
        <v>45934</v>
      </c>
      <c r="P847" s="7">
        <v>45937</v>
      </c>
      <c r="Q847" s="7">
        <v>45945</v>
      </c>
      <c r="R847" t="s">
        <v>1049</v>
      </c>
    </row>
    <row r="848" spans="1:18" x14ac:dyDescent="0.3">
      <c r="A848" t="s">
        <v>303</v>
      </c>
      <c r="B848" t="s">
        <v>27</v>
      </c>
      <c r="C848" t="s">
        <v>16</v>
      </c>
      <c r="D848" s="7">
        <v>45952</v>
      </c>
      <c r="E848" s="7">
        <v>45956</v>
      </c>
      <c r="F848" s="7">
        <v>45960</v>
      </c>
      <c r="G848" s="7">
        <v>45962</v>
      </c>
      <c r="H848" t="s">
        <v>17</v>
      </c>
      <c r="J848" s="7">
        <v>45972</v>
      </c>
      <c r="K848">
        <v>4</v>
      </c>
      <c r="L848">
        <v>4</v>
      </c>
      <c r="M848">
        <v>2</v>
      </c>
      <c r="N848">
        <v>3</v>
      </c>
      <c r="O848" s="7">
        <v>45952</v>
      </c>
      <c r="P848" s="7">
        <v>45956</v>
      </c>
      <c r="Q848" s="7">
        <v>45962</v>
      </c>
      <c r="R848" t="s">
        <v>1049</v>
      </c>
    </row>
    <row r="849" spans="1:18" x14ac:dyDescent="0.3">
      <c r="A849" t="s">
        <v>1003</v>
      </c>
      <c r="B849" t="s">
        <v>29</v>
      </c>
      <c r="C849" t="s">
        <v>841</v>
      </c>
      <c r="D849" s="7">
        <v>45942</v>
      </c>
      <c r="H849" t="s">
        <v>752</v>
      </c>
      <c r="I849" t="s">
        <v>756</v>
      </c>
      <c r="O849" s="7">
        <v>45942</v>
      </c>
      <c r="R849" t="s">
        <v>1050</v>
      </c>
    </row>
    <row r="850" spans="1:18" x14ac:dyDescent="0.3">
      <c r="A850" t="s">
        <v>648</v>
      </c>
      <c r="B850" t="s">
        <v>27</v>
      </c>
      <c r="C850" t="s">
        <v>474</v>
      </c>
      <c r="D850" s="7">
        <v>45948</v>
      </c>
      <c r="E850" s="7">
        <v>45949</v>
      </c>
      <c r="F850" s="7">
        <v>45952</v>
      </c>
      <c r="G850" s="7">
        <v>45955</v>
      </c>
      <c r="H850" t="s">
        <v>17</v>
      </c>
      <c r="J850" s="7">
        <v>45974</v>
      </c>
      <c r="K850">
        <v>1</v>
      </c>
      <c r="L850">
        <v>3</v>
      </c>
      <c r="M850">
        <v>3</v>
      </c>
      <c r="N850">
        <v>5</v>
      </c>
      <c r="O850" s="7">
        <v>45948</v>
      </c>
      <c r="P850" s="7">
        <v>45949</v>
      </c>
      <c r="Q850" s="7">
        <v>45955</v>
      </c>
      <c r="R850" t="s">
        <v>1049</v>
      </c>
    </row>
    <row r="851" spans="1:18" x14ac:dyDescent="0.3">
      <c r="A851" t="s">
        <v>390</v>
      </c>
      <c r="B851" t="s">
        <v>15</v>
      </c>
      <c r="C851" t="s">
        <v>16</v>
      </c>
      <c r="D851" s="7">
        <v>45959</v>
      </c>
      <c r="E851" s="7">
        <v>45960</v>
      </c>
      <c r="F851" s="7">
        <v>45964</v>
      </c>
      <c r="G851" s="7">
        <v>45966</v>
      </c>
      <c r="H851" t="s">
        <v>17</v>
      </c>
      <c r="J851" s="7">
        <v>45989</v>
      </c>
      <c r="K851">
        <v>1</v>
      </c>
      <c r="L851">
        <v>4</v>
      </c>
      <c r="M851">
        <v>2</v>
      </c>
      <c r="N851">
        <v>6</v>
      </c>
      <c r="O851" s="7">
        <v>45959</v>
      </c>
      <c r="P851" s="7">
        <v>45960</v>
      </c>
      <c r="Q851" s="7">
        <v>45966</v>
      </c>
      <c r="R851" t="s">
        <v>1049</v>
      </c>
    </row>
    <row r="852" spans="1:18" x14ac:dyDescent="0.3">
      <c r="A852" t="s">
        <v>462</v>
      </c>
      <c r="B852" t="s">
        <v>15</v>
      </c>
      <c r="C852" t="s">
        <v>16</v>
      </c>
      <c r="D852" s="7">
        <v>45951</v>
      </c>
      <c r="E852" s="7">
        <v>45953</v>
      </c>
      <c r="F852" s="7">
        <v>45958</v>
      </c>
      <c r="G852" s="7">
        <v>45960</v>
      </c>
      <c r="H852" t="s">
        <v>17</v>
      </c>
      <c r="J852" s="7">
        <v>45973</v>
      </c>
      <c r="K852">
        <v>2</v>
      </c>
      <c r="L852">
        <v>5</v>
      </c>
      <c r="M852">
        <v>2</v>
      </c>
      <c r="N852">
        <v>4</v>
      </c>
      <c r="O852" s="7">
        <v>45951</v>
      </c>
      <c r="P852" s="7">
        <v>45953</v>
      </c>
      <c r="Q852" s="7">
        <v>45960</v>
      </c>
      <c r="R852" t="s">
        <v>1049</v>
      </c>
    </row>
    <row r="853" spans="1:18" x14ac:dyDescent="0.3">
      <c r="A853" t="s">
        <v>649</v>
      </c>
      <c r="B853" t="s">
        <v>29</v>
      </c>
      <c r="C853" t="s">
        <v>474</v>
      </c>
      <c r="D853" s="7">
        <v>45942</v>
      </c>
      <c r="E853" s="7">
        <v>45946</v>
      </c>
      <c r="F853" s="7">
        <v>45948</v>
      </c>
      <c r="G853" s="7">
        <v>45950</v>
      </c>
      <c r="H853" t="s">
        <v>17</v>
      </c>
      <c r="J853" s="7">
        <v>45976</v>
      </c>
      <c r="K853">
        <v>4</v>
      </c>
      <c r="L853">
        <v>2</v>
      </c>
      <c r="M853">
        <v>2</v>
      </c>
      <c r="N853">
        <v>9</v>
      </c>
      <c r="O853" s="7">
        <v>45942</v>
      </c>
      <c r="P853" s="7">
        <v>45946</v>
      </c>
      <c r="Q853" s="7">
        <v>45950</v>
      </c>
      <c r="R853" t="s">
        <v>1049</v>
      </c>
    </row>
    <row r="854" spans="1:18" x14ac:dyDescent="0.3">
      <c r="A854" t="s">
        <v>1004</v>
      </c>
      <c r="B854" t="s">
        <v>15</v>
      </c>
      <c r="C854" t="s">
        <v>841</v>
      </c>
      <c r="D854" s="7">
        <v>45932</v>
      </c>
      <c r="H854" t="s">
        <v>752</v>
      </c>
      <c r="I854" t="s">
        <v>765</v>
      </c>
      <c r="O854" s="7">
        <v>45932</v>
      </c>
      <c r="R854" t="s">
        <v>1050</v>
      </c>
    </row>
    <row r="855" spans="1:18" x14ac:dyDescent="0.3">
      <c r="A855" t="s">
        <v>833</v>
      </c>
      <c r="B855" t="s">
        <v>22</v>
      </c>
      <c r="C855" t="s">
        <v>16</v>
      </c>
      <c r="D855" s="7">
        <v>45943</v>
      </c>
      <c r="E855" s="7">
        <v>45947</v>
      </c>
      <c r="F855" s="7">
        <v>45950</v>
      </c>
      <c r="G855" s="7">
        <v>45953</v>
      </c>
      <c r="H855" t="s">
        <v>752</v>
      </c>
      <c r="I855" t="s">
        <v>758</v>
      </c>
      <c r="K855">
        <v>4</v>
      </c>
      <c r="L855">
        <v>3</v>
      </c>
      <c r="M855">
        <v>3</v>
      </c>
      <c r="O855" s="7">
        <v>45943</v>
      </c>
      <c r="P855" s="7">
        <v>45947</v>
      </c>
      <c r="Q855" s="7">
        <v>45953</v>
      </c>
      <c r="R855" t="s">
        <v>1049</v>
      </c>
    </row>
    <row r="856" spans="1:18" x14ac:dyDescent="0.3">
      <c r="A856" t="s">
        <v>304</v>
      </c>
      <c r="B856" t="s">
        <v>15</v>
      </c>
      <c r="C856" t="s">
        <v>16</v>
      </c>
      <c r="D856" s="7">
        <v>45939</v>
      </c>
      <c r="E856" s="7">
        <v>45943</v>
      </c>
      <c r="F856" s="7">
        <v>45946</v>
      </c>
      <c r="G856" s="7">
        <v>45949</v>
      </c>
      <c r="H856" t="s">
        <v>17</v>
      </c>
      <c r="J856" s="7">
        <v>45967</v>
      </c>
      <c r="K856">
        <v>4</v>
      </c>
      <c r="L856">
        <v>3</v>
      </c>
      <c r="M856">
        <v>3</v>
      </c>
      <c r="N856">
        <v>2</v>
      </c>
      <c r="O856" s="7">
        <v>45939</v>
      </c>
      <c r="P856" s="7">
        <v>45943</v>
      </c>
      <c r="Q856" s="7">
        <v>45949</v>
      </c>
      <c r="R856" t="s">
        <v>1049</v>
      </c>
    </row>
    <row r="857" spans="1:18" x14ac:dyDescent="0.3">
      <c r="A857" t="s">
        <v>650</v>
      </c>
      <c r="B857" t="s">
        <v>15</v>
      </c>
      <c r="C857" t="s">
        <v>474</v>
      </c>
      <c r="D857" s="7">
        <v>45937</v>
      </c>
      <c r="E857" s="7">
        <v>45941</v>
      </c>
      <c r="F857" s="7">
        <v>45946</v>
      </c>
      <c r="G857" s="7">
        <v>45949</v>
      </c>
      <c r="H857" t="s">
        <v>17</v>
      </c>
      <c r="J857" s="7">
        <v>45978</v>
      </c>
      <c r="K857">
        <v>4</v>
      </c>
      <c r="L857">
        <v>5</v>
      </c>
      <c r="M857">
        <v>3</v>
      </c>
      <c r="N857">
        <v>7</v>
      </c>
      <c r="O857" s="7">
        <v>45937</v>
      </c>
      <c r="P857" s="7">
        <v>45941</v>
      </c>
      <c r="Q857" s="7">
        <v>45949</v>
      </c>
      <c r="R857" t="s">
        <v>1049</v>
      </c>
    </row>
    <row r="858" spans="1:18" x14ac:dyDescent="0.3">
      <c r="A858" t="s">
        <v>651</v>
      </c>
      <c r="B858" t="s">
        <v>27</v>
      </c>
      <c r="C858" t="s">
        <v>474</v>
      </c>
      <c r="D858" s="7">
        <v>45961</v>
      </c>
      <c r="E858" s="7">
        <v>45963</v>
      </c>
      <c r="F858" s="7">
        <v>45965</v>
      </c>
      <c r="G858" s="7">
        <v>45970</v>
      </c>
      <c r="H858" t="s">
        <v>17</v>
      </c>
      <c r="J858" s="7">
        <v>45999</v>
      </c>
      <c r="K858">
        <v>2</v>
      </c>
      <c r="L858">
        <v>2</v>
      </c>
      <c r="M858">
        <v>5</v>
      </c>
      <c r="N858">
        <v>1</v>
      </c>
      <c r="O858" s="7">
        <v>45961</v>
      </c>
      <c r="P858" s="7">
        <v>45963</v>
      </c>
      <c r="Q858" s="7">
        <v>45970</v>
      </c>
      <c r="R858" t="s">
        <v>1049</v>
      </c>
    </row>
    <row r="859" spans="1:18" x14ac:dyDescent="0.3">
      <c r="A859" t="s">
        <v>115</v>
      </c>
      <c r="B859" t="s">
        <v>27</v>
      </c>
      <c r="C859" t="s">
        <v>16</v>
      </c>
      <c r="D859" s="7">
        <v>45934</v>
      </c>
      <c r="E859" s="7">
        <v>45937</v>
      </c>
      <c r="F859" s="7">
        <v>45941</v>
      </c>
      <c r="G859" s="7">
        <v>45945</v>
      </c>
      <c r="H859" t="s">
        <v>17</v>
      </c>
      <c r="J859" s="7">
        <v>45959</v>
      </c>
      <c r="K859">
        <v>3</v>
      </c>
      <c r="L859">
        <v>4</v>
      </c>
      <c r="M859">
        <v>4</v>
      </c>
      <c r="N859">
        <v>3</v>
      </c>
      <c r="O859" s="7">
        <v>45934</v>
      </c>
      <c r="P859" s="7">
        <v>45937</v>
      </c>
      <c r="Q859" s="7">
        <v>45945</v>
      </c>
      <c r="R859" t="s">
        <v>1049</v>
      </c>
    </row>
    <row r="860" spans="1:18" x14ac:dyDescent="0.3">
      <c r="A860" t="s">
        <v>207</v>
      </c>
      <c r="B860" t="s">
        <v>15</v>
      </c>
      <c r="C860" t="s">
        <v>16</v>
      </c>
      <c r="D860" s="7">
        <v>45961</v>
      </c>
      <c r="E860" s="7">
        <v>45966</v>
      </c>
      <c r="F860" s="7">
        <v>45969</v>
      </c>
      <c r="G860" s="7">
        <v>45976</v>
      </c>
      <c r="H860" t="s">
        <v>17</v>
      </c>
      <c r="J860" s="7">
        <v>45999</v>
      </c>
      <c r="K860">
        <v>5</v>
      </c>
      <c r="L860">
        <v>3</v>
      </c>
      <c r="M860">
        <v>7</v>
      </c>
      <c r="N860">
        <v>7</v>
      </c>
      <c r="O860" s="7">
        <v>45961</v>
      </c>
      <c r="P860" s="7">
        <v>45966</v>
      </c>
      <c r="Q860" s="7">
        <v>45976</v>
      </c>
      <c r="R860" t="s">
        <v>1049</v>
      </c>
    </row>
    <row r="861" spans="1:18" x14ac:dyDescent="0.3">
      <c r="A861" t="s">
        <v>652</v>
      </c>
      <c r="B861" t="s">
        <v>29</v>
      </c>
      <c r="C861" t="s">
        <v>474</v>
      </c>
      <c r="D861" s="7">
        <v>45958</v>
      </c>
      <c r="E861" s="7">
        <v>45960</v>
      </c>
      <c r="F861" s="7">
        <v>45962</v>
      </c>
      <c r="G861" s="7">
        <v>45969</v>
      </c>
      <c r="H861" t="s">
        <v>17</v>
      </c>
      <c r="J861" s="7">
        <v>45982</v>
      </c>
      <c r="K861">
        <v>2</v>
      </c>
      <c r="L861">
        <v>2</v>
      </c>
      <c r="M861">
        <v>7</v>
      </c>
      <c r="N861">
        <v>4</v>
      </c>
      <c r="O861" s="7">
        <v>45958</v>
      </c>
      <c r="P861" s="7">
        <v>45960</v>
      </c>
      <c r="Q861" s="7">
        <v>45969</v>
      </c>
      <c r="R861" t="s">
        <v>1049</v>
      </c>
    </row>
    <row r="862" spans="1:18" x14ac:dyDescent="0.3">
      <c r="A862" t="s">
        <v>116</v>
      </c>
      <c r="B862" t="s">
        <v>27</v>
      </c>
      <c r="C862" t="s">
        <v>16</v>
      </c>
      <c r="D862" s="7">
        <v>45957</v>
      </c>
      <c r="E862" s="7">
        <v>45960</v>
      </c>
      <c r="F862" s="7">
        <v>45964</v>
      </c>
      <c r="G862" s="7">
        <v>45971</v>
      </c>
      <c r="H862" t="s">
        <v>17</v>
      </c>
      <c r="J862" s="7">
        <v>45997</v>
      </c>
      <c r="K862">
        <v>3</v>
      </c>
      <c r="L862">
        <v>4</v>
      </c>
      <c r="M862">
        <v>7</v>
      </c>
      <c r="N862">
        <v>2</v>
      </c>
      <c r="O862" s="7">
        <v>45957</v>
      </c>
      <c r="P862" s="7">
        <v>45960</v>
      </c>
      <c r="Q862" s="7">
        <v>45971</v>
      </c>
      <c r="R862" t="s">
        <v>1049</v>
      </c>
    </row>
    <row r="863" spans="1:18" x14ac:dyDescent="0.3">
      <c r="A863" t="s">
        <v>117</v>
      </c>
      <c r="B863" t="s">
        <v>29</v>
      </c>
      <c r="C863" t="s">
        <v>16</v>
      </c>
      <c r="D863" s="7">
        <v>45945</v>
      </c>
      <c r="E863" s="7">
        <v>45948</v>
      </c>
      <c r="F863" s="7">
        <v>45951</v>
      </c>
      <c r="G863" s="7">
        <v>45953</v>
      </c>
      <c r="H863" t="s">
        <v>17</v>
      </c>
      <c r="J863" s="7">
        <v>45982</v>
      </c>
      <c r="K863">
        <v>3</v>
      </c>
      <c r="L863">
        <v>3</v>
      </c>
      <c r="M863">
        <v>2</v>
      </c>
      <c r="N863">
        <v>5</v>
      </c>
      <c r="O863" s="7">
        <v>45945</v>
      </c>
      <c r="P863" s="7">
        <v>45948</v>
      </c>
      <c r="Q863" s="7">
        <v>45953</v>
      </c>
      <c r="R863" t="s">
        <v>1049</v>
      </c>
    </row>
    <row r="864" spans="1:18" x14ac:dyDescent="0.3">
      <c r="A864" t="s">
        <v>834</v>
      </c>
      <c r="B864" t="s">
        <v>15</v>
      </c>
      <c r="C864" t="s">
        <v>474</v>
      </c>
      <c r="D864" s="7">
        <v>45933</v>
      </c>
      <c r="E864" s="7">
        <v>45936</v>
      </c>
      <c r="F864" s="7">
        <v>45939</v>
      </c>
      <c r="G864" s="7">
        <v>45945</v>
      </c>
      <c r="H864" t="s">
        <v>752</v>
      </c>
      <c r="I864" t="s">
        <v>756</v>
      </c>
      <c r="K864">
        <v>3</v>
      </c>
      <c r="L864">
        <v>3</v>
      </c>
      <c r="M864">
        <v>6</v>
      </c>
      <c r="O864" s="7">
        <v>45933</v>
      </c>
      <c r="P864" s="7">
        <v>45936</v>
      </c>
      <c r="Q864" s="7">
        <v>45945</v>
      </c>
      <c r="R864" t="s">
        <v>1049</v>
      </c>
    </row>
    <row r="865" spans="1:18" x14ac:dyDescent="0.3">
      <c r="A865" t="s">
        <v>305</v>
      </c>
      <c r="B865" t="s">
        <v>15</v>
      </c>
      <c r="C865" t="s">
        <v>16</v>
      </c>
      <c r="D865" s="7">
        <v>45952</v>
      </c>
      <c r="E865" s="7">
        <v>45956</v>
      </c>
      <c r="F865" s="7">
        <v>45960</v>
      </c>
      <c r="G865" s="7">
        <v>45966</v>
      </c>
      <c r="H865" t="s">
        <v>17</v>
      </c>
      <c r="J865" s="7">
        <v>45979</v>
      </c>
      <c r="K865">
        <v>4</v>
      </c>
      <c r="L865">
        <v>4</v>
      </c>
      <c r="M865">
        <v>6</v>
      </c>
      <c r="N865">
        <v>9</v>
      </c>
      <c r="O865" s="7">
        <v>45952</v>
      </c>
      <c r="P865" s="7">
        <v>45956</v>
      </c>
      <c r="Q865" s="7">
        <v>45966</v>
      </c>
      <c r="R865" t="s">
        <v>1049</v>
      </c>
    </row>
    <row r="866" spans="1:18" x14ac:dyDescent="0.3">
      <c r="A866" t="s">
        <v>653</v>
      </c>
      <c r="B866" t="s">
        <v>22</v>
      </c>
      <c r="C866" t="s">
        <v>474</v>
      </c>
      <c r="D866" s="7">
        <v>45937</v>
      </c>
      <c r="E866" s="7">
        <v>45939</v>
      </c>
      <c r="F866" s="7">
        <v>45944</v>
      </c>
      <c r="G866" s="7">
        <v>45948</v>
      </c>
      <c r="H866" t="s">
        <v>17</v>
      </c>
      <c r="J866" s="7">
        <v>45967</v>
      </c>
      <c r="K866">
        <v>2</v>
      </c>
      <c r="L866">
        <v>5</v>
      </c>
      <c r="M866">
        <v>4</v>
      </c>
      <c r="N866">
        <v>4</v>
      </c>
      <c r="O866" s="7">
        <v>45937</v>
      </c>
      <c r="P866" s="7">
        <v>45939</v>
      </c>
      <c r="Q866" s="7">
        <v>45948</v>
      </c>
      <c r="R866" t="s">
        <v>1049</v>
      </c>
    </row>
    <row r="867" spans="1:18" x14ac:dyDescent="0.3">
      <c r="A867" t="s">
        <v>1005</v>
      </c>
      <c r="B867" t="s">
        <v>27</v>
      </c>
      <c r="C867" t="s">
        <v>841</v>
      </c>
      <c r="D867" s="7">
        <v>45951</v>
      </c>
      <c r="H867" t="s">
        <v>752</v>
      </c>
      <c r="I867" t="s">
        <v>777</v>
      </c>
      <c r="O867" s="7">
        <v>45951</v>
      </c>
      <c r="R867" t="s">
        <v>1050</v>
      </c>
    </row>
    <row r="868" spans="1:18" x14ac:dyDescent="0.3">
      <c r="A868" t="s">
        <v>118</v>
      </c>
      <c r="B868" t="s">
        <v>15</v>
      </c>
      <c r="C868" t="s">
        <v>16</v>
      </c>
      <c r="D868" s="7">
        <v>45951</v>
      </c>
      <c r="E868" s="7">
        <v>45954</v>
      </c>
      <c r="F868" s="7">
        <v>45956</v>
      </c>
      <c r="G868" s="7">
        <v>45958</v>
      </c>
      <c r="H868" t="s">
        <v>17</v>
      </c>
      <c r="J868" s="7">
        <v>45971</v>
      </c>
      <c r="K868">
        <v>3</v>
      </c>
      <c r="L868">
        <v>2</v>
      </c>
      <c r="M868">
        <v>2</v>
      </c>
      <c r="N868">
        <v>9</v>
      </c>
      <c r="O868" s="7">
        <v>45951</v>
      </c>
      <c r="P868" s="7">
        <v>45954</v>
      </c>
      <c r="Q868" s="7">
        <v>45958</v>
      </c>
      <c r="R868" t="s">
        <v>1049</v>
      </c>
    </row>
    <row r="869" spans="1:18" x14ac:dyDescent="0.3">
      <c r="A869" t="s">
        <v>741</v>
      </c>
      <c r="B869" t="s">
        <v>22</v>
      </c>
      <c r="C869" t="s">
        <v>474</v>
      </c>
      <c r="D869" s="7">
        <v>45950</v>
      </c>
      <c r="E869" s="7">
        <v>45955</v>
      </c>
      <c r="F869" s="7">
        <v>45958</v>
      </c>
      <c r="G869" s="7">
        <v>45960</v>
      </c>
      <c r="H869" t="s">
        <v>17</v>
      </c>
      <c r="J869" s="7">
        <v>45973</v>
      </c>
      <c r="K869">
        <v>5</v>
      </c>
      <c r="L869">
        <v>3</v>
      </c>
      <c r="M869">
        <v>2</v>
      </c>
      <c r="N869">
        <v>9</v>
      </c>
      <c r="O869" s="7">
        <v>45950</v>
      </c>
      <c r="P869" s="7">
        <v>45955</v>
      </c>
      <c r="Q869" s="7">
        <v>45960</v>
      </c>
      <c r="R869" t="s">
        <v>1049</v>
      </c>
    </row>
    <row r="870" spans="1:18" x14ac:dyDescent="0.3">
      <c r="A870" t="s">
        <v>208</v>
      </c>
      <c r="B870" t="s">
        <v>27</v>
      </c>
      <c r="C870" t="s">
        <v>16</v>
      </c>
      <c r="D870" s="7">
        <v>45931</v>
      </c>
      <c r="E870" s="7">
        <v>45936</v>
      </c>
      <c r="F870" s="7">
        <v>45940</v>
      </c>
      <c r="G870" s="7">
        <v>45942</v>
      </c>
      <c r="H870" t="s">
        <v>17</v>
      </c>
      <c r="J870" s="7">
        <v>45967</v>
      </c>
      <c r="K870">
        <v>5</v>
      </c>
      <c r="L870">
        <v>4</v>
      </c>
      <c r="M870">
        <v>2</v>
      </c>
      <c r="N870">
        <v>5</v>
      </c>
      <c r="O870" s="7">
        <v>45931</v>
      </c>
      <c r="P870" s="7">
        <v>45936</v>
      </c>
      <c r="Q870" s="7">
        <v>45942</v>
      </c>
      <c r="R870" t="s">
        <v>1049</v>
      </c>
    </row>
    <row r="871" spans="1:18" x14ac:dyDescent="0.3">
      <c r="A871" t="s">
        <v>391</v>
      </c>
      <c r="B871" t="s">
        <v>15</v>
      </c>
      <c r="C871" t="s">
        <v>16</v>
      </c>
      <c r="D871" s="7">
        <v>45932</v>
      </c>
      <c r="E871" s="7">
        <v>45933</v>
      </c>
      <c r="F871" s="7">
        <v>45936</v>
      </c>
      <c r="G871" s="7">
        <v>45939</v>
      </c>
      <c r="H871" t="s">
        <v>17</v>
      </c>
      <c r="J871" s="7">
        <v>45955</v>
      </c>
      <c r="K871">
        <v>1</v>
      </c>
      <c r="L871">
        <v>3</v>
      </c>
      <c r="M871">
        <v>3</v>
      </c>
      <c r="N871">
        <v>1</v>
      </c>
      <c r="O871" s="7">
        <v>45932</v>
      </c>
      <c r="P871" s="7">
        <v>45933</v>
      </c>
      <c r="Q871" s="7">
        <v>45939</v>
      </c>
      <c r="R871" t="s">
        <v>1049</v>
      </c>
    </row>
    <row r="872" spans="1:18" x14ac:dyDescent="0.3">
      <c r="A872" t="s">
        <v>119</v>
      </c>
      <c r="B872" t="s">
        <v>15</v>
      </c>
      <c r="C872" t="s">
        <v>16</v>
      </c>
      <c r="D872" s="7">
        <v>45956</v>
      </c>
      <c r="E872" s="7">
        <v>45959</v>
      </c>
      <c r="F872" s="7">
        <v>45963</v>
      </c>
      <c r="G872" s="7">
        <v>45970</v>
      </c>
      <c r="H872" t="s">
        <v>17</v>
      </c>
      <c r="J872" s="7">
        <v>45999</v>
      </c>
      <c r="K872">
        <v>3</v>
      </c>
      <c r="L872">
        <v>4</v>
      </c>
      <c r="M872">
        <v>7</v>
      </c>
      <c r="N872">
        <v>8</v>
      </c>
      <c r="O872" s="7">
        <v>45956</v>
      </c>
      <c r="P872" s="7">
        <v>45959</v>
      </c>
      <c r="Q872" s="7">
        <v>45970</v>
      </c>
      <c r="R872" t="s">
        <v>1049</v>
      </c>
    </row>
    <row r="873" spans="1:18" x14ac:dyDescent="0.3">
      <c r="A873" t="s">
        <v>463</v>
      </c>
      <c r="B873" t="s">
        <v>27</v>
      </c>
      <c r="C873" t="s">
        <v>16</v>
      </c>
      <c r="D873" s="7">
        <v>45941</v>
      </c>
      <c r="E873" s="7">
        <v>45943</v>
      </c>
      <c r="F873" s="7">
        <v>45946</v>
      </c>
      <c r="G873" s="7">
        <v>45951</v>
      </c>
      <c r="H873" t="s">
        <v>17</v>
      </c>
      <c r="J873" s="7">
        <v>45967</v>
      </c>
      <c r="K873">
        <v>2</v>
      </c>
      <c r="L873">
        <v>3</v>
      </c>
      <c r="M873">
        <v>5</v>
      </c>
      <c r="N873">
        <v>7</v>
      </c>
      <c r="O873" s="7">
        <v>45941</v>
      </c>
      <c r="P873" s="7">
        <v>45943</v>
      </c>
      <c r="Q873" s="7">
        <v>45951</v>
      </c>
      <c r="R873" t="s">
        <v>1049</v>
      </c>
    </row>
    <row r="874" spans="1:18" x14ac:dyDescent="0.3">
      <c r="A874" t="s">
        <v>306</v>
      </c>
      <c r="B874" t="s">
        <v>27</v>
      </c>
      <c r="C874" t="s">
        <v>16</v>
      </c>
      <c r="D874" s="7">
        <v>45938</v>
      </c>
      <c r="E874" s="7">
        <v>45942</v>
      </c>
      <c r="F874" s="7">
        <v>45943</v>
      </c>
      <c r="G874" s="7">
        <v>45946</v>
      </c>
      <c r="H874" t="s">
        <v>17</v>
      </c>
      <c r="J874" s="7">
        <v>45964</v>
      </c>
      <c r="K874">
        <v>4</v>
      </c>
      <c r="L874">
        <v>1</v>
      </c>
      <c r="M874">
        <v>3</v>
      </c>
      <c r="N874">
        <v>5</v>
      </c>
      <c r="O874" s="7">
        <v>45938</v>
      </c>
      <c r="P874" s="7">
        <v>45942</v>
      </c>
      <c r="Q874" s="7">
        <v>45946</v>
      </c>
      <c r="R874" t="s">
        <v>1049</v>
      </c>
    </row>
    <row r="875" spans="1:18" x14ac:dyDescent="0.3">
      <c r="A875" t="s">
        <v>654</v>
      </c>
      <c r="B875" t="s">
        <v>27</v>
      </c>
      <c r="C875" t="s">
        <v>474</v>
      </c>
      <c r="D875" s="7">
        <v>45935</v>
      </c>
      <c r="E875" s="7">
        <v>45936</v>
      </c>
      <c r="F875" s="7">
        <v>45941</v>
      </c>
      <c r="G875" s="7">
        <v>45943</v>
      </c>
      <c r="H875" t="s">
        <v>17</v>
      </c>
      <c r="J875" s="7">
        <v>45969</v>
      </c>
      <c r="K875">
        <v>1</v>
      </c>
      <c r="L875">
        <v>5</v>
      </c>
      <c r="M875">
        <v>2</v>
      </c>
      <c r="N875">
        <v>4</v>
      </c>
      <c r="O875" s="7">
        <v>45935</v>
      </c>
      <c r="P875" s="7">
        <v>45936</v>
      </c>
      <c r="Q875" s="7">
        <v>45943</v>
      </c>
      <c r="R875" t="s">
        <v>1049</v>
      </c>
    </row>
    <row r="876" spans="1:18" x14ac:dyDescent="0.3">
      <c r="A876" t="s">
        <v>655</v>
      </c>
      <c r="B876" t="s">
        <v>15</v>
      </c>
      <c r="C876" t="s">
        <v>474</v>
      </c>
      <c r="D876" s="7">
        <v>45956</v>
      </c>
      <c r="E876" s="7">
        <v>45959</v>
      </c>
      <c r="F876" s="7">
        <v>45961</v>
      </c>
      <c r="G876" s="7">
        <v>45965</v>
      </c>
      <c r="H876" t="s">
        <v>17</v>
      </c>
      <c r="J876" s="7">
        <v>45981</v>
      </c>
      <c r="K876">
        <v>3</v>
      </c>
      <c r="L876">
        <v>2</v>
      </c>
      <c r="M876">
        <v>4</v>
      </c>
      <c r="N876">
        <v>3</v>
      </c>
      <c r="O876" s="7">
        <v>45956</v>
      </c>
      <c r="P876" s="7">
        <v>45959</v>
      </c>
      <c r="Q876" s="7">
        <v>45965</v>
      </c>
      <c r="R876" t="s">
        <v>1049</v>
      </c>
    </row>
    <row r="877" spans="1:18" x14ac:dyDescent="0.3">
      <c r="A877" t="s">
        <v>656</v>
      </c>
      <c r="B877" t="s">
        <v>15</v>
      </c>
      <c r="C877" t="s">
        <v>474</v>
      </c>
      <c r="D877" s="7">
        <v>45949</v>
      </c>
      <c r="E877" s="7">
        <v>45953</v>
      </c>
      <c r="F877" s="7">
        <v>45958</v>
      </c>
      <c r="G877" s="7">
        <v>45960</v>
      </c>
      <c r="H877" t="s">
        <v>17</v>
      </c>
      <c r="J877" s="7">
        <v>45981</v>
      </c>
      <c r="K877">
        <v>4</v>
      </c>
      <c r="L877">
        <v>5</v>
      </c>
      <c r="M877">
        <v>2</v>
      </c>
      <c r="N877">
        <v>6</v>
      </c>
      <c r="O877" s="7">
        <v>45949</v>
      </c>
      <c r="P877" s="7">
        <v>45953</v>
      </c>
      <c r="Q877" s="7">
        <v>45960</v>
      </c>
      <c r="R877" t="s">
        <v>1049</v>
      </c>
    </row>
    <row r="878" spans="1:18" x14ac:dyDescent="0.3">
      <c r="A878" t="s">
        <v>464</v>
      </c>
      <c r="B878" t="s">
        <v>22</v>
      </c>
      <c r="C878" t="s">
        <v>16</v>
      </c>
      <c r="D878" s="7">
        <v>45937</v>
      </c>
      <c r="E878" s="7">
        <v>45939</v>
      </c>
      <c r="F878" s="7">
        <v>45944</v>
      </c>
      <c r="G878" s="7">
        <v>45946</v>
      </c>
      <c r="H878" t="s">
        <v>17</v>
      </c>
      <c r="J878" s="7">
        <v>45969</v>
      </c>
      <c r="K878">
        <v>2</v>
      </c>
      <c r="L878">
        <v>5</v>
      </c>
      <c r="M878">
        <v>2</v>
      </c>
      <c r="N878">
        <v>2</v>
      </c>
      <c r="O878" s="7">
        <v>45937</v>
      </c>
      <c r="P878" s="7">
        <v>45939</v>
      </c>
      <c r="Q878" s="7">
        <v>45946</v>
      </c>
      <c r="R878" t="s">
        <v>1049</v>
      </c>
    </row>
    <row r="879" spans="1:18" x14ac:dyDescent="0.3">
      <c r="A879" t="s">
        <v>1006</v>
      </c>
      <c r="B879" t="s">
        <v>29</v>
      </c>
      <c r="C879" t="s">
        <v>841</v>
      </c>
      <c r="D879" s="7">
        <v>45933</v>
      </c>
      <c r="H879" t="s">
        <v>752</v>
      </c>
      <c r="I879" t="s">
        <v>756</v>
      </c>
      <c r="O879" s="7">
        <v>45933</v>
      </c>
      <c r="R879" t="s">
        <v>1050</v>
      </c>
    </row>
    <row r="880" spans="1:18" x14ac:dyDescent="0.3">
      <c r="A880" t="s">
        <v>465</v>
      </c>
      <c r="B880" t="s">
        <v>27</v>
      </c>
      <c r="C880" t="s">
        <v>16</v>
      </c>
      <c r="D880" s="7">
        <v>45957</v>
      </c>
      <c r="E880" s="7">
        <v>45959</v>
      </c>
      <c r="F880" s="7">
        <v>45961</v>
      </c>
      <c r="G880" s="7">
        <v>45966</v>
      </c>
      <c r="H880" t="s">
        <v>17</v>
      </c>
      <c r="J880" s="7">
        <v>45985</v>
      </c>
      <c r="K880">
        <v>2</v>
      </c>
      <c r="L880">
        <v>2</v>
      </c>
      <c r="M880">
        <v>5</v>
      </c>
      <c r="N880">
        <v>4</v>
      </c>
      <c r="O880" s="7">
        <v>45957</v>
      </c>
      <c r="P880" s="7">
        <v>45959</v>
      </c>
      <c r="Q880" s="7">
        <v>45966</v>
      </c>
      <c r="R880" t="s">
        <v>1049</v>
      </c>
    </row>
    <row r="881" spans="1:18" x14ac:dyDescent="0.3">
      <c r="A881" t="s">
        <v>657</v>
      </c>
      <c r="B881" t="s">
        <v>15</v>
      </c>
      <c r="C881" t="s">
        <v>474</v>
      </c>
      <c r="D881" s="7">
        <v>45955</v>
      </c>
      <c r="E881" s="7">
        <v>45956</v>
      </c>
      <c r="F881" s="7">
        <v>45961</v>
      </c>
      <c r="G881" s="7">
        <v>45963</v>
      </c>
      <c r="H881" t="s">
        <v>17</v>
      </c>
      <c r="J881" s="7">
        <v>45978</v>
      </c>
      <c r="K881">
        <v>1</v>
      </c>
      <c r="L881">
        <v>5</v>
      </c>
      <c r="M881">
        <v>2</v>
      </c>
      <c r="N881">
        <v>4</v>
      </c>
      <c r="O881" s="7">
        <v>45955</v>
      </c>
      <c r="P881" s="7">
        <v>45956</v>
      </c>
      <c r="Q881" s="7">
        <v>45963</v>
      </c>
      <c r="R881" t="s">
        <v>1049</v>
      </c>
    </row>
    <row r="882" spans="1:18" x14ac:dyDescent="0.3">
      <c r="A882" t="s">
        <v>392</v>
      </c>
      <c r="B882" t="s">
        <v>15</v>
      </c>
      <c r="C882" t="s">
        <v>16</v>
      </c>
      <c r="D882" s="7">
        <v>45948</v>
      </c>
      <c r="E882" s="7">
        <v>45949</v>
      </c>
      <c r="F882" s="7">
        <v>45950</v>
      </c>
      <c r="G882" s="7">
        <v>45953</v>
      </c>
      <c r="H882" t="s">
        <v>17</v>
      </c>
      <c r="J882" s="7">
        <v>45964</v>
      </c>
      <c r="K882">
        <v>1</v>
      </c>
      <c r="L882">
        <v>1</v>
      </c>
      <c r="M882">
        <v>3</v>
      </c>
      <c r="N882">
        <v>2</v>
      </c>
      <c r="O882" s="7">
        <v>45948</v>
      </c>
      <c r="P882" s="7">
        <v>45949</v>
      </c>
      <c r="Q882" s="7">
        <v>45953</v>
      </c>
      <c r="R882" t="s">
        <v>1049</v>
      </c>
    </row>
    <row r="883" spans="1:18" x14ac:dyDescent="0.3">
      <c r="A883" t="s">
        <v>1007</v>
      </c>
      <c r="B883" t="s">
        <v>27</v>
      </c>
      <c r="C883" t="s">
        <v>841</v>
      </c>
      <c r="D883" s="7">
        <v>45937</v>
      </c>
      <c r="H883" t="s">
        <v>752</v>
      </c>
      <c r="I883" t="s">
        <v>756</v>
      </c>
      <c r="O883" s="7">
        <v>45937</v>
      </c>
      <c r="R883" t="s">
        <v>1050</v>
      </c>
    </row>
    <row r="884" spans="1:18" x14ac:dyDescent="0.3">
      <c r="A884" t="s">
        <v>120</v>
      </c>
      <c r="B884" t="s">
        <v>29</v>
      </c>
      <c r="C884" t="s">
        <v>16</v>
      </c>
      <c r="D884" s="7">
        <v>45949</v>
      </c>
      <c r="E884" s="7">
        <v>45952</v>
      </c>
      <c r="F884" s="7">
        <v>45956</v>
      </c>
      <c r="G884" s="7">
        <v>45962</v>
      </c>
      <c r="H884" t="s">
        <v>17</v>
      </c>
      <c r="J884" s="7">
        <v>45989</v>
      </c>
      <c r="K884">
        <v>3</v>
      </c>
      <c r="L884">
        <v>4</v>
      </c>
      <c r="M884">
        <v>6</v>
      </c>
      <c r="N884">
        <v>4</v>
      </c>
      <c r="O884" s="7">
        <v>45949</v>
      </c>
      <c r="P884" s="7">
        <v>45952</v>
      </c>
      <c r="Q884" s="7">
        <v>45962</v>
      </c>
      <c r="R884" t="s">
        <v>1049</v>
      </c>
    </row>
    <row r="885" spans="1:18" x14ac:dyDescent="0.3">
      <c r="A885" t="s">
        <v>1008</v>
      </c>
      <c r="B885" t="s">
        <v>27</v>
      </c>
      <c r="C885" t="s">
        <v>841</v>
      </c>
      <c r="D885" s="7">
        <v>45937</v>
      </c>
      <c r="H885" t="s">
        <v>752</v>
      </c>
      <c r="I885" t="s">
        <v>777</v>
      </c>
      <c r="O885" s="7">
        <v>45937</v>
      </c>
      <c r="R885" t="s">
        <v>1050</v>
      </c>
    </row>
    <row r="886" spans="1:18" x14ac:dyDescent="0.3">
      <c r="A886" t="s">
        <v>658</v>
      </c>
      <c r="B886" t="s">
        <v>29</v>
      </c>
      <c r="C886" t="s">
        <v>474</v>
      </c>
      <c r="D886" s="7">
        <v>45957</v>
      </c>
      <c r="E886" s="7">
        <v>45961</v>
      </c>
      <c r="F886" s="7">
        <v>45963</v>
      </c>
      <c r="G886" s="7">
        <v>45968</v>
      </c>
      <c r="H886" t="s">
        <v>17</v>
      </c>
      <c r="J886" s="7">
        <v>45993</v>
      </c>
      <c r="K886">
        <v>4</v>
      </c>
      <c r="L886">
        <v>2</v>
      </c>
      <c r="M886">
        <v>5</v>
      </c>
      <c r="N886">
        <v>7</v>
      </c>
      <c r="O886" s="7">
        <v>45957</v>
      </c>
      <c r="P886" s="7">
        <v>45961</v>
      </c>
      <c r="Q886" s="7">
        <v>45968</v>
      </c>
      <c r="R886" t="s">
        <v>1049</v>
      </c>
    </row>
    <row r="887" spans="1:18" x14ac:dyDescent="0.3">
      <c r="A887" t="s">
        <v>742</v>
      </c>
      <c r="B887" t="s">
        <v>15</v>
      </c>
      <c r="C887" t="s">
        <v>474</v>
      </c>
      <c r="D887" s="7">
        <v>45958</v>
      </c>
      <c r="E887" s="7">
        <v>45963</v>
      </c>
      <c r="F887" s="7">
        <v>45967</v>
      </c>
      <c r="G887" s="7">
        <v>45974</v>
      </c>
      <c r="H887" t="s">
        <v>17</v>
      </c>
      <c r="J887" s="7">
        <v>45990</v>
      </c>
      <c r="K887">
        <v>5</v>
      </c>
      <c r="L887">
        <v>4</v>
      </c>
      <c r="M887">
        <v>7</v>
      </c>
      <c r="N887">
        <v>3</v>
      </c>
      <c r="O887" s="7">
        <v>45958</v>
      </c>
      <c r="P887" s="7">
        <v>45963</v>
      </c>
      <c r="Q887" s="7">
        <v>45974</v>
      </c>
      <c r="R887" t="s">
        <v>1049</v>
      </c>
    </row>
    <row r="888" spans="1:18" x14ac:dyDescent="0.3">
      <c r="A888" t="s">
        <v>1009</v>
      </c>
      <c r="B888" t="s">
        <v>29</v>
      </c>
      <c r="C888" t="s">
        <v>841</v>
      </c>
      <c r="D888" s="7">
        <v>45938</v>
      </c>
      <c r="H888" t="s">
        <v>752</v>
      </c>
      <c r="I888" t="s">
        <v>753</v>
      </c>
      <c r="O888" s="7">
        <v>45938</v>
      </c>
      <c r="R888" t="s">
        <v>1050</v>
      </c>
    </row>
    <row r="889" spans="1:18" x14ac:dyDescent="0.3">
      <c r="A889" t="s">
        <v>307</v>
      </c>
      <c r="B889" t="s">
        <v>22</v>
      </c>
      <c r="C889" t="s">
        <v>16</v>
      </c>
      <c r="D889" s="7">
        <v>45941</v>
      </c>
      <c r="E889" s="7">
        <v>45945</v>
      </c>
      <c r="F889" s="7">
        <v>45948</v>
      </c>
      <c r="G889" s="7">
        <v>45953</v>
      </c>
      <c r="H889" t="s">
        <v>17</v>
      </c>
      <c r="J889" s="7">
        <v>45978</v>
      </c>
      <c r="K889">
        <v>4</v>
      </c>
      <c r="L889">
        <v>3</v>
      </c>
      <c r="M889">
        <v>5</v>
      </c>
      <c r="N889">
        <v>7</v>
      </c>
      <c r="O889" s="7">
        <v>45941</v>
      </c>
      <c r="P889" s="7">
        <v>45945</v>
      </c>
      <c r="Q889" s="7">
        <v>45953</v>
      </c>
      <c r="R889" t="s">
        <v>1049</v>
      </c>
    </row>
    <row r="890" spans="1:18" x14ac:dyDescent="0.3">
      <c r="A890" t="s">
        <v>466</v>
      </c>
      <c r="B890" t="s">
        <v>15</v>
      </c>
      <c r="C890" t="s">
        <v>16</v>
      </c>
      <c r="D890" s="7">
        <v>45955</v>
      </c>
      <c r="E890" s="7">
        <v>45957</v>
      </c>
      <c r="F890" s="7">
        <v>45958</v>
      </c>
      <c r="G890" s="7">
        <v>45963</v>
      </c>
      <c r="H890" t="s">
        <v>17</v>
      </c>
      <c r="J890" s="7">
        <v>45983</v>
      </c>
      <c r="K890">
        <v>2</v>
      </c>
      <c r="L890">
        <v>1</v>
      </c>
      <c r="M890">
        <v>5</v>
      </c>
      <c r="N890">
        <v>9</v>
      </c>
      <c r="O890" s="7">
        <v>45955</v>
      </c>
      <c r="P890" s="7">
        <v>45957</v>
      </c>
      <c r="Q890" s="7">
        <v>45963</v>
      </c>
      <c r="R890" t="s">
        <v>1049</v>
      </c>
    </row>
    <row r="891" spans="1:18" x14ac:dyDescent="0.3">
      <c r="A891" t="s">
        <v>467</v>
      </c>
      <c r="B891" t="s">
        <v>22</v>
      </c>
      <c r="C891" t="s">
        <v>16</v>
      </c>
      <c r="D891" s="7">
        <v>45935</v>
      </c>
      <c r="E891" s="7">
        <v>45937</v>
      </c>
      <c r="F891" s="7">
        <v>45941</v>
      </c>
      <c r="G891" s="7">
        <v>45943</v>
      </c>
      <c r="H891" t="s">
        <v>17</v>
      </c>
      <c r="J891" s="7">
        <v>45960</v>
      </c>
      <c r="K891">
        <v>2</v>
      </c>
      <c r="L891">
        <v>4</v>
      </c>
      <c r="M891">
        <v>2</v>
      </c>
      <c r="N891">
        <v>4</v>
      </c>
      <c r="O891" s="7">
        <v>45935</v>
      </c>
      <c r="P891" s="7">
        <v>45937</v>
      </c>
      <c r="Q891" s="7">
        <v>45943</v>
      </c>
      <c r="R891" t="s">
        <v>1049</v>
      </c>
    </row>
    <row r="892" spans="1:18" x14ac:dyDescent="0.3">
      <c r="A892" t="s">
        <v>1010</v>
      </c>
      <c r="B892" t="s">
        <v>27</v>
      </c>
      <c r="C892" t="s">
        <v>841</v>
      </c>
      <c r="D892" s="7">
        <v>45956</v>
      </c>
      <c r="H892" t="s">
        <v>752</v>
      </c>
      <c r="I892" t="s">
        <v>753</v>
      </c>
      <c r="O892" s="7">
        <v>45956</v>
      </c>
      <c r="R892" t="s">
        <v>1050</v>
      </c>
    </row>
    <row r="893" spans="1:18" x14ac:dyDescent="0.3">
      <c r="A893" t="s">
        <v>121</v>
      </c>
      <c r="B893" t="s">
        <v>27</v>
      </c>
      <c r="C893" t="s">
        <v>16</v>
      </c>
      <c r="D893" s="7">
        <v>45959</v>
      </c>
      <c r="E893" s="7">
        <v>45962</v>
      </c>
      <c r="F893" s="7">
        <v>45966</v>
      </c>
      <c r="G893" s="7">
        <v>45971</v>
      </c>
      <c r="H893" t="s">
        <v>17</v>
      </c>
      <c r="J893" s="7">
        <v>45981</v>
      </c>
      <c r="K893">
        <v>3</v>
      </c>
      <c r="L893">
        <v>4</v>
      </c>
      <c r="M893">
        <v>5</v>
      </c>
      <c r="N893">
        <v>7</v>
      </c>
      <c r="O893" s="7">
        <v>45959</v>
      </c>
      <c r="P893" s="7">
        <v>45962</v>
      </c>
      <c r="Q893" s="7">
        <v>45971</v>
      </c>
      <c r="R893" t="s">
        <v>1049</v>
      </c>
    </row>
    <row r="894" spans="1:18" x14ac:dyDescent="0.3">
      <c r="A894" t="s">
        <v>209</v>
      </c>
      <c r="B894" t="s">
        <v>27</v>
      </c>
      <c r="C894" t="s">
        <v>16</v>
      </c>
      <c r="D894" s="7">
        <v>45950</v>
      </c>
      <c r="E894" s="7">
        <v>45955</v>
      </c>
      <c r="F894" s="7">
        <v>45957</v>
      </c>
      <c r="G894" s="7">
        <v>45964</v>
      </c>
      <c r="H894" t="s">
        <v>17</v>
      </c>
      <c r="J894" s="7">
        <v>45974</v>
      </c>
      <c r="K894">
        <v>5</v>
      </c>
      <c r="L894">
        <v>2</v>
      </c>
      <c r="M894">
        <v>7</v>
      </c>
      <c r="N894">
        <v>7</v>
      </c>
      <c r="O894" s="7">
        <v>45950</v>
      </c>
      <c r="P894" s="7">
        <v>45955</v>
      </c>
      <c r="Q894" s="7">
        <v>45964</v>
      </c>
      <c r="R894" t="s">
        <v>1049</v>
      </c>
    </row>
    <row r="895" spans="1:18" x14ac:dyDescent="0.3">
      <c r="A895" t="s">
        <v>122</v>
      </c>
      <c r="B895" t="s">
        <v>29</v>
      </c>
      <c r="C895" t="s">
        <v>16</v>
      </c>
      <c r="D895" s="7">
        <v>45931</v>
      </c>
      <c r="E895" s="7">
        <v>45934</v>
      </c>
      <c r="F895" s="7">
        <v>45937</v>
      </c>
      <c r="G895" s="7">
        <v>45942</v>
      </c>
      <c r="H895" t="s">
        <v>17</v>
      </c>
      <c r="J895" s="7">
        <v>45954</v>
      </c>
      <c r="K895">
        <v>3</v>
      </c>
      <c r="L895">
        <v>3</v>
      </c>
      <c r="M895">
        <v>5</v>
      </c>
      <c r="N895">
        <v>7</v>
      </c>
      <c r="O895" s="7">
        <v>45931</v>
      </c>
      <c r="P895" s="7">
        <v>45934</v>
      </c>
      <c r="Q895" s="7">
        <v>45942</v>
      </c>
      <c r="R895" t="s">
        <v>1049</v>
      </c>
    </row>
    <row r="896" spans="1:18" x14ac:dyDescent="0.3">
      <c r="A896" t="s">
        <v>468</v>
      </c>
      <c r="B896" t="s">
        <v>15</v>
      </c>
      <c r="C896" t="s">
        <v>16</v>
      </c>
      <c r="D896" s="7">
        <v>45939</v>
      </c>
      <c r="E896" s="7">
        <v>45941</v>
      </c>
      <c r="F896" s="7">
        <v>45943</v>
      </c>
      <c r="G896" s="7">
        <v>45946</v>
      </c>
      <c r="H896" t="s">
        <v>17</v>
      </c>
      <c r="J896" s="7">
        <v>45959</v>
      </c>
      <c r="K896">
        <v>2</v>
      </c>
      <c r="L896">
        <v>2</v>
      </c>
      <c r="M896">
        <v>3</v>
      </c>
      <c r="N896">
        <v>1</v>
      </c>
      <c r="O896" s="7">
        <v>45939</v>
      </c>
      <c r="P896" s="7">
        <v>45941</v>
      </c>
      <c r="Q896" s="7">
        <v>45946</v>
      </c>
      <c r="R896" t="s">
        <v>1049</v>
      </c>
    </row>
    <row r="897" spans="1:18" x14ac:dyDescent="0.3">
      <c r="A897" t="s">
        <v>835</v>
      </c>
      <c r="B897" t="s">
        <v>27</v>
      </c>
      <c r="C897" t="s">
        <v>16</v>
      </c>
      <c r="D897" s="7">
        <v>45958</v>
      </c>
      <c r="E897" s="7">
        <v>45960</v>
      </c>
      <c r="F897" s="7">
        <v>45963</v>
      </c>
      <c r="G897" s="7">
        <v>45967</v>
      </c>
      <c r="H897" t="s">
        <v>752</v>
      </c>
      <c r="I897" t="s">
        <v>765</v>
      </c>
      <c r="K897">
        <v>2</v>
      </c>
      <c r="L897">
        <v>3</v>
      </c>
      <c r="M897">
        <v>4</v>
      </c>
      <c r="O897" s="7">
        <v>45958</v>
      </c>
      <c r="P897" s="7">
        <v>45960</v>
      </c>
      <c r="Q897" s="7">
        <v>45967</v>
      </c>
      <c r="R897" t="s">
        <v>1049</v>
      </c>
    </row>
    <row r="898" spans="1:18" x14ac:dyDescent="0.3">
      <c r="A898" t="s">
        <v>1011</v>
      </c>
      <c r="B898" t="s">
        <v>27</v>
      </c>
      <c r="C898" t="s">
        <v>841</v>
      </c>
      <c r="D898" s="7">
        <v>45935</v>
      </c>
      <c r="H898" t="s">
        <v>752</v>
      </c>
      <c r="I898" t="s">
        <v>765</v>
      </c>
      <c r="O898" s="7">
        <v>45935</v>
      </c>
      <c r="R898" t="s">
        <v>1050</v>
      </c>
    </row>
    <row r="899" spans="1:18" x14ac:dyDescent="0.3">
      <c r="A899" t="s">
        <v>1012</v>
      </c>
      <c r="B899" t="s">
        <v>15</v>
      </c>
      <c r="C899" t="s">
        <v>841</v>
      </c>
      <c r="D899" s="7">
        <v>45935</v>
      </c>
      <c r="H899" t="s">
        <v>752</v>
      </c>
      <c r="I899" t="s">
        <v>753</v>
      </c>
      <c r="O899" s="7">
        <v>45935</v>
      </c>
      <c r="R899" t="s">
        <v>1050</v>
      </c>
    </row>
    <row r="900" spans="1:18" x14ac:dyDescent="0.3">
      <c r="A900" t="s">
        <v>1013</v>
      </c>
      <c r="B900" t="s">
        <v>27</v>
      </c>
      <c r="C900" t="s">
        <v>841</v>
      </c>
      <c r="D900" s="7">
        <v>45948</v>
      </c>
      <c r="H900" t="s">
        <v>752</v>
      </c>
      <c r="I900" t="s">
        <v>758</v>
      </c>
      <c r="O900" s="7">
        <v>45948</v>
      </c>
      <c r="R900" t="s">
        <v>1050</v>
      </c>
    </row>
    <row r="901" spans="1:18" x14ac:dyDescent="0.3">
      <c r="A901" t="s">
        <v>659</v>
      </c>
      <c r="B901" t="s">
        <v>22</v>
      </c>
      <c r="C901" t="s">
        <v>474</v>
      </c>
      <c r="D901" s="7">
        <v>45939</v>
      </c>
      <c r="E901" s="7">
        <v>45943</v>
      </c>
      <c r="F901" s="7">
        <v>45945</v>
      </c>
      <c r="G901" s="7">
        <v>45948</v>
      </c>
      <c r="H901" t="s">
        <v>17</v>
      </c>
      <c r="J901" s="7">
        <v>45976</v>
      </c>
      <c r="K901">
        <v>4</v>
      </c>
      <c r="L901">
        <v>2</v>
      </c>
      <c r="M901">
        <v>3</v>
      </c>
      <c r="N901">
        <v>9</v>
      </c>
      <c r="O901" s="7">
        <v>45939</v>
      </c>
      <c r="P901" s="7">
        <v>45943</v>
      </c>
      <c r="Q901" s="7">
        <v>45948</v>
      </c>
      <c r="R901" t="s">
        <v>1049</v>
      </c>
    </row>
    <row r="902" spans="1:18" x14ac:dyDescent="0.3">
      <c r="A902" t="s">
        <v>210</v>
      </c>
      <c r="B902" t="s">
        <v>15</v>
      </c>
      <c r="C902" t="s">
        <v>16</v>
      </c>
      <c r="D902" s="7">
        <v>45956</v>
      </c>
      <c r="E902" s="7">
        <v>45961</v>
      </c>
      <c r="F902" s="7">
        <v>45965</v>
      </c>
      <c r="G902" s="7">
        <v>45968</v>
      </c>
      <c r="H902" t="s">
        <v>17</v>
      </c>
      <c r="J902" s="7">
        <v>45993</v>
      </c>
      <c r="K902">
        <v>5</v>
      </c>
      <c r="L902">
        <v>4</v>
      </c>
      <c r="M902">
        <v>3</v>
      </c>
      <c r="N902">
        <v>10</v>
      </c>
      <c r="O902" s="7">
        <v>45956</v>
      </c>
      <c r="P902" s="7">
        <v>45961</v>
      </c>
      <c r="Q902" s="7">
        <v>45968</v>
      </c>
      <c r="R902" t="s">
        <v>1049</v>
      </c>
    </row>
    <row r="903" spans="1:18" x14ac:dyDescent="0.3">
      <c r="A903" t="s">
        <v>308</v>
      </c>
      <c r="B903" t="s">
        <v>15</v>
      </c>
      <c r="C903" t="s">
        <v>16</v>
      </c>
      <c r="D903" s="7">
        <v>45936</v>
      </c>
      <c r="E903" s="7">
        <v>45940</v>
      </c>
      <c r="F903" s="7">
        <v>45944</v>
      </c>
      <c r="G903" s="7">
        <v>45948</v>
      </c>
      <c r="H903" t="s">
        <v>17</v>
      </c>
      <c r="J903" s="7">
        <v>45962</v>
      </c>
      <c r="K903">
        <v>4</v>
      </c>
      <c r="L903">
        <v>4</v>
      </c>
      <c r="M903">
        <v>4</v>
      </c>
      <c r="N903">
        <v>0</v>
      </c>
      <c r="O903" s="7">
        <v>45936</v>
      </c>
      <c r="P903" s="7">
        <v>45940</v>
      </c>
      <c r="Q903" s="7">
        <v>45948</v>
      </c>
      <c r="R903" t="s">
        <v>1049</v>
      </c>
    </row>
    <row r="904" spans="1:18" x14ac:dyDescent="0.3">
      <c r="A904" t="s">
        <v>309</v>
      </c>
      <c r="B904" t="s">
        <v>15</v>
      </c>
      <c r="C904" t="s">
        <v>16</v>
      </c>
      <c r="D904" s="7">
        <v>45934</v>
      </c>
      <c r="E904" s="7">
        <v>45938</v>
      </c>
      <c r="F904" s="7">
        <v>45939</v>
      </c>
      <c r="G904" s="7">
        <v>45943</v>
      </c>
      <c r="H904" t="s">
        <v>17</v>
      </c>
      <c r="J904" s="7">
        <v>45955</v>
      </c>
      <c r="K904">
        <v>4</v>
      </c>
      <c r="L904">
        <v>1</v>
      </c>
      <c r="M904">
        <v>4</v>
      </c>
      <c r="N904">
        <v>5</v>
      </c>
      <c r="O904" s="7">
        <v>45934</v>
      </c>
      <c r="P904" s="7">
        <v>45938</v>
      </c>
      <c r="Q904" s="7">
        <v>45943</v>
      </c>
      <c r="R904" t="s">
        <v>1049</v>
      </c>
    </row>
    <row r="905" spans="1:18" x14ac:dyDescent="0.3">
      <c r="A905" t="s">
        <v>123</v>
      </c>
      <c r="B905" t="s">
        <v>22</v>
      </c>
      <c r="C905" t="s">
        <v>16</v>
      </c>
      <c r="D905" s="7">
        <v>45952</v>
      </c>
      <c r="E905" s="7">
        <v>45955</v>
      </c>
      <c r="F905" s="7">
        <v>45959</v>
      </c>
      <c r="G905" s="7">
        <v>45964</v>
      </c>
      <c r="H905" t="s">
        <v>17</v>
      </c>
      <c r="J905" s="7">
        <v>45990</v>
      </c>
      <c r="K905">
        <v>3</v>
      </c>
      <c r="L905">
        <v>4</v>
      </c>
      <c r="M905">
        <v>5</v>
      </c>
      <c r="N905">
        <v>9</v>
      </c>
      <c r="O905" s="7">
        <v>45952</v>
      </c>
      <c r="P905" s="7">
        <v>45955</v>
      </c>
      <c r="Q905" s="7">
        <v>45964</v>
      </c>
      <c r="R905" t="s">
        <v>1049</v>
      </c>
    </row>
    <row r="906" spans="1:18" x14ac:dyDescent="0.3">
      <c r="A906" t="s">
        <v>1014</v>
      </c>
      <c r="B906" t="s">
        <v>15</v>
      </c>
      <c r="C906" t="s">
        <v>841</v>
      </c>
      <c r="D906" s="7">
        <v>45958</v>
      </c>
      <c r="H906" t="s">
        <v>752</v>
      </c>
      <c r="I906" t="s">
        <v>756</v>
      </c>
      <c r="O906" s="7">
        <v>45958</v>
      </c>
      <c r="R906" t="s">
        <v>1050</v>
      </c>
    </row>
    <row r="907" spans="1:18" x14ac:dyDescent="0.3">
      <c r="A907" t="s">
        <v>310</v>
      </c>
      <c r="B907" t="s">
        <v>22</v>
      </c>
      <c r="C907" t="s">
        <v>16</v>
      </c>
      <c r="D907" s="7">
        <v>45931</v>
      </c>
      <c r="E907" s="7">
        <v>45935</v>
      </c>
      <c r="F907" s="7">
        <v>45940</v>
      </c>
      <c r="G907" s="7">
        <v>45943</v>
      </c>
      <c r="H907" t="s">
        <v>17</v>
      </c>
      <c r="J907" s="7">
        <v>45955</v>
      </c>
      <c r="K907">
        <v>4</v>
      </c>
      <c r="L907">
        <v>5</v>
      </c>
      <c r="M907">
        <v>3</v>
      </c>
      <c r="N907">
        <v>7</v>
      </c>
      <c r="O907" s="7">
        <v>45931</v>
      </c>
      <c r="P907" s="7">
        <v>45935</v>
      </c>
      <c r="Q907" s="7">
        <v>45943</v>
      </c>
      <c r="R907" t="s">
        <v>1049</v>
      </c>
    </row>
    <row r="908" spans="1:18" x14ac:dyDescent="0.3">
      <c r="A908" t="s">
        <v>393</v>
      </c>
      <c r="B908" t="s">
        <v>15</v>
      </c>
      <c r="C908" t="s">
        <v>16</v>
      </c>
      <c r="D908" s="7">
        <v>45935</v>
      </c>
      <c r="E908" s="7">
        <v>45936</v>
      </c>
      <c r="F908" s="7">
        <v>45940</v>
      </c>
      <c r="G908" s="7">
        <v>45942</v>
      </c>
      <c r="H908" t="s">
        <v>17</v>
      </c>
      <c r="J908" s="7">
        <v>45955</v>
      </c>
      <c r="K908">
        <v>1</v>
      </c>
      <c r="L908">
        <v>4</v>
      </c>
      <c r="M908">
        <v>2</v>
      </c>
      <c r="N908">
        <v>4</v>
      </c>
      <c r="O908" s="7">
        <v>45935</v>
      </c>
      <c r="P908" s="7">
        <v>45936</v>
      </c>
      <c r="Q908" s="7">
        <v>45942</v>
      </c>
      <c r="R908" t="s">
        <v>1049</v>
      </c>
    </row>
    <row r="909" spans="1:18" x14ac:dyDescent="0.3">
      <c r="A909" t="s">
        <v>660</v>
      </c>
      <c r="B909" t="s">
        <v>29</v>
      </c>
      <c r="C909" t="s">
        <v>474</v>
      </c>
      <c r="D909" s="7">
        <v>45931</v>
      </c>
      <c r="E909" s="7">
        <v>45932</v>
      </c>
      <c r="F909" s="7">
        <v>45937</v>
      </c>
      <c r="G909" s="7">
        <v>45943</v>
      </c>
      <c r="H909" t="s">
        <v>17</v>
      </c>
      <c r="J909" s="7">
        <v>45961</v>
      </c>
      <c r="K909">
        <v>1</v>
      </c>
      <c r="L909">
        <v>5</v>
      </c>
      <c r="M909">
        <v>6</v>
      </c>
      <c r="N909">
        <v>2</v>
      </c>
      <c r="O909" s="7">
        <v>45931</v>
      </c>
      <c r="P909" s="7">
        <v>45932</v>
      </c>
      <c r="Q909" s="7">
        <v>45943</v>
      </c>
      <c r="R909" t="s">
        <v>1049</v>
      </c>
    </row>
    <row r="910" spans="1:18" x14ac:dyDescent="0.3">
      <c r="A910" t="s">
        <v>311</v>
      </c>
      <c r="B910" t="s">
        <v>27</v>
      </c>
      <c r="C910" t="s">
        <v>16</v>
      </c>
      <c r="D910" s="7">
        <v>45942</v>
      </c>
      <c r="E910" s="7">
        <v>45946</v>
      </c>
      <c r="F910" s="7">
        <v>45950</v>
      </c>
      <c r="G910" s="7">
        <v>45956</v>
      </c>
      <c r="H910" t="s">
        <v>17</v>
      </c>
      <c r="J910" s="7">
        <v>45986</v>
      </c>
      <c r="K910">
        <v>4</v>
      </c>
      <c r="L910">
        <v>4</v>
      </c>
      <c r="M910">
        <v>6</v>
      </c>
      <c r="N910">
        <v>8</v>
      </c>
      <c r="O910" s="7">
        <v>45942</v>
      </c>
      <c r="P910" s="7">
        <v>45946</v>
      </c>
      <c r="Q910" s="7">
        <v>45956</v>
      </c>
      <c r="R910" t="s">
        <v>1049</v>
      </c>
    </row>
    <row r="911" spans="1:18" x14ac:dyDescent="0.3">
      <c r="A911" t="s">
        <v>211</v>
      </c>
      <c r="B911" t="s">
        <v>29</v>
      </c>
      <c r="C911" t="s">
        <v>16</v>
      </c>
      <c r="D911" s="7">
        <v>45956</v>
      </c>
      <c r="E911" s="7">
        <v>45961</v>
      </c>
      <c r="F911" s="7">
        <v>45966</v>
      </c>
      <c r="G911" s="7">
        <v>45972</v>
      </c>
      <c r="H911" t="s">
        <v>17</v>
      </c>
      <c r="J911" s="7">
        <v>45989</v>
      </c>
      <c r="K911">
        <v>5</v>
      </c>
      <c r="L911">
        <v>5</v>
      </c>
      <c r="M911">
        <v>6</v>
      </c>
      <c r="N911">
        <v>2</v>
      </c>
      <c r="O911" s="7">
        <v>45956</v>
      </c>
      <c r="P911" s="7">
        <v>45961</v>
      </c>
      <c r="Q911" s="7">
        <v>45972</v>
      </c>
      <c r="R911" t="s">
        <v>1049</v>
      </c>
    </row>
    <row r="912" spans="1:18" x14ac:dyDescent="0.3">
      <c r="A912" t="s">
        <v>312</v>
      </c>
      <c r="B912" t="s">
        <v>27</v>
      </c>
      <c r="C912" t="s">
        <v>16</v>
      </c>
      <c r="D912" s="7">
        <v>45956</v>
      </c>
      <c r="E912" s="7">
        <v>45960</v>
      </c>
      <c r="F912" s="7">
        <v>45965</v>
      </c>
      <c r="G912" s="7">
        <v>45968</v>
      </c>
      <c r="H912" t="s">
        <v>17</v>
      </c>
      <c r="J912" s="7">
        <v>45992</v>
      </c>
      <c r="K912">
        <v>4</v>
      </c>
      <c r="L912">
        <v>5</v>
      </c>
      <c r="M912">
        <v>3</v>
      </c>
      <c r="N912">
        <v>4</v>
      </c>
      <c r="O912" s="7">
        <v>45956</v>
      </c>
      <c r="P912" s="7">
        <v>45960</v>
      </c>
      <c r="Q912" s="7">
        <v>45968</v>
      </c>
      <c r="R912" t="s">
        <v>1049</v>
      </c>
    </row>
    <row r="913" spans="1:18" x14ac:dyDescent="0.3">
      <c r="A913" t="s">
        <v>661</v>
      </c>
      <c r="B913" t="s">
        <v>22</v>
      </c>
      <c r="C913" t="s">
        <v>474</v>
      </c>
      <c r="D913" s="7">
        <v>45938</v>
      </c>
      <c r="E913" s="7">
        <v>45940</v>
      </c>
      <c r="F913" s="7">
        <v>45944</v>
      </c>
      <c r="G913" s="7">
        <v>45951</v>
      </c>
      <c r="H913" t="s">
        <v>17</v>
      </c>
      <c r="J913" s="7">
        <v>45970</v>
      </c>
      <c r="K913">
        <v>2</v>
      </c>
      <c r="L913">
        <v>4</v>
      </c>
      <c r="M913">
        <v>7</v>
      </c>
      <c r="N913">
        <v>1</v>
      </c>
      <c r="O913" s="7">
        <v>45938</v>
      </c>
      <c r="P913" s="7">
        <v>45940</v>
      </c>
      <c r="Q913" s="7">
        <v>45951</v>
      </c>
      <c r="R913" t="s">
        <v>1049</v>
      </c>
    </row>
    <row r="914" spans="1:18" x14ac:dyDescent="0.3">
      <c r="A914" t="s">
        <v>662</v>
      </c>
      <c r="B914" t="s">
        <v>29</v>
      </c>
      <c r="C914" t="s">
        <v>474</v>
      </c>
      <c r="D914" s="7">
        <v>45949</v>
      </c>
      <c r="E914" s="7">
        <v>45951</v>
      </c>
      <c r="F914" s="7">
        <v>45956</v>
      </c>
      <c r="G914" s="7">
        <v>45960</v>
      </c>
      <c r="H914" t="s">
        <v>17</v>
      </c>
      <c r="J914" s="7">
        <v>45978</v>
      </c>
      <c r="K914">
        <v>2</v>
      </c>
      <c r="L914">
        <v>5</v>
      </c>
      <c r="M914">
        <v>4</v>
      </c>
      <c r="N914">
        <v>8</v>
      </c>
      <c r="O914" s="7">
        <v>45949</v>
      </c>
      <c r="P914" s="7">
        <v>45951</v>
      </c>
      <c r="Q914" s="7">
        <v>45960</v>
      </c>
      <c r="R914" t="s">
        <v>1049</v>
      </c>
    </row>
    <row r="915" spans="1:18" x14ac:dyDescent="0.3">
      <c r="A915" t="s">
        <v>212</v>
      </c>
      <c r="B915" t="s">
        <v>15</v>
      </c>
      <c r="C915" t="s">
        <v>16</v>
      </c>
      <c r="D915" s="7">
        <v>45941</v>
      </c>
      <c r="E915" s="7">
        <v>45946</v>
      </c>
      <c r="F915" s="7">
        <v>45947</v>
      </c>
      <c r="G915" s="7">
        <v>45952</v>
      </c>
      <c r="H915" t="s">
        <v>17</v>
      </c>
      <c r="J915" s="7">
        <v>45976</v>
      </c>
      <c r="K915">
        <v>5</v>
      </c>
      <c r="L915">
        <v>1</v>
      </c>
      <c r="M915">
        <v>5</v>
      </c>
      <c r="N915">
        <v>9</v>
      </c>
      <c r="O915" s="7">
        <v>45941</v>
      </c>
      <c r="P915" s="7">
        <v>45946</v>
      </c>
      <c r="Q915" s="7">
        <v>45952</v>
      </c>
      <c r="R915" t="s">
        <v>1049</v>
      </c>
    </row>
    <row r="916" spans="1:18" x14ac:dyDescent="0.3">
      <c r="A916" t="s">
        <v>663</v>
      </c>
      <c r="B916" t="s">
        <v>27</v>
      </c>
      <c r="C916" t="s">
        <v>474</v>
      </c>
      <c r="D916" s="7">
        <v>45931</v>
      </c>
      <c r="E916" s="7">
        <v>45934</v>
      </c>
      <c r="F916" s="7">
        <v>45937</v>
      </c>
      <c r="G916" s="7">
        <v>45942</v>
      </c>
      <c r="H916" t="s">
        <v>17</v>
      </c>
      <c r="J916" s="7">
        <v>45953</v>
      </c>
      <c r="K916">
        <v>3</v>
      </c>
      <c r="L916">
        <v>3</v>
      </c>
      <c r="M916">
        <v>5</v>
      </c>
      <c r="N916">
        <v>4</v>
      </c>
      <c r="O916" s="7">
        <v>45931</v>
      </c>
      <c r="P916" s="7">
        <v>45934</v>
      </c>
      <c r="Q916" s="7">
        <v>45942</v>
      </c>
      <c r="R916" t="s">
        <v>1049</v>
      </c>
    </row>
    <row r="917" spans="1:18" x14ac:dyDescent="0.3">
      <c r="A917" t="s">
        <v>664</v>
      </c>
      <c r="B917" t="s">
        <v>27</v>
      </c>
      <c r="C917" t="s">
        <v>474</v>
      </c>
      <c r="D917" s="7">
        <v>45936</v>
      </c>
      <c r="E917" s="7">
        <v>45937</v>
      </c>
      <c r="F917" s="7">
        <v>45942</v>
      </c>
      <c r="G917" s="7">
        <v>45948</v>
      </c>
      <c r="H917" t="s">
        <v>17</v>
      </c>
      <c r="J917" s="7">
        <v>45961</v>
      </c>
      <c r="K917">
        <v>1</v>
      </c>
      <c r="L917">
        <v>5</v>
      </c>
      <c r="M917">
        <v>6</v>
      </c>
      <c r="N917">
        <v>1</v>
      </c>
      <c r="O917" s="7">
        <v>45936</v>
      </c>
      <c r="P917" s="7">
        <v>45937</v>
      </c>
      <c r="Q917" s="7">
        <v>45948</v>
      </c>
      <c r="R917" t="s">
        <v>1049</v>
      </c>
    </row>
    <row r="918" spans="1:18" x14ac:dyDescent="0.3">
      <c r="A918" t="s">
        <v>665</v>
      </c>
      <c r="B918" t="s">
        <v>29</v>
      </c>
      <c r="C918" t="s">
        <v>474</v>
      </c>
      <c r="D918" s="7">
        <v>45939</v>
      </c>
      <c r="E918" s="7">
        <v>45940</v>
      </c>
      <c r="F918" s="7">
        <v>45945</v>
      </c>
      <c r="G918" s="7">
        <v>45950</v>
      </c>
      <c r="H918" t="s">
        <v>17</v>
      </c>
      <c r="J918" s="7">
        <v>45965</v>
      </c>
      <c r="K918">
        <v>1</v>
      </c>
      <c r="L918">
        <v>5</v>
      </c>
      <c r="M918">
        <v>5</v>
      </c>
      <c r="N918">
        <v>6</v>
      </c>
      <c r="O918" s="7">
        <v>45939</v>
      </c>
      <c r="P918" s="7">
        <v>45940</v>
      </c>
      <c r="Q918" s="7">
        <v>45950</v>
      </c>
      <c r="R918" t="s">
        <v>1049</v>
      </c>
    </row>
    <row r="919" spans="1:18" x14ac:dyDescent="0.3">
      <c r="A919" t="s">
        <v>666</v>
      </c>
      <c r="B919" t="s">
        <v>22</v>
      </c>
      <c r="C919" t="s">
        <v>474</v>
      </c>
      <c r="D919" s="7">
        <v>45932</v>
      </c>
      <c r="E919" s="7">
        <v>45935</v>
      </c>
      <c r="F919" s="7">
        <v>45936</v>
      </c>
      <c r="G919" s="7">
        <v>45938</v>
      </c>
      <c r="H919" t="s">
        <v>17</v>
      </c>
      <c r="J919" s="7">
        <v>45949</v>
      </c>
      <c r="K919">
        <v>3</v>
      </c>
      <c r="L919">
        <v>1</v>
      </c>
      <c r="M919">
        <v>2</v>
      </c>
      <c r="N919">
        <v>8</v>
      </c>
      <c r="O919" s="7">
        <v>45932</v>
      </c>
      <c r="P919" s="7">
        <v>45935</v>
      </c>
      <c r="Q919" s="7">
        <v>45938</v>
      </c>
      <c r="R919" t="s">
        <v>1049</v>
      </c>
    </row>
    <row r="920" spans="1:18" x14ac:dyDescent="0.3">
      <c r="A920" t="s">
        <v>667</v>
      </c>
      <c r="B920" t="s">
        <v>29</v>
      </c>
      <c r="C920" t="s">
        <v>474</v>
      </c>
      <c r="D920" s="7">
        <v>45935</v>
      </c>
      <c r="E920" s="7">
        <v>45939</v>
      </c>
      <c r="F920" s="7">
        <v>45940</v>
      </c>
      <c r="G920" s="7">
        <v>45942</v>
      </c>
      <c r="H920" t="s">
        <v>17</v>
      </c>
      <c r="J920" s="7">
        <v>45961</v>
      </c>
      <c r="K920">
        <v>4</v>
      </c>
      <c r="L920">
        <v>1</v>
      </c>
      <c r="M920">
        <v>2</v>
      </c>
      <c r="N920">
        <v>1</v>
      </c>
      <c r="O920" s="7">
        <v>45935</v>
      </c>
      <c r="P920" s="7">
        <v>45939</v>
      </c>
      <c r="Q920" s="7">
        <v>45942</v>
      </c>
      <c r="R920" t="s">
        <v>1049</v>
      </c>
    </row>
    <row r="921" spans="1:18" x14ac:dyDescent="0.3">
      <c r="A921" t="s">
        <v>213</v>
      </c>
      <c r="B921" t="s">
        <v>22</v>
      </c>
      <c r="C921" t="s">
        <v>16</v>
      </c>
      <c r="D921" s="7">
        <v>45954</v>
      </c>
      <c r="E921" s="7">
        <v>45959</v>
      </c>
      <c r="F921" s="7">
        <v>45961</v>
      </c>
      <c r="G921" s="7">
        <v>45965</v>
      </c>
      <c r="H921" t="s">
        <v>17</v>
      </c>
      <c r="J921" s="7">
        <v>45986</v>
      </c>
      <c r="K921">
        <v>5</v>
      </c>
      <c r="L921">
        <v>2</v>
      </c>
      <c r="M921">
        <v>4</v>
      </c>
      <c r="N921">
        <v>6</v>
      </c>
      <c r="O921" s="7">
        <v>45954</v>
      </c>
      <c r="P921" s="7">
        <v>45959</v>
      </c>
      <c r="Q921" s="7">
        <v>45965</v>
      </c>
      <c r="R921" t="s">
        <v>1049</v>
      </c>
    </row>
    <row r="922" spans="1:18" x14ac:dyDescent="0.3">
      <c r="A922" t="s">
        <v>313</v>
      </c>
      <c r="B922" t="s">
        <v>22</v>
      </c>
      <c r="C922" t="s">
        <v>16</v>
      </c>
      <c r="D922" s="7">
        <v>45944</v>
      </c>
      <c r="E922" s="7">
        <v>45948</v>
      </c>
      <c r="F922" s="7">
        <v>45951</v>
      </c>
      <c r="G922" s="7">
        <v>45956</v>
      </c>
      <c r="H922" t="s">
        <v>17</v>
      </c>
      <c r="J922" s="7">
        <v>45976</v>
      </c>
      <c r="K922">
        <v>4</v>
      </c>
      <c r="L922">
        <v>3</v>
      </c>
      <c r="M922">
        <v>5</v>
      </c>
      <c r="N922">
        <v>0</v>
      </c>
      <c r="O922" s="7">
        <v>45944</v>
      </c>
      <c r="P922" s="7">
        <v>45948</v>
      </c>
      <c r="Q922" s="7">
        <v>45956</v>
      </c>
      <c r="R922" t="s">
        <v>1049</v>
      </c>
    </row>
    <row r="923" spans="1:18" x14ac:dyDescent="0.3">
      <c r="A923" t="s">
        <v>1015</v>
      </c>
      <c r="B923" t="s">
        <v>27</v>
      </c>
      <c r="C923" t="s">
        <v>841</v>
      </c>
      <c r="D923" s="7">
        <v>45947</v>
      </c>
      <c r="H923" t="s">
        <v>752</v>
      </c>
      <c r="I923" t="s">
        <v>758</v>
      </c>
      <c r="O923" s="7">
        <v>45947</v>
      </c>
      <c r="R923" t="s">
        <v>1050</v>
      </c>
    </row>
    <row r="924" spans="1:18" x14ac:dyDescent="0.3">
      <c r="A924" t="s">
        <v>124</v>
      </c>
      <c r="B924" t="s">
        <v>29</v>
      </c>
      <c r="C924" t="s">
        <v>16</v>
      </c>
      <c r="D924" s="7">
        <v>45934</v>
      </c>
      <c r="E924" s="7">
        <v>45937</v>
      </c>
      <c r="F924" s="7">
        <v>45939</v>
      </c>
      <c r="G924" s="7">
        <v>45942</v>
      </c>
      <c r="H924" t="s">
        <v>17</v>
      </c>
      <c r="J924" s="7">
        <v>45965</v>
      </c>
      <c r="K924">
        <v>3</v>
      </c>
      <c r="L924">
        <v>2</v>
      </c>
      <c r="M924">
        <v>3</v>
      </c>
      <c r="N924">
        <v>6</v>
      </c>
      <c r="O924" s="7">
        <v>45934</v>
      </c>
      <c r="P924" s="7">
        <v>45937</v>
      </c>
      <c r="Q924" s="7">
        <v>45942</v>
      </c>
      <c r="R924" t="s">
        <v>1049</v>
      </c>
    </row>
    <row r="925" spans="1:18" x14ac:dyDescent="0.3">
      <c r="A925" t="s">
        <v>214</v>
      </c>
      <c r="B925" t="s">
        <v>29</v>
      </c>
      <c r="C925" t="s">
        <v>16</v>
      </c>
      <c r="D925" s="7">
        <v>45954</v>
      </c>
      <c r="E925" s="7">
        <v>45959</v>
      </c>
      <c r="F925" s="7">
        <v>45964</v>
      </c>
      <c r="G925" s="7">
        <v>45969</v>
      </c>
      <c r="H925" t="s">
        <v>17</v>
      </c>
      <c r="J925" s="7">
        <v>45982</v>
      </c>
      <c r="K925">
        <v>5</v>
      </c>
      <c r="L925">
        <v>5</v>
      </c>
      <c r="M925">
        <v>5</v>
      </c>
      <c r="N925">
        <v>6</v>
      </c>
      <c r="O925" s="7">
        <v>45954</v>
      </c>
      <c r="P925" s="7">
        <v>45959</v>
      </c>
      <c r="Q925" s="7">
        <v>45969</v>
      </c>
      <c r="R925" t="s">
        <v>1049</v>
      </c>
    </row>
    <row r="926" spans="1:18" x14ac:dyDescent="0.3">
      <c r="A926" t="s">
        <v>668</v>
      </c>
      <c r="B926" t="s">
        <v>22</v>
      </c>
      <c r="C926" t="s">
        <v>474</v>
      </c>
      <c r="D926" s="7">
        <v>45933</v>
      </c>
      <c r="E926" s="7">
        <v>45934</v>
      </c>
      <c r="F926" s="7">
        <v>45935</v>
      </c>
      <c r="G926" s="7">
        <v>45938</v>
      </c>
      <c r="H926" t="s">
        <v>17</v>
      </c>
      <c r="J926" s="7">
        <v>45951</v>
      </c>
      <c r="K926">
        <v>1</v>
      </c>
      <c r="L926">
        <v>1</v>
      </c>
      <c r="M926">
        <v>3</v>
      </c>
      <c r="N926">
        <v>6</v>
      </c>
      <c r="O926" s="7">
        <v>45933</v>
      </c>
      <c r="P926" s="7">
        <v>45934</v>
      </c>
      <c r="Q926" s="7">
        <v>45938</v>
      </c>
      <c r="R926" t="s">
        <v>1049</v>
      </c>
    </row>
    <row r="927" spans="1:18" x14ac:dyDescent="0.3">
      <c r="A927" t="s">
        <v>669</v>
      </c>
      <c r="B927" t="s">
        <v>29</v>
      </c>
      <c r="C927" t="s">
        <v>474</v>
      </c>
      <c r="D927" s="7">
        <v>45946</v>
      </c>
      <c r="E927" s="7">
        <v>45947</v>
      </c>
      <c r="F927" s="7">
        <v>45952</v>
      </c>
      <c r="G927" s="7">
        <v>45959</v>
      </c>
      <c r="H927" t="s">
        <v>17</v>
      </c>
      <c r="J927" s="7">
        <v>45970</v>
      </c>
      <c r="K927">
        <v>1</v>
      </c>
      <c r="L927">
        <v>5</v>
      </c>
      <c r="M927">
        <v>7</v>
      </c>
      <c r="N927">
        <v>2</v>
      </c>
      <c r="O927" s="7">
        <v>45946</v>
      </c>
      <c r="P927" s="7">
        <v>45947</v>
      </c>
      <c r="Q927" s="7">
        <v>45959</v>
      </c>
      <c r="R927" t="s">
        <v>1049</v>
      </c>
    </row>
    <row r="928" spans="1:18" x14ac:dyDescent="0.3">
      <c r="A928" t="s">
        <v>314</v>
      </c>
      <c r="B928" t="s">
        <v>15</v>
      </c>
      <c r="C928" t="s">
        <v>16</v>
      </c>
      <c r="D928" s="7">
        <v>45945</v>
      </c>
      <c r="E928" s="7">
        <v>45949</v>
      </c>
      <c r="F928" s="7">
        <v>45953</v>
      </c>
      <c r="G928" s="7">
        <v>45959</v>
      </c>
      <c r="H928" t="s">
        <v>17</v>
      </c>
      <c r="J928" s="7">
        <v>45969</v>
      </c>
      <c r="K928">
        <v>4</v>
      </c>
      <c r="L928">
        <v>4</v>
      </c>
      <c r="M928">
        <v>6</v>
      </c>
      <c r="N928">
        <v>7</v>
      </c>
      <c r="O928" s="7">
        <v>45945</v>
      </c>
      <c r="P928" s="7">
        <v>45949</v>
      </c>
      <c r="Q928" s="7">
        <v>45959</v>
      </c>
      <c r="R928" t="s">
        <v>1049</v>
      </c>
    </row>
    <row r="929" spans="1:18" x14ac:dyDescent="0.3">
      <c r="A929" t="s">
        <v>836</v>
      </c>
      <c r="B929" t="s">
        <v>15</v>
      </c>
      <c r="C929" t="s">
        <v>474</v>
      </c>
      <c r="D929" s="7">
        <v>45955</v>
      </c>
      <c r="E929" s="7">
        <v>45957</v>
      </c>
      <c r="F929" s="7">
        <v>45960</v>
      </c>
      <c r="G929" s="7">
        <v>45963</v>
      </c>
      <c r="H929" t="s">
        <v>752</v>
      </c>
      <c r="I929" t="s">
        <v>756</v>
      </c>
      <c r="K929">
        <v>2</v>
      </c>
      <c r="L929">
        <v>3</v>
      </c>
      <c r="M929">
        <v>3</v>
      </c>
      <c r="O929" s="7">
        <v>45955</v>
      </c>
      <c r="P929" s="7">
        <v>45957</v>
      </c>
      <c r="Q929" s="7">
        <v>45963</v>
      </c>
      <c r="R929" t="s">
        <v>1049</v>
      </c>
    </row>
    <row r="930" spans="1:18" x14ac:dyDescent="0.3">
      <c r="A930" t="s">
        <v>125</v>
      </c>
      <c r="B930" t="s">
        <v>29</v>
      </c>
      <c r="C930" t="s">
        <v>16</v>
      </c>
      <c r="D930" s="7">
        <v>45942</v>
      </c>
      <c r="E930" s="7">
        <v>45945</v>
      </c>
      <c r="F930" s="7">
        <v>45949</v>
      </c>
      <c r="G930" s="7">
        <v>45956</v>
      </c>
      <c r="H930" t="s">
        <v>17</v>
      </c>
      <c r="J930" s="7">
        <v>45970</v>
      </c>
      <c r="K930">
        <v>3</v>
      </c>
      <c r="L930">
        <v>4</v>
      </c>
      <c r="M930">
        <v>7</v>
      </c>
      <c r="N930">
        <v>8</v>
      </c>
      <c r="O930" s="7">
        <v>45942</v>
      </c>
      <c r="P930" s="7">
        <v>45945</v>
      </c>
      <c r="Q930" s="7">
        <v>45956</v>
      </c>
      <c r="R930" t="s">
        <v>1049</v>
      </c>
    </row>
    <row r="931" spans="1:18" x14ac:dyDescent="0.3">
      <c r="A931" t="s">
        <v>126</v>
      </c>
      <c r="B931" t="s">
        <v>29</v>
      </c>
      <c r="C931" t="s">
        <v>16</v>
      </c>
      <c r="D931" s="7">
        <v>45947</v>
      </c>
      <c r="E931" s="7">
        <v>45950</v>
      </c>
      <c r="F931" s="7">
        <v>45951</v>
      </c>
      <c r="G931" s="7">
        <v>45957</v>
      </c>
      <c r="H931" t="s">
        <v>17</v>
      </c>
      <c r="J931" s="7">
        <v>45987</v>
      </c>
      <c r="K931">
        <v>3</v>
      </c>
      <c r="L931">
        <v>1</v>
      </c>
      <c r="M931">
        <v>6</v>
      </c>
      <c r="N931">
        <v>1</v>
      </c>
      <c r="O931" s="7">
        <v>45947</v>
      </c>
      <c r="P931" s="7">
        <v>45950</v>
      </c>
      <c r="Q931" s="7">
        <v>45957</v>
      </c>
      <c r="R931" t="s">
        <v>1049</v>
      </c>
    </row>
    <row r="932" spans="1:18" x14ac:dyDescent="0.3">
      <c r="A932" t="s">
        <v>315</v>
      </c>
      <c r="B932" t="s">
        <v>22</v>
      </c>
      <c r="C932" t="s">
        <v>16</v>
      </c>
      <c r="D932" s="7">
        <v>45949</v>
      </c>
      <c r="E932" s="7">
        <v>45953</v>
      </c>
      <c r="F932" s="7">
        <v>45954</v>
      </c>
      <c r="G932" s="7">
        <v>45956</v>
      </c>
      <c r="H932" t="s">
        <v>17</v>
      </c>
      <c r="J932" s="7">
        <v>45971</v>
      </c>
      <c r="K932">
        <v>4</v>
      </c>
      <c r="L932">
        <v>1</v>
      </c>
      <c r="M932">
        <v>2</v>
      </c>
      <c r="N932">
        <v>7</v>
      </c>
      <c r="O932" s="7">
        <v>45949</v>
      </c>
      <c r="P932" s="7">
        <v>45953</v>
      </c>
      <c r="Q932" s="7">
        <v>45956</v>
      </c>
      <c r="R932" t="s">
        <v>1049</v>
      </c>
    </row>
    <row r="933" spans="1:18" x14ac:dyDescent="0.3">
      <c r="A933" t="s">
        <v>670</v>
      </c>
      <c r="B933" t="s">
        <v>15</v>
      </c>
      <c r="C933" t="s">
        <v>474</v>
      </c>
      <c r="D933" s="7">
        <v>45934</v>
      </c>
      <c r="E933" s="7">
        <v>45937</v>
      </c>
      <c r="F933" s="7">
        <v>45938</v>
      </c>
      <c r="G933" s="7">
        <v>45943</v>
      </c>
      <c r="H933" t="s">
        <v>17</v>
      </c>
      <c r="J933" s="7">
        <v>45963</v>
      </c>
      <c r="K933">
        <v>3</v>
      </c>
      <c r="L933">
        <v>1</v>
      </c>
      <c r="M933">
        <v>5</v>
      </c>
      <c r="N933">
        <v>9</v>
      </c>
      <c r="O933" s="7">
        <v>45934</v>
      </c>
      <c r="P933" s="7">
        <v>45937</v>
      </c>
      <c r="Q933" s="7">
        <v>45943</v>
      </c>
      <c r="R933" t="s">
        <v>1049</v>
      </c>
    </row>
    <row r="934" spans="1:18" x14ac:dyDescent="0.3">
      <c r="A934" t="s">
        <v>394</v>
      </c>
      <c r="B934" t="s">
        <v>15</v>
      </c>
      <c r="C934" t="s">
        <v>16</v>
      </c>
      <c r="D934" s="7">
        <v>45945</v>
      </c>
      <c r="E934" s="7">
        <v>45946</v>
      </c>
      <c r="F934" s="7">
        <v>45949</v>
      </c>
      <c r="G934" s="7">
        <v>45956</v>
      </c>
      <c r="H934" t="s">
        <v>17</v>
      </c>
      <c r="J934" s="7">
        <v>45977</v>
      </c>
      <c r="K934">
        <v>1</v>
      </c>
      <c r="L934">
        <v>3</v>
      </c>
      <c r="M934">
        <v>7</v>
      </c>
      <c r="N934">
        <v>2</v>
      </c>
      <c r="O934" s="7">
        <v>45945</v>
      </c>
      <c r="P934" s="7">
        <v>45946</v>
      </c>
      <c r="Q934" s="7">
        <v>45956</v>
      </c>
      <c r="R934" t="s">
        <v>1049</v>
      </c>
    </row>
    <row r="935" spans="1:18" x14ac:dyDescent="0.3">
      <c r="A935" t="s">
        <v>837</v>
      </c>
      <c r="B935" t="s">
        <v>27</v>
      </c>
      <c r="C935" t="s">
        <v>16</v>
      </c>
      <c r="D935" s="7">
        <v>45947</v>
      </c>
      <c r="E935" s="7">
        <v>45951</v>
      </c>
      <c r="F935" s="7">
        <v>45953</v>
      </c>
      <c r="G935" s="7">
        <v>45957</v>
      </c>
      <c r="H935" t="s">
        <v>752</v>
      </c>
      <c r="I935" t="s">
        <v>753</v>
      </c>
      <c r="K935">
        <v>4</v>
      </c>
      <c r="L935">
        <v>2</v>
      </c>
      <c r="M935">
        <v>4</v>
      </c>
      <c r="O935" s="7">
        <v>45947</v>
      </c>
      <c r="P935" s="7">
        <v>45951</v>
      </c>
      <c r="Q935" s="7">
        <v>45957</v>
      </c>
      <c r="R935" t="s">
        <v>1049</v>
      </c>
    </row>
    <row r="936" spans="1:18" x14ac:dyDescent="0.3">
      <c r="A936" t="s">
        <v>671</v>
      </c>
      <c r="B936" t="s">
        <v>22</v>
      </c>
      <c r="C936" t="s">
        <v>474</v>
      </c>
      <c r="D936" s="7">
        <v>45938</v>
      </c>
      <c r="E936" s="7">
        <v>45939</v>
      </c>
      <c r="F936" s="7">
        <v>45944</v>
      </c>
      <c r="G936" s="7">
        <v>45949</v>
      </c>
      <c r="H936" t="s">
        <v>17</v>
      </c>
      <c r="J936" s="7">
        <v>45973</v>
      </c>
      <c r="K936">
        <v>1</v>
      </c>
      <c r="L936">
        <v>5</v>
      </c>
      <c r="M936">
        <v>5</v>
      </c>
      <c r="N936">
        <v>9</v>
      </c>
      <c r="O936" s="7">
        <v>45938</v>
      </c>
      <c r="P936" s="7">
        <v>45939</v>
      </c>
      <c r="Q936" s="7">
        <v>45949</v>
      </c>
      <c r="R936" t="s">
        <v>1049</v>
      </c>
    </row>
    <row r="937" spans="1:18" x14ac:dyDescent="0.3">
      <c r="A937" t="s">
        <v>215</v>
      </c>
      <c r="B937" t="s">
        <v>27</v>
      </c>
      <c r="C937" t="s">
        <v>16</v>
      </c>
      <c r="D937" s="7">
        <v>45961</v>
      </c>
      <c r="E937" s="7">
        <v>45966</v>
      </c>
      <c r="F937" s="7">
        <v>45971</v>
      </c>
      <c r="G937" s="7">
        <v>45977</v>
      </c>
      <c r="H937" t="s">
        <v>17</v>
      </c>
      <c r="J937" s="7">
        <v>46006</v>
      </c>
      <c r="K937">
        <v>5</v>
      </c>
      <c r="L937">
        <v>5</v>
      </c>
      <c r="M937">
        <v>6</v>
      </c>
      <c r="N937">
        <v>2</v>
      </c>
      <c r="O937" s="7">
        <v>45961</v>
      </c>
      <c r="P937" s="7">
        <v>45966</v>
      </c>
      <c r="Q937" s="7">
        <v>45977</v>
      </c>
      <c r="R937" t="s">
        <v>1049</v>
      </c>
    </row>
    <row r="938" spans="1:18" x14ac:dyDescent="0.3">
      <c r="A938" t="s">
        <v>216</v>
      </c>
      <c r="B938" t="s">
        <v>15</v>
      </c>
      <c r="C938" t="s">
        <v>16</v>
      </c>
      <c r="D938" s="7">
        <v>45950</v>
      </c>
      <c r="E938" s="7">
        <v>45955</v>
      </c>
      <c r="F938" s="7">
        <v>45960</v>
      </c>
      <c r="G938" s="7">
        <v>45965</v>
      </c>
      <c r="H938" t="s">
        <v>17</v>
      </c>
      <c r="J938" s="7">
        <v>45983</v>
      </c>
      <c r="K938">
        <v>5</v>
      </c>
      <c r="L938">
        <v>5</v>
      </c>
      <c r="M938">
        <v>5</v>
      </c>
      <c r="N938">
        <v>4</v>
      </c>
      <c r="O938" s="7">
        <v>45950</v>
      </c>
      <c r="P938" s="7">
        <v>45955</v>
      </c>
      <c r="Q938" s="7">
        <v>45965</v>
      </c>
      <c r="R938" t="s">
        <v>1049</v>
      </c>
    </row>
    <row r="939" spans="1:18" x14ac:dyDescent="0.3">
      <c r="A939" t="s">
        <v>1016</v>
      </c>
      <c r="B939" t="s">
        <v>22</v>
      </c>
      <c r="C939" t="s">
        <v>841</v>
      </c>
      <c r="D939" s="7">
        <v>45932</v>
      </c>
      <c r="H939" t="s">
        <v>752</v>
      </c>
      <c r="I939" t="s">
        <v>765</v>
      </c>
      <c r="O939" s="7">
        <v>45932</v>
      </c>
      <c r="R939" t="s">
        <v>1050</v>
      </c>
    </row>
    <row r="940" spans="1:18" x14ac:dyDescent="0.3">
      <c r="A940" t="s">
        <v>672</v>
      </c>
      <c r="B940" t="s">
        <v>29</v>
      </c>
      <c r="C940" t="s">
        <v>474</v>
      </c>
      <c r="D940" s="7">
        <v>45954</v>
      </c>
      <c r="E940" s="7">
        <v>45956</v>
      </c>
      <c r="F940" s="7">
        <v>45961</v>
      </c>
      <c r="G940" s="7">
        <v>45965</v>
      </c>
      <c r="H940" t="s">
        <v>17</v>
      </c>
      <c r="J940" s="7">
        <v>45977</v>
      </c>
      <c r="K940">
        <v>2</v>
      </c>
      <c r="L940">
        <v>5</v>
      </c>
      <c r="M940">
        <v>4</v>
      </c>
      <c r="N940">
        <v>7</v>
      </c>
      <c r="O940" s="7">
        <v>45954</v>
      </c>
      <c r="P940" s="7">
        <v>45956</v>
      </c>
      <c r="Q940" s="7">
        <v>45965</v>
      </c>
      <c r="R940" t="s">
        <v>1049</v>
      </c>
    </row>
    <row r="941" spans="1:18" x14ac:dyDescent="0.3">
      <c r="A941" t="s">
        <v>1017</v>
      </c>
      <c r="B941" t="s">
        <v>22</v>
      </c>
      <c r="C941" t="s">
        <v>841</v>
      </c>
      <c r="D941" s="7">
        <v>45956</v>
      </c>
      <c r="H941" t="s">
        <v>752</v>
      </c>
      <c r="I941" t="s">
        <v>765</v>
      </c>
      <c r="O941" s="7">
        <v>45956</v>
      </c>
      <c r="R941" t="s">
        <v>1050</v>
      </c>
    </row>
    <row r="942" spans="1:18" x14ac:dyDescent="0.3">
      <c r="A942" t="s">
        <v>127</v>
      </c>
      <c r="B942" t="s">
        <v>29</v>
      </c>
      <c r="C942" t="s">
        <v>16</v>
      </c>
      <c r="D942" s="7">
        <v>45960</v>
      </c>
      <c r="E942" s="7">
        <v>45963</v>
      </c>
      <c r="F942" s="7">
        <v>45968</v>
      </c>
      <c r="G942" s="7">
        <v>45974</v>
      </c>
      <c r="H942" t="s">
        <v>17</v>
      </c>
      <c r="J942" s="7">
        <v>45995</v>
      </c>
      <c r="K942">
        <v>3</v>
      </c>
      <c r="L942">
        <v>5</v>
      </c>
      <c r="M942">
        <v>6</v>
      </c>
      <c r="N942">
        <v>8</v>
      </c>
      <c r="O942" s="7">
        <v>45960</v>
      </c>
      <c r="P942" s="7">
        <v>45963</v>
      </c>
      <c r="Q942" s="7">
        <v>45974</v>
      </c>
      <c r="R942" t="s">
        <v>1049</v>
      </c>
    </row>
    <row r="943" spans="1:18" x14ac:dyDescent="0.3">
      <c r="A943" t="s">
        <v>217</v>
      </c>
      <c r="B943" t="s">
        <v>29</v>
      </c>
      <c r="C943" t="s">
        <v>16</v>
      </c>
      <c r="D943" s="7">
        <v>45958</v>
      </c>
      <c r="E943" s="7">
        <v>45963</v>
      </c>
      <c r="F943" s="7">
        <v>45965</v>
      </c>
      <c r="G943" s="7">
        <v>45971</v>
      </c>
      <c r="H943" t="s">
        <v>17</v>
      </c>
      <c r="J943" s="7">
        <v>45991</v>
      </c>
      <c r="K943">
        <v>5</v>
      </c>
      <c r="L943">
        <v>2</v>
      </c>
      <c r="M943">
        <v>6</v>
      </c>
      <c r="N943">
        <v>5</v>
      </c>
      <c r="O943" s="7">
        <v>45958</v>
      </c>
      <c r="P943" s="7">
        <v>45963</v>
      </c>
      <c r="Q943" s="7">
        <v>45971</v>
      </c>
      <c r="R943" t="s">
        <v>1049</v>
      </c>
    </row>
    <row r="944" spans="1:18" x14ac:dyDescent="0.3">
      <c r="A944" t="s">
        <v>673</v>
      </c>
      <c r="B944" t="s">
        <v>22</v>
      </c>
      <c r="C944" t="s">
        <v>474</v>
      </c>
      <c r="D944" s="7">
        <v>45952</v>
      </c>
      <c r="E944" s="7">
        <v>45955</v>
      </c>
      <c r="F944" s="7">
        <v>45959</v>
      </c>
      <c r="G944" s="7">
        <v>45963</v>
      </c>
      <c r="H944" t="s">
        <v>17</v>
      </c>
      <c r="J944" s="7">
        <v>45978</v>
      </c>
      <c r="K944">
        <v>3</v>
      </c>
      <c r="L944">
        <v>4</v>
      </c>
      <c r="M944">
        <v>4</v>
      </c>
      <c r="N944">
        <v>4</v>
      </c>
      <c r="O944" s="7">
        <v>45952</v>
      </c>
      <c r="P944" s="7">
        <v>45955</v>
      </c>
      <c r="Q944" s="7">
        <v>45963</v>
      </c>
      <c r="R944" t="s">
        <v>1049</v>
      </c>
    </row>
    <row r="945" spans="1:18" x14ac:dyDescent="0.3">
      <c r="A945" t="s">
        <v>395</v>
      </c>
      <c r="B945" t="s">
        <v>29</v>
      </c>
      <c r="C945" t="s">
        <v>16</v>
      </c>
      <c r="D945" s="7">
        <v>45947</v>
      </c>
      <c r="E945" s="7">
        <v>45948</v>
      </c>
      <c r="F945" s="7">
        <v>45951</v>
      </c>
      <c r="G945" s="7">
        <v>45956</v>
      </c>
      <c r="H945" t="s">
        <v>17</v>
      </c>
      <c r="J945" s="7">
        <v>45969</v>
      </c>
      <c r="K945">
        <v>1</v>
      </c>
      <c r="L945">
        <v>3</v>
      </c>
      <c r="M945">
        <v>5</v>
      </c>
      <c r="N945">
        <v>2</v>
      </c>
      <c r="O945" s="7">
        <v>45947</v>
      </c>
      <c r="P945" s="7">
        <v>45948</v>
      </c>
      <c r="Q945" s="7">
        <v>45956</v>
      </c>
      <c r="R945" t="s">
        <v>1049</v>
      </c>
    </row>
    <row r="946" spans="1:18" x14ac:dyDescent="0.3">
      <c r="A946" t="s">
        <v>674</v>
      </c>
      <c r="B946" t="s">
        <v>27</v>
      </c>
      <c r="C946" t="s">
        <v>474</v>
      </c>
      <c r="D946" s="7">
        <v>45940</v>
      </c>
      <c r="E946" s="7">
        <v>45944</v>
      </c>
      <c r="F946" s="7">
        <v>45948</v>
      </c>
      <c r="G946" s="7">
        <v>45952</v>
      </c>
      <c r="H946" t="s">
        <v>17</v>
      </c>
      <c r="J946" s="7">
        <v>45974</v>
      </c>
      <c r="K946">
        <v>4</v>
      </c>
      <c r="L946">
        <v>4</v>
      </c>
      <c r="M946">
        <v>4</v>
      </c>
      <c r="N946">
        <v>3</v>
      </c>
      <c r="O946" s="7">
        <v>45940</v>
      </c>
      <c r="P946" s="7">
        <v>45944</v>
      </c>
      <c r="Q946" s="7">
        <v>45952</v>
      </c>
      <c r="R946" t="s">
        <v>1049</v>
      </c>
    </row>
    <row r="947" spans="1:18" x14ac:dyDescent="0.3">
      <c r="A947" t="s">
        <v>218</v>
      </c>
      <c r="B947" t="s">
        <v>15</v>
      </c>
      <c r="C947" t="s">
        <v>16</v>
      </c>
      <c r="D947" s="7">
        <v>45945</v>
      </c>
      <c r="E947" s="7">
        <v>45950</v>
      </c>
      <c r="F947" s="7">
        <v>45954</v>
      </c>
      <c r="G947" s="7">
        <v>45957</v>
      </c>
      <c r="H947" t="s">
        <v>17</v>
      </c>
      <c r="J947" s="7">
        <v>45979</v>
      </c>
      <c r="K947">
        <v>5</v>
      </c>
      <c r="L947">
        <v>4</v>
      </c>
      <c r="M947">
        <v>3</v>
      </c>
      <c r="N947">
        <v>6</v>
      </c>
      <c r="O947" s="7">
        <v>45945</v>
      </c>
      <c r="P947" s="7">
        <v>45950</v>
      </c>
      <c r="Q947" s="7">
        <v>45957</v>
      </c>
      <c r="R947" t="s">
        <v>1049</v>
      </c>
    </row>
    <row r="948" spans="1:18" x14ac:dyDescent="0.3">
      <c r="A948" t="s">
        <v>675</v>
      </c>
      <c r="B948" t="s">
        <v>29</v>
      </c>
      <c r="C948" t="s">
        <v>474</v>
      </c>
      <c r="D948" s="7">
        <v>45951</v>
      </c>
      <c r="E948" s="7">
        <v>45955</v>
      </c>
      <c r="F948" s="7">
        <v>45960</v>
      </c>
      <c r="G948" s="7">
        <v>45962</v>
      </c>
      <c r="H948" t="s">
        <v>17</v>
      </c>
      <c r="J948" s="7">
        <v>45986</v>
      </c>
      <c r="K948">
        <v>4</v>
      </c>
      <c r="L948">
        <v>5</v>
      </c>
      <c r="M948">
        <v>2</v>
      </c>
      <c r="N948">
        <v>6</v>
      </c>
      <c r="O948" s="7">
        <v>45951</v>
      </c>
      <c r="P948" s="7">
        <v>45955</v>
      </c>
      <c r="Q948" s="7">
        <v>45962</v>
      </c>
      <c r="R948" t="s">
        <v>1049</v>
      </c>
    </row>
    <row r="949" spans="1:18" x14ac:dyDescent="0.3">
      <c r="A949" t="s">
        <v>1018</v>
      </c>
      <c r="B949" t="s">
        <v>27</v>
      </c>
      <c r="C949" t="s">
        <v>841</v>
      </c>
      <c r="D949" s="7">
        <v>45961</v>
      </c>
      <c r="H949" t="s">
        <v>752</v>
      </c>
      <c r="I949" t="s">
        <v>758</v>
      </c>
      <c r="O949" s="7">
        <v>45961</v>
      </c>
      <c r="R949" t="s">
        <v>1050</v>
      </c>
    </row>
    <row r="950" spans="1:18" x14ac:dyDescent="0.3">
      <c r="A950" t="s">
        <v>219</v>
      </c>
      <c r="B950" t="s">
        <v>29</v>
      </c>
      <c r="C950" t="s">
        <v>16</v>
      </c>
      <c r="D950" s="7">
        <v>45931</v>
      </c>
      <c r="E950" s="7">
        <v>45936</v>
      </c>
      <c r="F950" s="7">
        <v>45941</v>
      </c>
      <c r="G950" s="7">
        <v>45945</v>
      </c>
      <c r="H950" t="s">
        <v>17</v>
      </c>
      <c r="J950" s="7">
        <v>45963</v>
      </c>
      <c r="K950">
        <v>5</v>
      </c>
      <c r="L950">
        <v>5</v>
      </c>
      <c r="M950">
        <v>4</v>
      </c>
      <c r="N950">
        <v>8</v>
      </c>
      <c r="O950" s="7">
        <v>45931</v>
      </c>
      <c r="P950" s="7">
        <v>45936</v>
      </c>
      <c r="Q950" s="7">
        <v>45945</v>
      </c>
      <c r="R950" t="s">
        <v>1049</v>
      </c>
    </row>
    <row r="951" spans="1:18" x14ac:dyDescent="0.3">
      <c r="A951" t="s">
        <v>128</v>
      </c>
      <c r="B951" t="s">
        <v>15</v>
      </c>
      <c r="C951" t="s">
        <v>16</v>
      </c>
      <c r="D951" s="7">
        <v>45932</v>
      </c>
      <c r="E951" s="7">
        <v>45935</v>
      </c>
      <c r="F951" s="7">
        <v>45937</v>
      </c>
      <c r="G951" s="7">
        <v>45943</v>
      </c>
      <c r="H951" t="s">
        <v>17</v>
      </c>
      <c r="J951" s="7">
        <v>45965</v>
      </c>
      <c r="K951">
        <v>3</v>
      </c>
      <c r="L951">
        <v>2</v>
      </c>
      <c r="M951">
        <v>6</v>
      </c>
      <c r="N951">
        <v>2</v>
      </c>
      <c r="O951" s="7">
        <v>45932</v>
      </c>
      <c r="P951" s="7">
        <v>45935</v>
      </c>
      <c r="Q951" s="7">
        <v>45943</v>
      </c>
      <c r="R951" t="s">
        <v>1049</v>
      </c>
    </row>
    <row r="952" spans="1:18" x14ac:dyDescent="0.3">
      <c r="A952" t="s">
        <v>743</v>
      </c>
      <c r="B952" t="s">
        <v>27</v>
      </c>
      <c r="C952" t="s">
        <v>474</v>
      </c>
      <c r="D952" s="7">
        <v>45946</v>
      </c>
      <c r="E952" s="7">
        <v>45951</v>
      </c>
      <c r="F952" s="7">
        <v>45954</v>
      </c>
      <c r="G952" s="7">
        <v>45957</v>
      </c>
      <c r="H952" t="s">
        <v>17</v>
      </c>
      <c r="J952" s="7">
        <v>45982</v>
      </c>
      <c r="K952">
        <v>5</v>
      </c>
      <c r="L952">
        <v>3</v>
      </c>
      <c r="M952">
        <v>3</v>
      </c>
      <c r="N952">
        <v>3</v>
      </c>
      <c r="O952" s="7">
        <v>45946</v>
      </c>
      <c r="P952" s="7">
        <v>45951</v>
      </c>
      <c r="Q952" s="7">
        <v>45957</v>
      </c>
      <c r="R952" t="s">
        <v>1049</v>
      </c>
    </row>
    <row r="953" spans="1:18" x14ac:dyDescent="0.3">
      <c r="A953" t="s">
        <v>744</v>
      </c>
      <c r="B953" t="s">
        <v>15</v>
      </c>
      <c r="C953" t="s">
        <v>474</v>
      </c>
      <c r="D953" s="7">
        <v>45958</v>
      </c>
      <c r="E953" s="7">
        <v>45963</v>
      </c>
      <c r="F953" s="7">
        <v>45964</v>
      </c>
      <c r="G953" s="7">
        <v>45966</v>
      </c>
      <c r="H953" t="s">
        <v>17</v>
      </c>
      <c r="J953" s="7">
        <v>45989</v>
      </c>
      <c r="K953">
        <v>5</v>
      </c>
      <c r="L953">
        <v>1</v>
      </c>
      <c r="M953">
        <v>2</v>
      </c>
      <c r="N953">
        <v>1</v>
      </c>
      <c r="O953" s="7">
        <v>45958</v>
      </c>
      <c r="P953" s="7">
        <v>45963</v>
      </c>
      <c r="Q953" s="7">
        <v>45966</v>
      </c>
      <c r="R953" t="s">
        <v>1049</v>
      </c>
    </row>
    <row r="954" spans="1:18" x14ac:dyDescent="0.3">
      <c r="A954" t="s">
        <v>396</v>
      </c>
      <c r="B954" t="s">
        <v>15</v>
      </c>
      <c r="C954" t="s">
        <v>16</v>
      </c>
      <c r="D954" s="7">
        <v>45943</v>
      </c>
      <c r="E954" s="7">
        <v>45944</v>
      </c>
      <c r="F954" s="7">
        <v>45948</v>
      </c>
      <c r="G954" s="7">
        <v>45952</v>
      </c>
      <c r="H954" t="s">
        <v>17</v>
      </c>
      <c r="J954" s="7">
        <v>45982</v>
      </c>
      <c r="K954">
        <v>1</v>
      </c>
      <c r="L954">
        <v>4</v>
      </c>
      <c r="M954">
        <v>4</v>
      </c>
      <c r="N954">
        <v>1</v>
      </c>
      <c r="O954" s="7">
        <v>45943</v>
      </c>
      <c r="P954" s="7">
        <v>45944</v>
      </c>
      <c r="Q954" s="7">
        <v>45952</v>
      </c>
      <c r="R954" t="s">
        <v>1049</v>
      </c>
    </row>
    <row r="955" spans="1:18" x14ac:dyDescent="0.3">
      <c r="A955" t="s">
        <v>469</v>
      </c>
      <c r="B955" t="s">
        <v>27</v>
      </c>
      <c r="C955" t="s">
        <v>16</v>
      </c>
      <c r="D955" s="7">
        <v>45944</v>
      </c>
      <c r="E955" s="7">
        <v>45946</v>
      </c>
      <c r="F955" s="7">
        <v>45947</v>
      </c>
      <c r="G955" s="7">
        <v>45949</v>
      </c>
      <c r="H955" t="s">
        <v>17</v>
      </c>
      <c r="J955" s="7">
        <v>45964</v>
      </c>
      <c r="K955">
        <v>2</v>
      </c>
      <c r="L955">
        <v>1</v>
      </c>
      <c r="M955">
        <v>2</v>
      </c>
      <c r="N955">
        <v>6</v>
      </c>
      <c r="O955" s="7">
        <v>45944</v>
      </c>
      <c r="P955" s="7">
        <v>45946</v>
      </c>
      <c r="Q955" s="7">
        <v>45949</v>
      </c>
      <c r="R955" t="s">
        <v>1049</v>
      </c>
    </row>
    <row r="956" spans="1:18" x14ac:dyDescent="0.3">
      <c r="A956" t="s">
        <v>676</v>
      </c>
      <c r="B956" t="s">
        <v>27</v>
      </c>
      <c r="C956" t="s">
        <v>474</v>
      </c>
      <c r="D956" s="7">
        <v>45952</v>
      </c>
      <c r="E956" s="7">
        <v>45953</v>
      </c>
      <c r="F956" s="7">
        <v>45956</v>
      </c>
      <c r="G956" s="7">
        <v>45961</v>
      </c>
      <c r="H956" t="s">
        <v>17</v>
      </c>
      <c r="J956" s="7">
        <v>45974</v>
      </c>
      <c r="K956">
        <v>1</v>
      </c>
      <c r="L956">
        <v>3</v>
      </c>
      <c r="M956">
        <v>5</v>
      </c>
      <c r="N956">
        <v>1</v>
      </c>
      <c r="O956" s="7">
        <v>45952</v>
      </c>
      <c r="P956" s="7">
        <v>45953</v>
      </c>
      <c r="Q956" s="7">
        <v>45961</v>
      </c>
      <c r="R956" t="s">
        <v>1049</v>
      </c>
    </row>
    <row r="957" spans="1:18" x14ac:dyDescent="0.3">
      <c r="A957" t="s">
        <v>316</v>
      </c>
      <c r="B957" t="s">
        <v>27</v>
      </c>
      <c r="C957" t="s">
        <v>16</v>
      </c>
      <c r="D957" s="7">
        <v>45934</v>
      </c>
      <c r="E957" s="7">
        <v>45938</v>
      </c>
      <c r="F957" s="7">
        <v>45942</v>
      </c>
      <c r="G957" s="7">
        <v>45948</v>
      </c>
      <c r="H957" t="s">
        <v>17</v>
      </c>
      <c r="J957" s="7">
        <v>45962</v>
      </c>
      <c r="K957">
        <v>4</v>
      </c>
      <c r="L957">
        <v>4</v>
      </c>
      <c r="M957">
        <v>6</v>
      </c>
      <c r="N957">
        <v>2</v>
      </c>
      <c r="O957" s="7">
        <v>45934</v>
      </c>
      <c r="P957" s="7">
        <v>45938</v>
      </c>
      <c r="Q957" s="7">
        <v>45948</v>
      </c>
      <c r="R957" t="s">
        <v>1049</v>
      </c>
    </row>
    <row r="958" spans="1:18" x14ac:dyDescent="0.3">
      <c r="A958" t="s">
        <v>1019</v>
      </c>
      <c r="B958" t="s">
        <v>22</v>
      </c>
      <c r="C958" t="s">
        <v>841</v>
      </c>
      <c r="D958" s="7">
        <v>45946</v>
      </c>
      <c r="H958" t="s">
        <v>752</v>
      </c>
      <c r="I958" t="s">
        <v>765</v>
      </c>
      <c r="O958" s="7">
        <v>45946</v>
      </c>
      <c r="R958" t="s">
        <v>1050</v>
      </c>
    </row>
    <row r="959" spans="1:18" x14ac:dyDescent="0.3">
      <c r="A959" t="s">
        <v>129</v>
      </c>
      <c r="B959" t="s">
        <v>27</v>
      </c>
      <c r="C959" t="s">
        <v>16</v>
      </c>
      <c r="D959" s="7">
        <v>45953</v>
      </c>
      <c r="E959" s="7">
        <v>45956</v>
      </c>
      <c r="F959" s="7">
        <v>45957</v>
      </c>
      <c r="G959" s="7">
        <v>45961</v>
      </c>
      <c r="H959" t="s">
        <v>17</v>
      </c>
      <c r="J959" s="7">
        <v>45972</v>
      </c>
      <c r="K959">
        <v>3</v>
      </c>
      <c r="L959">
        <v>1</v>
      </c>
      <c r="M959">
        <v>4</v>
      </c>
      <c r="N959">
        <v>10</v>
      </c>
      <c r="O959" s="7">
        <v>45953</v>
      </c>
      <c r="P959" s="7">
        <v>45956</v>
      </c>
      <c r="Q959" s="7">
        <v>45961</v>
      </c>
      <c r="R959" t="s">
        <v>1049</v>
      </c>
    </row>
    <row r="960" spans="1:18" x14ac:dyDescent="0.3">
      <c r="A960" t="s">
        <v>130</v>
      </c>
      <c r="B960" t="s">
        <v>27</v>
      </c>
      <c r="C960" t="s">
        <v>16</v>
      </c>
      <c r="D960" s="7">
        <v>45960</v>
      </c>
      <c r="E960" s="7">
        <v>45963</v>
      </c>
      <c r="F960" s="7">
        <v>45964</v>
      </c>
      <c r="G960" s="7">
        <v>45970</v>
      </c>
      <c r="H960" t="s">
        <v>17</v>
      </c>
      <c r="J960" s="7">
        <v>45985</v>
      </c>
      <c r="K960">
        <v>3</v>
      </c>
      <c r="L960">
        <v>1</v>
      </c>
      <c r="M960">
        <v>6</v>
      </c>
      <c r="N960">
        <v>1</v>
      </c>
      <c r="O960" s="7">
        <v>45960</v>
      </c>
      <c r="P960" s="7">
        <v>45963</v>
      </c>
      <c r="Q960" s="7">
        <v>45970</v>
      </c>
      <c r="R960" t="s">
        <v>1049</v>
      </c>
    </row>
    <row r="961" spans="1:18" x14ac:dyDescent="0.3">
      <c r="A961" t="s">
        <v>1020</v>
      </c>
      <c r="B961" t="s">
        <v>27</v>
      </c>
      <c r="C961" t="s">
        <v>841</v>
      </c>
      <c r="D961" s="7">
        <v>45945</v>
      </c>
      <c r="H961" t="s">
        <v>752</v>
      </c>
      <c r="I961" t="s">
        <v>753</v>
      </c>
      <c r="O961" s="7">
        <v>45945</v>
      </c>
      <c r="R961" t="s">
        <v>1050</v>
      </c>
    </row>
    <row r="962" spans="1:18" x14ac:dyDescent="0.3">
      <c r="A962" t="s">
        <v>745</v>
      </c>
      <c r="B962" t="s">
        <v>27</v>
      </c>
      <c r="C962" t="s">
        <v>474</v>
      </c>
      <c r="D962" s="7">
        <v>45933</v>
      </c>
      <c r="E962" s="7">
        <v>45938</v>
      </c>
      <c r="F962" s="7">
        <v>45940</v>
      </c>
      <c r="G962" s="7">
        <v>45943</v>
      </c>
      <c r="H962" t="s">
        <v>17</v>
      </c>
      <c r="J962" s="7">
        <v>45956</v>
      </c>
      <c r="K962">
        <v>5</v>
      </c>
      <c r="L962">
        <v>2</v>
      </c>
      <c r="M962">
        <v>3</v>
      </c>
      <c r="N962">
        <v>8</v>
      </c>
      <c r="O962" s="7">
        <v>45933</v>
      </c>
      <c r="P962" s="7">
        <v>45938</v>
      </c>
      <c r="Q962" s="7">
        <v>45943</v>
      </c>
      <c r="R962" t="s">
        <v>1049</v>
      </c>
    </row>
    <row r="963" spans="1:18" x14ac:dyDescent="0.3">
      <c r="A963" t="s">
        <v>131</v>
      </c>
      <c r="B963" t="s">
        <v>29</v>
      </c>
      <c r="C963" t="s">
        <v>16</v>
      </c>
      <c r="D963" s="7">
        <v>45959</v>
      </c>
      <c r="E963" s="7">
        <v>45962</v>
      </c>
      <c r="F963" s="7">
        <v>45965</v>
      </c>
      <c r="G963" s="7">
        <v>45968</v>
      </c>
      <c r="H963" t="s">
        <v>17</v>
      </c>
      <c r="J963" s="7">
        <v>45991</v>
      </c>
      <c r="K963">
        <v>3</v>
      </c>
      <c r="L963">
        <v>3</v>
      </c>
      <c r="M963">
        <v>3</v>
      </c>
      <c r="N963">
        <v>6</v>
      </c>
      <c r="O963" s="7">
        <v>45959</v>
      </c>
      <c r="P963" s="7">
        <v>45962</v>
      </c>
      <c r="Q963" s="7">
        <v>45968</v>
      </c>
      <c r="R963" t="s">
        <v>1049</v>
      </c>
    </row>
    <row r="964" spans="1:18" x14ac:dyDescent="0.3">
      <c r="A964" t="s">
        <v>1021</v>
      </c>
      <c r="B964" t="s">
        <v>22</v>
      </c>
      <c r="C964" t="s">
        <v>841</v>
      </c>
      <c r="D964" s="7">
        <v>45933</v>
      </c>
      <c r="H964" t="s">
        <v>752</v>
      </c>
      <c r="I964" t="s">
        <v>758</v>
      </c>
      <c r="O964" s="7">
        <v>45933</v>
      </c>
      <c r="R964" t="s">
        <v>1050</v>
      </c>
    </row>
    <row r="965" spans="1:18" x14ac:dyDescent="0.3">
      <c r="A965" t="s">
        <v>677</v>
      </c>
      <c r="B965" t="s">
        <v>15</v>
      </c>
      <c r="C965" t="s">
        <v>474</v>
      </c>
      <c r="D965" s="7">
        <v>45941</v>
      </c>
      <c r="E965" s="7">
        <v>45943</v>
      </c>
      <c r="F965" s="7">
        <v>45946</v>
      </c>
      <c r="G965" s="7">
        <v>45948</v>
      </c>
      <c r="H965" t="s">
        <v>17</v>
      </c>
      <c r="J965" s="7">
        <v>45976</v>
      </c>
      <c r="K965">
        <v>2</v>
      </c>
      <c r="L965">
        <v>3</v>
      </c>
      <c r="M965">
        <v>2</v>
      </c>
      <c r="N965">
        <v>3</v>
      </c>
      <c r="O965" s="7">
        <v>45941</v>
      </c>
      <c r="P965" s="7">
        <v>45943</v>
      </c>
      <c r="Q965" s="7">
        <v>45948</v>
      </c>
      <c r="R965" t="s">
        <v>1049</v>
      </c>
    </row>
    <row r="966" spans="1:18" x14ac:dyDescent="0.3">
      <c r="A966" t="s">
        <v>470</v>
      </c>
      <c r="B966" t="s">
        <v>27</v>
      </c>
      <c r="C966" t="s">
        <v>16</v>
      </c>
      <c r="D966" s="7">
        <v>45950</v>
      </c>
      <c r="E966" s="7">
        <v>45952</v>
      </c>
      <c r="F966" s="7">
        <v>45955</v>
      </c>
      <c r="G966" s="7">
        <v>45958</v>
      </c>
      <c r="H966" t="s">
        <v>17</v>
      </c>
      <c r="J966" s="7">
        <v>45983</v>
      </c>
      <c r="K966">
        <v>2</v>
      </c>
      <c r="L966">
        <v>3</v>
      </c>
      <c r="M966">
        <v>3</v>
      </c>
      <c r="N966">
        <v>9</v>
      </c>
      <c r="O966" s="7">
        <v>45950</v>
      </c>
      <c r="P966" s="7">
        <v>45952</v>
      </c>
      <c r="Q966" s="7">
        <v>45958</v>
      </c>
      <c r="R966" t="s">
        <v>1049</v>
      </c>
    </row>
    <row r="967" spans="1:18" x14ac:dyDescent="0.3">
      <c r="A967" t="s">
        <v>220</v>
      </c>
      <c r="B967" t="s">
        <v>29</v>
      </c>
      <c r="C967" t="s">
        <v>16</v>
      </c>
      <c r="D967" s="7">
        <v>45935</v>
      </c>
      <c r="E967" s="7">
        <v>45940</v>
      </c>
      <c r="F967" s="7">
        <v>45944</v>
      </c>
      <c r="G967" s="7">
        <v>45951</v>
      </c>
      <c r="H967" t="s">
        <v>17</v>
      </c>
      <c r="J967" s="7">
        <v>45979</v>
      </c>
      <c r="K967">
        <v>5</v>
      </c>
      <c r="L967">
        <v>4</v>
      </c>
      <c r="M967">
        <v>7</v>
      </c>
      <c r="N967">
        <v>7</v>
      </c>
      <c r="O967" s="7">
        <v>45935</v>
      </c>
      <c r="P967" s="7">
        <v>45940</v>
      </c>
      <c r="Q967" s="7">
        <v>45951</v>
      </c>
      <c r="R967" t="s">
        <v>1049</v>
      </c>
    </row>
    <row r="968" spans="1:18" x14ac:dyDescent="0.3">
      <c r="A968" t="s">
        <v>221</v>
      </c>
      <c r="B968" t="s">
        <v>29</v>
      </c>
      <c r="C968" t="s">
        <v>16</v>
      </c>
      <c r="D968" s="7">
        <v>45933</v>
      </c>
      <c r="E968" s="7">
        <v>45938</v>
      </c>
      <c r="F968" s="7">
        <v>45940</v>
      </c>
      <c r="G968" s="7">
        <v>45943</v>
      </c>
      <c r="H968" t="s">
        <v>17</v>
      </c>
      <c r="J968" s="7">
        <v>45967</v>
      </c>
      <c r="K968">
        <v>5</v>
      </c>
      <c r="L968">
        <v>2</v>
      </c>
      <c r="M968">
        <v>3</v>
      </c>
      <c r="N968">
        <v>4</v>
      </c>
      <c r="O968" s="7">
        <v>45933</v>
      </c>
      <c r="P968" s="7">
        <v>45938</v>
      </c>
      <c r="Q968" s="7">
        <v>45943</v>
      </c>
      <c r="R968" t="s">
        <v>1049</v>
      </c>
    </row>
    <row r="969" spans="1:18" x14ac:dyDescent="0.3">
      <c r="A969" t="s">
        <v>317</v>
      </c>
      <c r="B969" t="s">
        <v>29</v>
      </c>
      <c r="C969" t="s">
        <v>16</v>
      </c>
      <c r="D969" s="7">
        <v>45935</v>
      </c>
      <c r="E969" s="7">
        <v>45939</v>
      </c>
      <c r="F969" s="7">
        <v>45944</v>
      </c>
      <c r="G969" s="7">
        <v>45948</v>
      </c>
      <c r="H969" t="s">
        <v>17</v>
      </c>
      <c r="J969" s="7">
        <v>45963</v>
      </c>
      <c r="K969">
        <v>4</v>
      </c>
      <c r="L969">
        <v>5</v>
      </c>
      <c r="M969">
        <v>4</v>
      </c>
      <c r="N969">
        <v>7</v>
      </c>
      <c r="O969" s="7">
        <v>45935</v>
      </c>
      <c r="P969" s="7">
        <v>45939</v>
      </c>
      <c r="Q969" s="7">
        <v>45948</v>
      </c>
      <c r="R969" t="s">
        <v>1049</v>
      </c>
    </row>
    <row r="970" spans="1:18" x14ac:dyDescent="0.3">
      <c r="A970" t="s">
        <v>1022</v>
      </c>
      <c r="B970" t="s">
        <v>15</v>
      </c>
      <c r="C970" t="s">
        <v>841</v>
      </c>
      <c r="D970" s="7">
        <v>45939</v>
      </c>
      <c r="H970" t="s">
        <v>752</v>
      </c>
      <c r="I970" t="s">
        <v>756</v>
      </c>
      <c r="O970" s="7">
        <v>45939</v>
      </c>
      <c r="R970" t="s">
        <v>1050</v>
      </c>
    </row>
    <row r="971" spans="1:18" x14ac:dyDescent="0.3">
      <c r="A971" t="s">
        <v>222</v>
      </c>
      <c r="B971" t="s">
        <v>27</v>
      </c>
      <c r="C971" t="s">
        <v>16</v>
      </c>
      <c r="D971" s="7">
        <v>45950</v>
      </c>
      <c r="E971" s="7">
        <v>45955</v>
      </c>
      <c r="F971" s="7">
        <v>45959</v>
      </c>
      <c r="G971" s="7">
        <v>45965</v>
      </c>
      <c r="H971" t="s">
        <v>17</v>
      </c>
      <c r="J971" s="7">
        <v>45994</v>
      </c>
      <c r="K971">
        <v>5</v>
      </c>
      <c r="L971">
        <v>4</v>
      </c>
      <c r="M971">
        <v>6</v>
      </c>
      <c r="N971">
        <v>6</v>
      </c>
      <c r="O971" s="7">
        <v>45950</v>
      </c>
      <c r="P971" s="7">
        <v>45955</v>
      </c>
      <c r="Q971" s="7">
        <v>45965</v>
      </c>
      <c r="R971" t="s">
        <v>1049</v>
      </c>
    </row>
    <row r="972" spans="1:18" x14ac:dyDescent="0.3">
      <c r="A972" t="s">
        <v>678</v>
      </c>
      <c r="B972" t="s">
        <v>22</v>
      </c>
      <c r="C972" t="s">
        <v>474</v>
      </c>
      <c r="D972" s="7">
        <v>45951</v>
      </c>
      <c r="E972" s="7">
        <v>45952</v>
      </c>
      <c r="F972" s="7">
        <v>45955</v>
      </c>
      <c r="G972" s="7">
        <v>45962</v>
      </c>
      <c r="H972" t="s">
        <v>17</v>
      </c>
      <c r="J972" s="7">
        <v>45984</v>
      </c>
      <c r="K972">
        <v>1</v>
      </c>
      <c r="L972">
        <v>3</v>
      </c>
      <c r="M972">
        <v>7</v>
      </c>
      <c r="N972">
        <v>10</v>
      </c>
      <c r="O972" s="7">
        <v>45951</v>
      </c>
      <c r="P972" s="7">
        <v>45952</v>
      </c>
      <c r="Q972" s="7">
        <v>45962</v>
      </c>
      <c r="R972" t="s">
        <v>1049</v>
      </c>
    </row>
    <row r="973" spans="1:18" x14ac:dyDescent="0.3">
      <c r="A973" t="s">
        <v>1023</v>
      </c>
      <c r="B973" t="s">
        <v>22</v>
      </c>
      <c r="C973" t="s">
        <v>841</v>
      </c>
      <c r="D973" s="7">
        <v>45949</v>
      </c>
      <c r="H973" t="s">
        <v>752</v>
      </c>
      <c r="I973" t="s">
        <v>765</v>
      </c>
      <c r="O973" s="7">
        <v>45949</v>
      </c>
      <c r="R973" t="s">
        <v>1050</v>
      </c>
    </row>
    <row r="974" spans="1:18" x14ac:dyDescent="0.3">
      <c r="A974" t="s">
        <v>679</v>
      </c>
      <c r="B974" t="s">
        <v>29</v>
      </c>
      <c r="C974" t="s">
        <v>474</v>
      </c>
      <c r="D974" s="7">
        <v>45948</v>
      </c>
      <c r="E974" s="7">
        <v>45949</v>
      </c>
      <c r="F974" s="7">
        <v>45953</v>
      </c>
      <c r="G974" s="7">
        <v>45955</v>
      </c>
      <c r="H974" t="s">
        <v>17</v>
      </c>
      <c r="J974" s="7">
        <v>45976</v>
      </c>
      <c r="K974">
        <v>1</v>
      </c>
      <c r="L974">
        <v>4</v>
      </c>
      <c r="M974">
        <v>2</v>
      </c>
      <c r="N974">
        <v>10</v>
      </c>
      <c r="O974" s="7">
        <v>45948</v>
      </c>
      <c r="P974" s="7">
        <v>45949</v>
      </c>
      <c r="Q974" s="7">
        <v>45955</v>
      </c>
      <c r="R974" t="s">
        <v>1049</v>
      </c>
    </row>
    <row r="975" spans="1:18" x14ac:dyDescent="0.3">
      <c r="A975" t="s">
        <v>397</v>
      </c>
      <c r="B975" t="s">
        <v>15</v>
      </c>
      <c r="C975" t="s">
        <v>16</v>
      </c>
      <c r="D975" s="7">
        <v>45953</v>
      </c>
      <c r="E975" s="7">
        <v>45954</v>
      </c>
      <c r="F975" s="7">
        <v>45955</v>
      </c>
      <c r="G975" s="7">
        <v>45958</v>
      </c>
      <c r="H975" t="s">
        <v>17</v>
      </c>
      <c r="J975" s="7">
        <v>45987</v>
      </c>
      <c r="K975">
        <v>1</v>
      </c>
      <c r="L975">
        <v>1</v>
      </c>
      <c r="M975">
        <v>3</v>
      </c>
      <c r="N975">
        <v>9</v>
      </c>
      <c r="O975" s="7">
        <v>45953</v>
      </c>
      <c r="P975" s="7">
        <v>45954</v>
      </c>
      <c r="Q975" s="7">
        <v>45958</v>
      </c>
      <c r="R975" t="s">
        <v>1049</v>
      </c>
    </row>
    <row r="976" spans="1:18" x14ac:dyDescent="0.3">
      <c r="A976" t="s">
        <v>471</v>
      </c>
      <c r="B976" t="s">
        <v>15</v>
      </c>
      <c r="C976" t="s">
        <v>16</v>
      </c>
      <c r="D976" s="7">
        <v>45941</v>
      </c>
      <c r="E976" s="7">
        <v>45943</v>
      </c>
      <c r="F976" s="7">
        <v>45947</v>
      </c>
      <c r="G976" s="7">
        <v>45953</v>
      </c>
      <c r="H976" t="s">
        <v>17</v>
      </c>
      <c r="J976" s="7">
        <v>45963</v>
      </c>
      <c r="K976">
        <v>2</v>
      </c>
      <c r="L976">
        <v>4</v>
      </c>
      <c r="M976">
        <v>6</v>
      </c>
      <c r="N976">
        <v>7</v>
      </c>
      <c r="O976" s="7">
        <v>45941</v>
      </c>
      <c r="P976" s="7">
        <v>45943</v>
      </c>
      <c r="Q976" s="7">
        <v>45953</v>
      </c>
      <c r="R976" t="s">
        <v>1049</v>
      </c>
    </row>
    <row r="977" spans="1:18" x14ac:dyDescent="0.3">
      <c r="A977" t="s">
        <v>838</v>
      </c>
      <c r="B977" t="s">
        <v>15</v>
      </c>
      <c r="C977" t="s">
        <v>16</v>
      </c>
      <c r="D977" s="7">
        <v>45943</v>
      </c>
      <c r="E977" s="7">
        <v>45946</v>
      </c>
      <c r="F977" s="7">
        <v>45950</v>
      </c>
      <c r="G977" s="7">
        <v>45955</v>
      </c>
      <c r="H977" t="s">
        <v>752</v>
      </c>
      <c r="I977" t="s">
        <v>777</v>
      </c>
      <c r="K977">
        <v>3</v>
      </c>
      <c r="L977">
        <v>4</v>
      </c>
      <c r="M977">
        <v>5</v>
      </c>
      <c r="O977" s="7">
        <v>45943</v>
      </c>
      <c r="P977" s="7">
        <v>45946</v>
      </c>
      <c r="Q977" s="7">
        <v>45955</v>
      </c>
      <c r="R977" t="s">
        <v>1049</v>
      </c>
    </row>
    <row r="978" spans="1:18" x14ac:dyDescent="0.3">
      <c r="A978" t="s">
        <v>839</v>
      </c>
      <c r="B978" t="s">
        <v>22</v>
      </c>
      <c r="C978" t="s">
        <v>16</v>
      </c>
      <c r="D978" s="7">
        <v>45950</v>
      </c>
      <c r="E978" s="7">
        <v>45954</v>
      </c>
      <c r="F978" s="7">
        <v>45957</v>
      </c>
      <c r="G978" s="7">
        <v>45961</v>
      </c>
      <c r="H978" t="s">
        <v>752</v>
      </c>
      <c r="I978" t="s">
        <v>765</v>
      </c>
      <c r="K978">
        <v>4</v>
      </c>
      <c r="L978">
        <v>3</v>
      </c>
      <c r="M978">
        <v>4</v>
      </c>
      <c r="O978" s="7">
        <v>45950</v>
      </c>
      <c r="P978" s="7">
        <v>45954</v>
      </c>
      <c r="Q978" s="7">
        <v>45961</v>
      </c>
      <c r="R978" t="s">
        <v>1049</v>
      </c>
    </row>
    <row r="979" spans="1:18" x14ac:dyDescent="0.3">
      <c r="A979" t="s">
        <v>1024</v>
      </c>
      <c r="B979" t="s">
        <v>29</v>
      </c>
      <c r="C979" t="s">
        <v>841</v>
      </c>
      <c r="D979" s="7">
        <v>45947</v>
      </c>
      <c r="H979" t="s">
        <v>752</v>
      </c>
      <c r="I979" t="s">
        <v>756</v>
      </c>
      <c r="O979" s="7">
        <v>45947</v>
      </c>
      <c r="R979" t="s">
        <v>1050</v>
      </c>
    </row>
    <row r="980" spans="1:18" x14ac:dyDescent="0.3">
      <c r="A980" t="s">
        <v>223</v>
      </c>
      <c r="B980" t="s">
        <v>27</v>
      </c>
      <c r="C980" t="s">
        <v>16</v>
      </c>
      <c r="D980" s="7">
        <v>45940</v>
      </c>
      <c r="E980" s="7">
        <v>45945</v>
      </c>
      <c r="F980" s="7">
        <v>45946</v>
      </c>
      <c r="G980" s="7">
        <v>45949</v>
      </c>
      <c r="H980" t="s">
        <v>17</v>
      </c>
      <c r="J980" s="7">
        <v>45963</v>
      </c>
      <c r="K980">
        <v>5</v>
      </c>
      <c r="L980">
        <v>1</v>
      </c>
      <c r="M980">
        <v>3</v>
      </c>
      <c r="N980">
        <v>8</v>
      </c>
      <c r="O980" s="7">
        <v>45940</v>
      </c>
      <c r="P980" s="7">
        <v>45945</v>
      </c>
      <c r="Q980" s="7">
        <v>45949</v>
      </c>
      <c r="R980" t="s">
        <v>1049</v>
      </c>
    </row>
    <row r="981" spans="1:18" x14ac:dyDescent="0.3">
      <c r="A981" t="s">
        <v>318</v>
      </c>
      <c r="B981" t="s">
        <v>22</v>
      </c>
      <c r="C981" t="s">
        <v>16</v>
      </c>
      <c r="D981" s="7">
        <v>45945</v>
      </c>
      <c r="E981" s="7">
        <v>45949</v>
      </c>
      <c r="F981" s="7">
        <v>45952</v>
      </c>
      <c r="G981" s="7">
        <v>45955</v>
      </c>
      <c r="H981" t="s">
        <v>17</v>
      </c>
      <c r="J981" s="7">
        <v>45980</v>
      </c>
      <c r="K981">
        <v>4</v>
      </c>
      <c r="L981">
        <v>3</v>
      </c>
      <c r="M981">
        <v>3</v>
      </c>
      <c r="N981">
        <v>5</v>
      </c>
      <c r="O981" s="7">
        <v>45945</v>
      </c>
      <c r="P981" s="7">
        <v>45949</v>
      </c>
      <c r="Q981" s="7">
        <v>45955</v>
      </c>
      <c r="R981" t="s">
        <v>1049</v>
      </c>
    </row>
    <row r="982" spans="1:18" x14ac:dyDescent="0.3">
      <c r="A982" t="s">
        <v>680</v>
      </c>
      <c r="B982" t="s">
        <v>29</v>
      </c>
      <c r="C982" t="s">
        <v>474</v>
      </c>
      <c r="D982" s="7">
        <v>45947</v>
      </c>
      <c r="E982" s="7">
        <v>45949</v>
      </c>
      <c r="F982" s="7">
        <v>45950</v>
      </c>
      <c r="G982" s="7">
        <v>45953</v>
      </c>
      <c r="H982" t="s">
        <v>17</v>
      </c>
      <c r="J982" s="7">
        <v>45978</v>
      </c>
      <c r="K982">
        <v>2</v>
      </c>
      <c r="L982">
        <v>1</v>
      </c>
      <c r="M982">
        <v>3</v>
      </c>
      <c r="N982">
        <v>0</v>
      </c>
      <c r="O982" s="7">
        <v>45947</v>
      </c>
      <c r="P982" s="7">
        <v>45949</v>
      </c>
      <c r="Q982" s="7">
        <v>45953</v>
      </c>
      <c r="R982" t="s">
        <v>1049</v>
      </c>
    </row>
    <row r="983" spans="1:18" x14ac:dyDescent="0.3">
      <c r="A983" t="s">
        <v>1025</v>
      </c>
      <c r="B983" t="s">
        <v>29</v>
      </c>
      <c r="C983" t="s">
        <v>841</v>
      </c>
      <c r="D983" s="7">
        <v>45950</v>
      </c>
      <c r="H983" t="s">
        <v>752</v>
      </c>
      <c r="I983" t="s">
        <v>758</v>
      </c>
      <c r="O983" s="7">
        <v>45950</v>
      </c>
      <c r="R983" t="s">
        <v>1050</v>
      </c>
    </row>
    <row r="984" spans="1:18" x14ac:dyDescent="0.3">
      <c r="A984" t="s">
        <v>1026</v>
      </c>
      <c r="B984" t="s">
        <v>27</v>
      </c>
      <c r="C984" t="s">
        <v>841</v>
      </c>
      <c r="D984" s="7">
        <v>45944</v>
      </c>
      <c r="H984" t="s">
        <v>752</v>
      </c>
      <c r="I984" t="s">
        <v>756</v>
      </c>
      <c r="O984" s="7">
        <v>45944</v>
      </c>
      <c r="R984" t="s">
        <v>1050</v>
      </c>
    </row>
    <row r="985" spans="1:18" x14ac:dyDescent="0.3">
      <c r="A985" t="s">
        <v>224</v>
      </c>
      <c r="B985" t="s">
        <v>27</v>
      </c>
      <c r="C985" t="s">
        <v>16</v>
      </c>
      <c r="D985" s="7">
        <v>45934</v>
      </c>
      <c r="E985" s="7">
        <v>45939</v>
      </c>
      <c r="F985" s="7">
        <v>45940</v>
      </c>
      <c r="G985" s="7">
        <v>45946</v>
      </c>
      <c r="H985" t="s">
        <v>17</v>
      </c>
      <c r="J985" s="7">
        <v>45959</v>
      </c>
      <c r="K985">
        <v>5</v>
      </c>
      <c r="L985">
        <v>1</v>
      </c>
      <c r="M985">
        <v>6</v>
      </c>
      <c r="N985">
        <v>2</v>
      </c>
      <c r="O985" s="7">
        <v>45934</v>
      </c>
      <c r="P985" s="7">
        <v>45939</v>
      </c>
      <c r="Q985" s="7">
        <v>45946</v>
      </c>
      <c r="R985" t="s">
        <v>1049</v>
      </c>
    </row>
    <row r="986" spans="1:18" x14ac:dyDescent="0.3">
      <c r="A986" t="s">
        <v>746</v>
      </c>
      <c r="B986" t="s">
        <v>27</v>
      </c>
      <c r="C986" t="s">
        <v>474</v>
      </c>
      <c r="D986" s="7">
        <v>45956</v>
      </c>
      <c r="E986" s="7">
        <v>45961</v>
      </c>
      <c r="F986" s="7">
        <v>45962</v>
      </c>
      <c r="G986" s="7">
        <v>45966</v>
      </c>
      <c r="H986" t="s">
        <v>17</v>
      </c>
      <c r="J986" s="7">
        <v>45989</v>
      </c>
      <c r="K986">
        <v>5</v>
      </c>
      <c r="L986">
        <v>1</v>
      </c>
      <c r="M986">
        <v>4</v>
      </c>
      <c r="N986">
        <v>2</v>
      </c>
      <c r="O986" s="7">
        <v>45956</v>
      </c>
      <c r="P986" s="7">
        <v>45961</v>
      </c>
      <c r="Q986" s="7">
        <v>45966</v>
      </c>
      <c r="R986" t="s">
        <v>1049</v>
      </c>
    </row>
    <row r="987" spans="1:18" x14ac:dyDescent="0.3">
      <c r="A987" t="s">
        <v>681</v>
      </c>
      <c r="B987" t="s">
        <v>15</v>
      </c>
      <c r="C987" t="s">
        <v>474</v>
      </c>
      <c r="D987" s="7">
        <v>45953</v>
      </c>
      <c r="E987" s="7">
        <v>45955</v>
      </c>
      <c r="F987" s="7">
        <v>45958</v>
      </c>
      <c r="G987" s="7">
        <v>45965</v>
      </c>
      <c r="H987" t="s">
        <v>17</v>
      </c>
      <c r="J987" s="7">
        <v>45989</v>
      </c>
      <c r="K987">
        <v>2</v>
      </c>
      <c r="L987">
        <v>3</v>
      </c>
      <c r="M987">
        <v>7</v>
      </c>
      <c r="N987">
        <v>7</v>
      </c>
      <c r="O987" s="7">
        <v>45953</v>
      </c>
      <c r="P987" s="7">
        <v>45955</v>
      </c>
      <c r="Q987" s="7">
        <v>45965</v>
      </c>
      <c r="R987" t="s">
        <v>1049</v>
      </c>
    </row>
    <row r="988" spans="1:18" x14ac:dyDescent="0.3">
      <c r="A988" t="s">
        <v>682</v>
      </c>
      <c r="B988" t="s">
        <v>27</v>
      </c>
      <c r="C988" t="s">
        <v>474</v>
      </c>
      <c r="D988" s="7">
        <v>45934</v>
      </c>
      <c r="E988" s="7">
        <v>45937</v>
      </c>
      <c r="F988" s="7">
        <v>45938</v>
      </c>
      <c r="G988" s="7">
        <v>45945</v>
      </c>
      <c r="H988" t="s">
        <v>17</v>
      </c>
      <c r="J988" s="7">
        <v>45956</v>
      </c>
      <c r="K988">
        <v>3</v>
      </c>
      <c r="L988">
        <v>1</v>
      </c>
      <c r="M988">
        <v>7</v>
      </c>
      <c r="N988">
        <v>8</v>
      </c>
      <c r="O988" s="7">
        <v>45934</v>
      </c>
      <c r="P988" s="7">
        <v>45937</v>
      </c>
      <c r="Q988" s="7">
        <v>45945</v>
      </c>
      <c r="R988" t="s">
        <v>1049</v>
      </c>
    </row>
    <row r="989" spans="1:18" x14ac:dyDescent="0.3">
      <c r="A989" t="s">
        <v>747</v>
      </c>
      <c r="B989" t="s">
        <v>29</v>
      </c>
      <c r="C989" t="s">
        <v>474</v>
      </c>
      <c r="D989" s="7">
        <v>45958</v>
      </c>
      <c r="E989" s="7">
        <v>45963</v>
      </c>
      <c r="F989" s="7">
        <v>45965</v>
      </c>
      <c r="G989" s="7">
        <v>45969</v>
      </c>
      <c r="H989" t="s">
        <v>17</v>
      </c>
      <c r="J989" s="7">
        <v>45981</v>
      </c>
      <c r="K989">
        <v>5</v>
      </c>
      <c r="L989">
        <v>2</v>
      </c>
      <c r="M989">
        <v>4</v>
      </c>
      <c r="N989">
        <v>0</v>
      </c>
      <c r="O989" s="7">
        <v>45958</v>
      </c>
      <c r="P989" s="7">
        <v>45963</v>
      </c>
      <c r="Q989" s="7">
        <v>45969</v>
      </c>
      <c r="R989" t="s">
        <v>1049</v>
      </c>
    </row>
    <row r="990" spans="1:18" x14ac:dyDescent="0.3">
      <c r="A990" t="s">
        <v>132</v>
      </c>
      <c r="B990" t="s">
        <v>27</v>
      </c>
      <c r="C990" t="s">
        <v>16</v>
      </c>
      <c r="D990" s="7">
        <v>45951</v>
      </c>
      <c r="E990" s="7">
        <v>45954</v>
      </c>
      <c r="F990" s="7">
        <v>45956</v>
      </c>
      <c r="G990" s="7">
        <v>45962</v>
      </c>
      <c r="H990" t="s">
        <v>17</v>
      </c>
      <c r="J990" s="7">
        <v>45980</v>
      </c>
      <c r="K990">
        <v>3</v>
      </c>
      <c r="L990">
        <v>2</v>
      </c>
      <c r="M990">
        <v>6</v>
      </c>
      <c r="N990">
        <v>4</v>
      </c>
      <c r="O990" s="7">
        <v>45951</v>
      </c>
      <c r="P990" s="7">
        <v>45954</v>
      </c>
      <c r="Q990" s="7">
        <v>45962</v>
      </c>
      <c r="R990" t="s">
        <v>1049</v>
      </c>
    </row>
    <row r="991" spans="1:18" x14ac:dyDescent="0.3">
      <c r="A991" t="s">
        <v>1027</v>
      </c>
      <c r="B991" t="s">
        <v>29</v>
      </c>
      <c r="C991" t="s">
        <v>841</v>
      </c>
      <c r="D991" s="7">
        <v>45951</v>
      </c>
      <c r="H991" t="s">
        <v>752</v>
      </c>
      <c r="I991" t="s">
        <v>777</v>
      </c>
      <c r="O991" s="7">
        <v>45951</v>
      </c>
      <c r="R991" t="s">
        <v>1050</v>
      </c>
    </row>
    <row r="992" spans="1:18" x14ac:dyDescent="0.3">
      <c r="A992" t="s">
        <v>472</v>
      </c>
      <c r="B992" t="s">
        <v>22</v>
      </c>
      <c r="C992" t="s">
        <v>16</v>
      </c>
      <c r="D992" s="7">
        <v>45959</v>
      </c>
      <c r="E992" s="7">
        <v>45961</v>
      </c>
      <c r="F992" s="7">
        <v>45966</v>
      </c>
      <c r="G992" s="7">
        <v>45968</v>
      </c>
      <c r="H992" t="s">
        <v>17</v>
      </c>
      <c r="J992" s="7">
        <v>45998</v>
      </c>
      <c r="K992">
        <v>2</v>
      </c>
      <c r="L992">
        <v>5</v>
      </c>
      <c r="M992">
        <v>2</v>
      </c>
      <c r="N992">
        <v>6</v>
      </c>
      <c r="O992" s="7">
        <v>45959</v>
      </c>
      <c r="P992" s="7">
        <v>45961</v>
      </c>
      <c r="Q992" s="7">
        <v>45968</v>
      </c>
      <c r="R992" t="s">
        <v>1049</v>
      </c>
    </row>
    <row r="993" spans="1:18" x14ac:dyDescent="0.3">
      <c r="A993" t="s">
        <v>683</v>
      </c>
      <c r="B993" t="s">
        <v>15</v>
      </c>
      <c r="C993" t="s">
        <v>474</v>
      </c>
      <c r="D993" s="7">
        <v>45955</v>
      </c>
      <c r="E993" s="7">
        <v>45959</v>
      </c>
      <c r="F993" s="7">
        <v>45961</v>
      </c>
      <c r="G993" s="7">
        <v>45968</v>
      </c>
      <c r="H993" t="s">
        <v>17</v>
      </c>
      <c r="J993" s="7">
        <v>45988</v>
      </c>
      <c r="K993">
        <v>4</v>
      </c>
      <c r="L993">
        <v>2</v>
      </c>
      <c r="M993">
        <v>7</v>
      </c>
      <c r="N993">
        <v>3</v>
      </c>
      <c r="O993" s="7">
        <v>45955</v>
      </c>
      <c r="P993" s="7">
        <v>45959</v>
      </c>
      <c r="Q993" s="7">
        <v>45968</v>
      </c>
      <c r="R993" t="s">
        <v>1049</v>
      </c>
    </row>
    <row r="994" spans="1:18" x14ac:dyDescent="0.3">
      <c r="A994" t="s">
        <v>748</v>
      </c>
      <c r="B994" t="s">
        <v>22</v>
      </c>
      <c r="C994" t="s">
        <v>474</v>
      </c>
      <c r="D994" s="7">
        <v>45948</v>
      </c>
      <c r="E994" s="7">
        <v>45953</v>
      </c>
      <c r="F994" s="7">
        <v>45958</v>
      </c>
      <c r="G994" s="7">
        <v>45965</v>
      </c>
      <c r="H994" t="s">
        <v>17</v>
      </c>
      <c r="J994" s="7">
        <v>45975</v>
      </c>
      <c r="K994">
        <v>5</v>
      </c>
      <c r="L994">
        <v>5</v>
      </c>
      <c r="M994">
        <v>7</v>
      </c>
      <c r="N994">
        <v>5</v>
      </c>
      <c r="O994" s="7">
        <v>45948</v>
      </c>
      <c r="P994" s="7">
        <v>45953</v>
      </c>
      <c r="Q994" s="7">
        <v>45965</v>
      </c>
      <c r="R994" t="s">
        <v>1049</v>
      </c>
    </row>
    <row r="995" spans="1:18" x14ac:dyDescent="0.3">
      <c r="A995" t="s">
        <v>684</v>
      </c>
      <c r="B995" t="s">
        <v>22</v>
      </c>
      <c r="C995" t="s">
        <v>474</v>
      </c>
      <c r="D995" s="7">
        <v>45954</v>
      </c>
      <c r="E995" s="7">
        <v>45957</v>
      </c>
      <c r="F995" s="7">
        <v>45959</v>
      </c>
      <c r="G995" s="7">
        <v>45963</v>
      </c>
      <c r="H995" t="s">
        <v>17</v>
      </c>
      <c r="J995" s="7">
        <v>45989</v>
      </c>
      <c r="K995">
        <v>3</v>
      </c>
      <c r="L995">
        <v>2</v>
      </c>
      <c r="M995">
        <v>4</v>
      </c>
      <c r="N995">
        <v>7</v>
      </c>
      <c r="O995" s="7">
        <v>45954</v>
      </c>
      <c r="P995" s="7">
        <v>45957</v>
      </c>
      <c r="Q995" s="7">
        <v>45963</v>
      </c>
      <c r="R995" t="s">
        <v>1049</v>
      </c>
    </row>
    <row r="996" spans="1:18" x14ac:dyDescent="0.3">
      <c r="A996" t="s">
        <v>749</v>
      </c>
      <c r="B996" t="s">
        <v>29</v>
      </c>
      <c r="C996" t="s">
        <v>474</v>
      </c>
      <c r="D996" s="7">
        <v>45958</v>
      </c>
      <c r="E996" s="7">
        <v>45963</v>
      </c>
      <c r="F996" s="7">
        <v>45966</v>
      </c>
      <c r="G996" s="7">
        <v>45972</v>
      </c>
      <c r="H996" t="s">
        <v>17</v>
      </c>
      <c r="J996" s="7">
        <v>46000</v>
      </c>
      <c r="K996">
        <v>5</v>
      </c>
      <c r="L996">
        <v>3</v>
      </c>
      <c r="M996">
        <v>6</v>
      </c>
      <c r="N996">
        <v>1</v>
      </c>
      <c r="O996" s="7">
        <v>45958</v>
      </c>
      <c r="P996" s="7">
        <v>45963</v>
      </c>
      <c r="Q996" s="7">
        <v>45972</v>
      </c>
      <c r="R996" t="s">
        <v>1049</v>
      </c>
    </row>
    <row r="997" spans="1:18" x14ac:dyDescent="0.3">
      <c r="A997" t="s">
        <v>685</v>
      </c>
      <c r="B997" t="s">
        <v>22</v>
      </c>
      <c r="C997" t="s">
        <v>474</v>
      </c>
      <c r="D997" s="7">
        <v>45937</v>
      </c>
      <c r="E997" s="7">
        <v>45940</v>
      </c>
      <c r="F997" s="7">
        <v>45945</v>
      </c>
      <c r="G997" s="7">
        <v>45951</v>
      </c>
      <c r="H997" t="s">
        <v>17</v>
      </c>
      <c r="J997" s="7">
        <v>45979</v>
      </c>
      <c r="K997">
        <v>3</v>
      </c>
      <c r="L997">
        <v>5</v>
      </c>
      <c r="M997">
        <v>6</v>
      </c>
      <c r="N997">
        <v>5</v>
      </c>
      <c r="O997" s="7">
        <v>45937</v>
      </c>
      <c r="P997" s="7">
        <v>45940</v>
      </c>
      <c r="Q997" s="7">
        <v>45951</v>
      </c>
      <c r="R997" t="s">
        <v>1049</v>
      </c>
    </row>
    <row r="998" spans="1:18" x14ac:dyDescent="0.3">
      <c r="A998" t="s">
        <v>750</v>
      </c>
      <c r="B998" t="s">
        <v>29</v>
      </c>
      <c r="C998" t="s">
        <v>474</v>
      </c>
      <c r="D998" s="7">
        <v>45944</v>
      </c>
      <c r="E998" s="7">
        <v>45949</v>
      </c>
      <c r="F998" s="7">
        <v>45953</v>
      </c>
      <c r="G998" s="7">
        <v>45956</v>
      </c>
      <c r="H998" t="s">
        <v>17</v>
      </c>
      <c r="J998" s="7">
        <v>45973</v>
      </c>
      <c r="K998">
        <v>5</v>
      </c>
      <c r="L998">
        <v>4</v>
      </c>
      <c r="M998">
        <v>3</v>
      </c>
      <c r="N998">
        <v>7</v>
      </c>
      <c r="O998" s="7">
        <v>45944</v>
      </c>
      <c r="P998" s="7">
        <v>45949</v>
      </c>
      <c r="Q998" s="7">
        <v>45956</v>
      </c>
      <c r="R998" t="s">
        <v>1049</v>
      </c>
    </row>
    <row r="999" spans="1:18" x14ac:dyDescent="0.3">
      <c r="A999" t="s">
        <v>225</v>
      </c>
      <c r="B999" t="s">
        <v>27</v>
      </c>
      <c r="C999" t="s">
        <v>16</v>
      </c>
      <c r="D999" s="7">
        <v>45945</v>
      </c>
      <c r="E999" s="7">
        <v>45950</v>
      </c>
      <c r="F999" s="7">
        <v>45954</v>
      </c>
      <c r="G999" s="7">
        <v>45960</v>
      </c>
      <c r="H999" t="s">
        <v>17</v>
      </c>
      <c r="J999" s="7">
        <v>45980</v>
      </c>
      <c r="K999">
        <v>5</v>
      </c>
      <c r="L999">
        <v>4</v>
      </c>
      <c r="M999">
        <v>6</v>
      </c>
      <c r="N999">
        <v>3</v>
      </c>
      <c r="O999" s="7">
        <v>45945</v>
      </c>
      <c r="P999" s="7">
        <v>45950</v>
      </c>
      <c r="Q999" s="7">
        <v>45960</v>
      </c>
      <c r="R999" t="s">
        <v>1049</v>
      </c>
    </row>
    <row r="1000" spans="1:18" x14ac:dyDescent="0.3">
      <c r="A1000" t="s">
        <v>1028</v>
      </c>
      <c r="B1000" t="s">
        <v>27</v>
      </c>
      <c r="C1000" t="s">
        <v>841</v>
      </c>
      <c r="D1000" s="7">
        <v>45959</v>
      </c>
      <c r="H1000" t="s">
        <v>752</v>
      </c>
      <c r="I1000" t="s">
        <v>753</v>
      </c>
      <c r="O1000" s="7">
        <v>45959</v>
      </c>
      <c r="R1000" t="s">
        <v>1050</v>
      </c>
    </row>
    <row r="1001" spans="1:18" x14ac:dyDescent="0.3">
      <c r="A1001" t="s">
        <v>226</v>
      </c>
      <c r="B1001" t="s">
        <v>29</v>
      </c>
      <c r="C1001" t="s">
        <v>16</v>
      </c>
      <c r="D1001" s="7">
        <v>45938</v>
      </c>
      <c r="E1001" s="7">
        <v>45943</v>
      </c>
      <c r="F1001" s="7">
        <v>45945</v>
      </c>
      <c r="G1001" s="7">
        <v>45948</v>
      </c>
      <c r="H1001" t="s">
        <v>17</v>
      </c>
      <c r="J1001" s="7">
        <v>45974</v>
      </c>
      <c r="K1001">
        <v>5</v>
      </c>
      <c r="L1001">
        <v>2</v>
      </c>
      <c r="M1001">
        <v>3</v>
      </c>
      <c r="N1001">
        <v>4</v>
      </c>
      <c r="O1001" s="7">
        <v>45938</v>
      </c>
      <c r="P1001" s="7">
        <v>45943</v>
      </c>
      <c r="Q1001" s="7">
        <v>45948</v>
      </c>
      <c r="R1001" t="s">
        <v>1049</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1958C-4AE9-40D2-8214-E30AA478E1DC}">
  <dimension ref="A1:U1001"/>
  <sheetViews>
    <sheetView topLeftCell="L1" workbookViewId="0">
      <selection activeCell="U1" sqref="U1:U1048576"/>
    </sheetView>
  </sheetViews>
  <sheetFormatPr defaultRowHeight="14.4" x14ac:dyDescent="0.3"/>
  <cols>
    <col min="1" max="1" width="9.44140625" bestFit="1" customWidth="1"/>
    <col min="2" max="2" width="13.6640625" bestFit="1" customWidth="1"/>
    <col min="3" max="3" width="11.77734375" bestFit="1" customWidth="1"/>
    <col min="4" max="4" width="11.5546875" bestFit="1" customWidth="1"/>
    <col min="5" max="5" width="18" bestFit="1" customWidth="1"/>
    <col min="6" max="6" width="14.44140625" bestFit="1" customWidth="1"/>
    <col min="7" max="7" width="14.33203125" bestFit="1" customWidth="1"/>
    <col min="8" max="8" width="19.44140625" bestFit="1" customWidth="1"/>
    <col min="9" max="9" width="20.21875" bestFit="1" customWidth="1"/>
    <col min="10" max="10" width="20.33203125" bestFit="1" customWidth="1"/>
    <col min="11" max="11" width="22.5546875" bestFit="1" customWidth="1"/>
    <col min="12" max="12" width="23.21875" bestFit="1" customWidth="1"/>
    <col min="13" max="13" width="19.77734375" bestFit="1" customWidth="1"/>
    <col min="14" max="14" width="19.6640625" bestFit="1" customWidth="1"/>
    <col min="15" max="15" width="17.21875" bestFit="1" customWidth="1"/>
    <col min="16" max="16" width="31" bestFit="1" customWidth="1"/>
    <col min="17" max="17" width="25.77734375" bestFit="1" customWidth="1"/>
    <col min="18" max="18" width="27.33203125" bestFit="1" customWidth="1"/>
    <col min="19" max="19" width="22.109375" bestFit="1" customWidth="1"/>
    <col min="21" max="21" width="11.6640625" customWidth="1"/>
  </cols>
  <sheetData>
    <row r="1" spans="1:21" x14ac:dyDescent="0.3">
      <c r="A1" t="s">
        <v>0</v>
      </c>
      <c r="B1" t="s">
        <v>1</v>
      </c>
      <c r="C1" t="s">
        <v>2</v>
      </c>
      <c r="D1" t="s">
        <v>3</v>
      </c>
      <c r="E1" t="s">
        <v>4</v>
      </c>
      <c r="F1" t="s">
        <v>5</v>
      </c>
      <c r="G1" t="s">
        <v>6</v>
      </c>
      <c r="H1" t="s">
        <v>7</v>
      </c>
      <c r="I1" t="s">
        <v>1037</v>
      </c>
      <c r="J1" t="s">
        <v>8</v>
      </c>
      <c r="K1" t="s">
        <v>9</v>
      </c>
      <c r="L1" t="s">
        <v>10</v>
      </c>
      <c r="M1" t="s">
        <v>11</v>
      </c>
      <c r="N1" t="s">
        <v>12</v>
      </c>
      <c r="O1" t="s">
        <v>13</v>
      </c>
      <c r="P1" t="s">
        <v>1057</v>
      </c>
      <c r="Q1" t="s">
        <v>1032</v>
      </c>
      <c r="R1" t="s">
        <v>1033</v>
      </c>
      <c r="S1" t="s">
        <v>1055</v>
      </c>
      <c r="T1" t="s">
        <v>1056</v>
      </c>
      <c r="U1" t="s">
        <v>1075</v>
      </c>
    </row>
    <row r="2" spans="1:21" x14ac:dyDescent="0.3">
      <c r="A2" t="s">
        <v>227</v>
      </c>
      <c r="B2" t="s">
        <v>27</v>
      </c>
      <c r="C2" t="s">
        <v>16</v>
      </c>
      <c r="D2" s="1">
        <v>45951</v>
      </c>
      <c r="E2" s="1">
        <v>45955</v>
      </c>
      <c r="F2" s="1">
        <v>45959</v>
      </c>
      <c r="G2" s="1">
        <v>45964</v>
      </c>
      <c r="H2" t="s">
        <v>17</v>
      </c>
      <c r="I2">
        <v>0</v>
      </c>
      <c r="J2" t="s">
        <v>18</v>
      </c>
      <c r="K2" s="1">
        <v>45989</v>
      </c>
      <c r="L2">
        <v>4</v>
      </c>
      <c r="M2">
        <v>4</v>
      </c>
      <c r="N2">
        <v>5</v>
      </c>
      <c r="O2">
        <v>2</v>
      </c>
      <c r="P2" t="str">
        <f t="shared" ref="P2:P65" si="0">IF(ISBLANK(O2), "Not Applicable", IF(O2&gt;=9, "Promoter", IF(O2&gt;=7, "Passive", "Detractor")))</f>
        <v>Detractor</v>
      </c>
      <c r="Q2">
        <v>10</v>
      </c>
      <c r="R2" t="s">
        <v>1034</v>
      </c>
      <c r="S2">
        <v>11</v>
      </c>
      <c r="T2" t="s">
        <v>1035</v>
      </c>
      <c r="U2" t="str">
        <f>IF(
H2="Yes","No",
IF(
OR(
C2="Hot",
AND(C2="Warm",NOT(ISBLANK(E2)))
),
"Yes",
"No"
)
)</f>
        <v>Yes</v>
      </c>
    </row>
    <row r="3" spans="1:21" x14ac:dyDescent="0.3">
      <c r="A3" t="s">
        <v>14</v>
      </c>
      <c r="B3" t="s">
        <v>15</v>
      </c>
      <c r="C3" t="s">
        <v>16</v>
      </c>
      <c r="D3" s="1">
        <v>45941</v>
      </c>
      <c r="E3" s="1">
        <v>45944</v>
      </c>
      <c r="F3" s="1">
        <v>45949</v>
      </c>
      <c r="G3" s="1">
        <v>45956</v>
      </c>
      <c r="H3" t="s">
        <v>17</v>
      </c>
      <c r="I3">
        <v>0</v>
      </c>
      <c r="J3" t="s">
        <v>18</v>
      </c>
      <c r="K3" s="1">
        <v>45983</v>
      </c>
      <c r="L3">
        <v>3</v>
      </c>
      <c r="M3">
        <v>5</v>
      </c>
      <c r="N3">
        <v>7</v>
      </c>
      <c r="O3">
        <v>8</v>
      </c>
      <c r="P3" t="str">
        <f t="shared" si="0"/>
        <v>Passive</v>
      </c>
      <c r="Q3">
        <v>10</v>
      </c>
      <c r="R3" t="s">
        <v>1034</v>
      </c>
      <c r="S3">
        <v>10</v>
      </c>
      <c r="T3" t="s">
        <v>1034</v>
      </c>
      <c r="U3" t="str">
        <f t="shared" ref="U3:U65" si="1">IF(
H3="Yes","No",
IF(
OR(
C3="Hot",
AND(C3="Warm",NOT(ISBLANK(E3)))
),
"Yes",
"No"
)
)</f>
        <v>Yes</v>
      </c>
    </row>
    <row r="4" spans="1:21" x14ac:dyDescent="0.3">
      <c r="A4" t="s">
        <v>840</v>
      </c>
      <c r="B4" t="s">
        <v>29</v>
      </c>
      <c r="C4" t="s">
        <v>841</v>
      </c>
      <c r="D4" s="1">
        <v>45931</v>
      </c>
      <c r="E4" s="1"/>
      <c r="F4" s="1"/>
      <c r="G4" s="1"/>
      <c r="H4" t="s">
        <v>752</v>
      </c>
      <c r="I4">
        <v>1</v>
      </c>
      <c r="J4" t="s">
        <v>758</v>
      </c>
      <c r="K4" s="1"/>
      <c r="P4" t="str">
        <f t="shared" si="0"/>
        <v>Not Applicable</v>
      </c>
      <c r="R4" t="s">
        <v>1036</v>
      </c>
      <c r="T4" t="s">
        <v>1036</v>
      </c>
      <c r="U4" t="str">
        <f t="shared" si="1"/>
        <v>No</v>
      </c>
    </row>
    <row r="5" spans="1:21" x14ac:dyDescent="0.3">
      <c r="A5" t="s">
        <v>842</v>
      </c>
      <c r="B5" t="s">
        <v>27</v>
      </c>
      <c r="C5" t="s">
        <v>841</v>
      </c>
      <c r="D5" s="1">
        <v>45958</v>
      </c>
      <c r="E5" s="1"/>
      <c r="F5" s="1"/>
      <c r="G5" s="1"/>
      <c r="H5" t="s">
        <v>752</v>
      </c>
      <c r="I5">
        <v>1</v>
      </c>
      <c r="J5" t="s">
        <v>777</v>
      </c>
      <c r="K5" s="1"/>
      <c r="P5" t="str">
        <f t="shared" si="0"/>
        <v>Not Applicable</v>
      </c>
      <c r="R5" t="s">
        <v>1036</v>
      </c>
      <c r="T5" t="s">
        <v>1036</v>
      </c>
      <c r="U5" t="str">
        <f t="shared" si="1"/>
        <v>No</v>
      </c>
    </row>
    <row r="6" spans="1:21" x14ac:dyDescent="0.3">
      <c r="A6" t="s">
        <v>228</v>
      </c>
      <c r="B6" t="s">
        <v>15</v>
      </c>
      <c r="C6" t="s">
        <v>16</v>
      </c>
      <c r="D6" s="1">
        <v>45944</v>
      </c>
      <c r="E6" s="1">
        <v>45948</v>
      </c>
      <c r="F6" s="1">
        <v>45951</v>
      </c>
      <c r="G6" s="1">
        <v>45954</v>
      </c>
      <c r="H6" t="s">
        <v>17</v>
      </c>
      <c r="I6">
        <v>0</v>
      </c>
      <c r="J6" t="s">
        <v>18</v>
      </c>
      <c r="K6" s="1">
        <v>45973</v>
      </c>
      <c r="L6">
        <v>4</v>
      </c>
      <c r="M6">
        <v>3</v>
      </c>
      <c r="N6">
        <v>3</v>
      </c>
      <c r="O6">
        <v>8</v>
      </c>
      <c r="P6" t="str">
        <f t="shared" si="0"/>
        <v>Passive</v>
      </c>
      <c r="Q6">
        <v>10</v>
      </c>
      <c r="R6" t="s">
        <v>1034</v>
      </c>
      <c r="S6">
        <v>10</v>
      </c>
      <c r="T6" t="s">
        <v>1034</v>
      </c>
      <c r="U6" t="str">
        <f t="shared" si="1"/>
        <v>Yes</v>
      </c>
    </row>
    <row r="7" spans="1:21" x14ac:dyDescent="0.3">
      <c r="A7" t="s">
        <v>229</v>
      </c>
      <c r="B7" t="s">
        <v>15</v>
      </c>
      <c r="C7" t="s">
        <v>16</v>
      </c>
      <c r="D7" s="1">
        <v>45957</v>
      </c>
      <c r="E7" s="1">
        <v>45961</v>
      </c>
      <c r="F7" s="1">
        <v>45965</v>
      </c>
      <c r="G7" s="1">
        <v>45968</v>
      </c>
      <c r="H7" t="s">
        <v>17</v>
      </c>
      <c r="I7">
        <v>0</v>
      </c>
      <c r="J7" t="s">
        <v>18</v>
      </c>
      <c r="K7" s="1">
        <v>45983</v>
      </c>
      <c r="L7">
        <v>4</v>
      </c>
      <c r="M7">
        <v>4</v>
      </c>
      <c r="N7">
        <v>3</v>
      </c>
      <c r="O7">
        <v>9</v>
      </c>
      <c r="P7" t="str">
        <f t="shared" si="0"/>
        <v>Promoter</v>
      </c>
      <c r="Q7">
        <v>10</v>
      </c>
      <c r="R7" t="s">
        <v>1034</v>
      </c>
      <c r="S7">
        <v>11</v>
      </c>
      <c r="T7" t="s">
        <v>1035</v>
      </c>
      <c r="U7" t="str">
        <f t="shared" si="1"/>
        <v>Yes</v>
      </c>
    </row>
    <row r="8" spans="1:21" x14ac:dyDescent="0.3">
      <c r="A8" t="s">
        <v>473</v>
      </c>
      <c r="B8" t="s">
        <v>29</v>
      </c>
      <c r="C8" t="s">
        <v>474</v>
      </c>
      <c r="D8" s="1">
        <v>45946</v>
      </c>
      <c r="E8" s="1">
        <v>45950</v>
      </c>
      <c r="F8" s="1">
        <v>45951</v>
      </c>
      <c r="G8" s="1">
        <v>45958</v>
      </c>
      <c r="H8" t="s">
        <v>17</v>
      </c>
      <c r="I8">
        <v>0</v>
      </c>
      <c r="J8" t="s">
        <v>18</v>
      </c>
      <c r="K8" s="1">
        <v>45983</v>
      </c>
      <c r="L8">
        <v>4</v>
      </c>
      <c r="M8">
        <v>1</v>
      </c>
      <c r="N8">
        <v>7</v>
      </c>
      <c r="O8">
        <v>10</v>
      </c>
      <c r="P8" t="str">
        <f t="shared" si="0"/>
        <v>Promoter</v>
      </c>
      <c r="Q8">
        <v>10</v>
      </c>
      <c r="R8" t="s">
        <v>1034</v>
      </c>
      <c r="S8">
        <v>10</v>
      </c>
      <c r="T8" t="s">
        <v>1034</v>
      </c>
      <c r="U8" t="str">
        <f t="shared" si="1"/>
        <v>Yes</v>
      </c>
    </row>
    <row r="9" spans="1:21" x14ac:dyDescent="0.3">
      <c r="A9" t="s">
        <v>751</v>
      </c>
      <c r="B9" t="s">
        <v>22</v>
      </c>
      <c r="C9" t="s">
        <v>16</v>
      </c>
      <c r="D9" s="1">
        <v>45934</v>
      </c>
      <c r="E9" s="1">
        <v>45935</v>
      </c>
      <c r="F9" s="1">
        <v>45938</v>
      </c>
      <c r="G9" s="1">
        <v>45945</v>
      </c>
      <c r="H9" t="s">
        <v>752</v>
      </c>
      <c r="I9">
        <v>1</v>
      </c>
      <c r="J9" t="s">
        <v>753</v>
      </c>
      <c r="K9" s="1"/>
      <c r="L9">
        <v>1</v>
      </c>
      <c r="M9">
        <v>3</v>
      </c>
      <c r="N9">
        <v>7</v>
      </c>
      <c r="P9" t="str">
        <f t="shared" si="0"/>
        <v>Not Applicable</v>
      </c>
      <c r="Q9">
        <v>10</v>
      </c>
      <c r="R9" t="s">
        <v>1034</v>
      </c>
      <c r="S9">
        <v>10</v>
      </c>
      <c r="T9" t="s">
        <v>1034</v>
      </c>
      <c r="U9" t="str">
        <f t="shared" si="1"/>
        <v>No</v>
      </c>
    </row>
    <row r="10" spans="1:21" x14ac:dyDescent="0.3">
      <c r="A10" t="s">
        <v>475</v>
      </c>
      <c r="B10" t="s">
        <v>27</v>
      </c>
      <c r="C10" t="s">
        <v>474</v>
      </c>
      <c r="D10" s="1">
        <v>45944</v>
      </c>
      <c r="E10" s="1">
        <v>45947</v>
      </c>
      <c r="F10" s="1">
        <v>45950</v>
      </c>
      <c r="G10" s="1">
        <v>45955</v>
      </c>
      <c r="H10" t="s">
        <v>17</v>
      </c>
      <c r="I10">
        <v>0</v>
      </c>
      <c r="J10" t="s">
        <v>18</v>
      </c>
      <c r="K10" s="1">
        <v>45966</v>
      </c>
      <c r="L10">
        <v>3</v>
      </c>
      <c r="M10">
        <v>3</v>
      </c>
      <c r="N10">
        <v>5</v>
      </c>
      <c r="O10">
        <v>8</v>
      </c>
      <c r="P10" t="str">
        <f t="shared" si="0"/>
        <v>Passive</v>
      </c>
      <c r="Q10">
        <v>10</v>
      </c>
      <c r="R10" t="s">
        <v>1034</v>
      </c>
      <c r="S10">
        <v>10</v>
      </c>
      <c r="T10" t="s">
        <v>1034</v>
      </c>
      <c r="U10" t="str">
        <f t="shared" si="1"/>
        <v>Yes</v>
      </c>
    </row>
    <row r="11" spans="1:21" x14ac:dyDescent="0.3">
      <c r="A11" t="s">
        <v>230</v>
      </c>
      <c r="B11" t="s">
        <v>29</v>
      </c>
      <c r="C11" t="s">
        <v>16</v>
      </c>
      <c r="D11" s="1">
        <v>45961</v>
      </c>
      <c r="E11" s="1">
        <v>45965</v>
      </c>
      <c r="F11" s="1">
        <v>45966</v>
      </c>
      <c r="G11" s="1">
        <v>45971</v>
      </c>
      <c r="H11" t="s">
        <v>17</v>
      </c>
      <c r="I11">
        <v>0</v>
      </c>
      <c r="J11" t="s">
        <v>18</v>
      </c>
      <c r="K11" s="1">
        <v>45983</v>
      </c>
      <c r="L11">
        <v>4</v>
      </c>
      <c r="M11">
        <v>1</v>
      </c>
      <c r="N11">
        <v>5</v>
      </c>
      <c r="O11">
        <v>6</v>
      </c>
      <c r="P11" t="str">
        <f t="shared" si="0"/>
        <v>Detractor</v>
      </c>
      <c r="Q11">
        <v>11</v>
      </c>
      <c r="R11" t="s">
        <v>1035</v>
      </c>
      <c r="S11">
        <v>11</v>
      </c>
      <c r="T11" t="s">
        <v>1035</v>
      </c>
      <c r="U11" t="str">
        <f t="shared" si="1"/>
        <v>Yes</v>
      </c>
    </row>
    <row r="12" spans="1:21" x14ac:dyDescent="0.3">
      <c r="A12" t="s">
        <v>843</v>
      </c>
      <c r="B12" t="s">
        <v>27</v>
      </c>
      <c r="C12" t="s">
        <v>841</v>
      </c>
      <c r="D12" s="1">
        <v>45942</v>
      </c>
      <c r="E12" s="1"/>
      <c r="F12" s="1"/>
      <c r="G12" s="1"/>
      <c r="H12" t="s">
        <v>752</v>
      </c>
      <c r="I12">
        <v>1</v>
      </c>
      <c r="J12" t="s">
        <v>758</v>
      </c>
      <c r="K12" s="1"/>
      <c r="P12" t="str">
        <f t="shared" si="0"/>
        <v>Not Applicable</v>
      </c>
      <c r="R12" t="s">
        <v>1036</v>
      </c>
      <c r="T12" t="s">
        <v>1036</v>
      </c>
      <c r="U12" t="str">
        <f t="shared" si="1"/>
        <v>No</v>
      </c>
    </row>
    <row r="13" spans="1:21" x14ac:dyDescent="0.3">
      <c r="A13" t="s">
        <v>19</v>
      </c>
      <c r="B13" t="s">
        <v>15</v>
      </c>
      <c r="C13" t="s">
        <v>16</v>
      </c>
      <c r="D13" s="1">
        <v>45951</v>
      </c>
      <c r="E13" s="1">
        <v>45954</v>
      </c>
      <c r="F13" s="1">
        <v>45958</v>
      </c>
      <c r="G13" s="1">
        <v>45960</v>
      </c>
      <c r="H13" t="s">
        <v>17</v>
      </c>
      <c r="I13">
        <v>0</v>
      </c>
      <c r="J13" t="s">
        <v>18</v>
      </c>
      <c r="K13" s="1">
        <v>45971</v>
      </c>
      <c r="L13">
        <v>3</v>
      </c>
      <c r="M13">
        <v>4</v>
      </c>
      <c r="N13">
        <v>2</v>
      </c>
      <c r="O13">
        <v>0</v>
      </c>
      <c r="P13" t="str">
        <f t="shared" si="0"/>
        <v>Detractor</v>
      </c>
      <c r="Q13">
        <v>10</v>
      </c>
      <c r="R13" t="s">
        <v>1034</v>
      </c>
      <c r="S13">
        <v>10</v>
      </c>
      <c r="T13" t="s">
        <v>1034</v>
      </c>
      <c r="U13" t="str">
        <f t="shared" si="1"/>
        <v>Yes</v>
      </c>
    </row>
    <row r="14" spans="1:21" x14ac:dyDescent="0.3">
      <c r="A14" t="s">
        <v>20</v>
      </c>
      <c r="B14" t="s">
        <v>15</v>
      </c>
      <c r="C14" t="s">
        <v>16</v>
      </c>
      <c r="D14" s="1">
        <v>45959</v>
      </c>
      <c r="E14" s="1">
        <v>45962</v>
      </c>
      <c r="F14" s="1">
        <v>45967</v>
      </c>
      <c r="G14" s="1">
        <v>45974</v>
      </c>
      <c r="H14" t="s">
        <v>17</v>
      </c>
      <c r="I14">
        <v>0</v>
      </c>
      <c r="J14" t="s">
        <v>18</v>
      </c>
      <c r="K14" s="1">
        <v>45991</v>
      </c>
      <c r="L14">
        <v>3</v>
      </c>
      <c r="M14">
        <v>5</v>
      </c>
      <c r="N14">
        <v>7</v>
      </c>
      <c r="O14">
        <v>10</v>
      </c>
      <c r="P14" t="str">
        <f t="shared" si="0"/>
        <v>Promoter</v>
      </c>
      <c r="Q14">
        <v>11</v>
      </c>
      <c r="R14" t="s">
        <v>1035</v>
      </c>
      <c r="S14">
        <v>11</v>
      </c>
      <c r="T14" t="s">
        <v>1035</v>
      </c>
      <c r="U14" t="str">
        <f t="shared" si="1"/>
        <v>Yes</v>
      </c>
    </row>
    <row r="15" spans="1:21" x14ac:dyDescent="0.3">
      <c r="A15" t="s">
        <v>21</v>
      </c>
      <c r="B15" t="s">
        <v>22</v>
      </c>
      <c r="C15" t="s">
        <v>16</v>
      </c>
      <c r="D15" s="1">
        <v>45957</v>
      </c>
      <c r="E15" s="1">
        <v>45960</v>
      </c>
      <c r="F15" s="1">
        <v>45963</v>
      </c>
      <c r="G15" s="1">
        <v>45969</v>
      </c>
      <c r="H15" t="s">
        <v>17</v>
      </c>
      <c r="I15">
        <v>0</v>
      </c>
      <c r="J15" t="s">
        <v>18</v>
      </c>
      <c r="K15" s="1">
        <v>45998</v>
      </c>
      <c r="L15">
        <v>3</v>
      </c>
      <c r="M15">
        <v>3</v>
      </c>
      <c r="N15">
        <v>6</v>
      </c>
      <c r="O15">
        <v>2</v>
      </c>
      <c r="P15" t="str">
        <f t="shared" si="0"/>
        <v>Detractor</v>
      </c>
      <c r="Q15">
        <v>10</v>
      </c>
      <c r="R15" t="s">
        <v>1034</v>
      </c>
      <c r="S15">
        <v>11</v>
      </c>
      <c r="T15" t="s">
        <v>1035</v>
      </c>
      <c r="U15" t="str">
        <f t="shared" si="1"/>
        <v>Yes</v>
      </c>
    </row>
    <row r="16" spans="1:21" x14ac:dyDescent="0.3">
      <c r="A16" t="s">
        <v>754</v>
      </c>
      <c r="B16" t="s">
        <v>15</v>
      </c>
      <c r="C16" t="s">
        <v>474</v>
      </c>
      <c r="D16" s="1">
        <v>45945</v>
      </c>
      <c r="E16" s="1">
        <v>45947</v>
      </c>
      <c r="F16" s="1">
        <v>45948</v>
      </c>
      <c r="G16" s="1">
        <v>45951</v>
      </c>
      <c r="H16" t="s">
        <v>752</v>
      </c>
      <c r="I16">
        <v>1</v>
      </c>
      <c r="J16" t="s">
        <v>753</v>
      </c>
      <c r="K16" s="1"/>
      <c r="L16">
        <v>2</v>
      </c>
      <c r="M16">
        <v>1</v>
      </c>
      <c r="N16">
        <v>3</v>
      </c>
      <c r="P16" t="str">
        <f t="shared" si="0"/>
        <v>Not Applicable</v>
      </c>
      <c r="Q16">
        <v>10</v>
      </c>
      <c r="R16" t="s">
        <v>1034</v>
      </c>
      <c r="S16">
        <v>10</v>
      </c>
      <c r="T16" t="s">
        <v>1034</v>
      </c>
      <c r="U16" t="str">
        <f t="shared" si="1"/>
        <v>No</v>
      </c>
    </row>
    <row r="17" spans="1:21" x14ac:dyDescent="0.3">
      <c r="A17" t="s">
        <v>231</v>
      </c>
      <c r="B17" t="s">
        <v>15</v>
      </c>
      <c r="C17" t="s">
        <v>16</v>
      </c>
      <c r="D17" s="1">
        <v>45953</v>
      </c>
      <c r="E17" s="1">
        <v>45957</v>
      </c>
      <c r="F17" s="1">
        <v>45962</v>
      </c>
      <c r="G17" s="1">
        <v>45967</v>
      </c>
      <c r="H17" t="s">
        <v>17</v>
      </c>
      <c r="I17">
        <v>0</v>
      </c>
      <c r="J17" t="s">
        <v>18</v>
      </c>
      <c r="K17" s="1">
        <v>45984</v>
      </c>
      <c r="L17">
        <v>4</v>
      </c>
      <c r="M17">
        <v>5</v>
      </c>
      <c r="N17">
        <v>5</v>
      </c>
      <c r="O17">
        <v>8</v>
      </c>
      <c r="P17" t="str">
        <f t="shared" si="0"/>
        <v>Passive</v>
      </c>
      <c r="Q17">
        <v>10</v>
      </c>
      <c r="R17" t="s">
        <v>1034</v>
      </c>
      <c r="S17">
        <v>11</v>
      </c>
      <c r="T17" t="s">
        <v>1035</v>
      </c>
      <c r="U17" t="str">
        <f t="shared" si="1"/>
        <v>Yes</v>
      </c>
    </row>
    <row r="18" spans="1:21" x14ac:dyDescent="0.3">
      <c r="A18" t="s">
        <v>476</v>
      </c>
      <c r="B18" t="s">
        <v>29</v>
      </c>
      <c r="C18" t="s">
        <v>474</v>
      </c>
      <c r="D18" s="1">
        <v>45935</v>
      </c>
      <c r="E18" s="1">
        <v>45936</v>
      </c>
      <c r="F18" s="1">
        <v>45940</v>
      </c>
      <c r="G18" s="1">
        <v>45946</v>
      </c>
      <c r="H18" t="s">
        <v>17</v>
      </c>
      <c r="I18">
        <v>0</v>
      </c>
      <c r="J18" t="s">
        <v>18</v>
      </c>
      <c r="K18" s="1">
        <v>45956</v>
      </c>
      <c r="L18">
        <v>1</v>
      </c>
      <c r="M18">
        <v>4</v>
      </c>
      <c r="N18">
        <v>6</v>
      </c>
      <c r="O18">
        <v>2</v>
      </c>
      <c r="P18" t="str">
        <f t="shared" si="0"/>
        <v>Detractor</v>
      </c>
      <c r="Q18">
        <v>10</v>
      </c>
      <c r="R18" t="s">
        <v>1034</v>
      </c>
      <c r="S18">
        <v>10</v>
      </c>
      <c r="T18" t="s">
        <v>1034</v>
      </c>
      <c r="U18" t="str">
        <f t="shared" si="1"/>
        <v>Yes</v>
      </c>
    </row>
    <row r="19" spans="1:21" x14ac:dyDescent="0.3">
      <c r="A19" t="s">
        <v>477</v>
      </c>
      <c r="B19" t="s">
        <v>27</v>
      </c>
      <c r="C19" t="s">
        <v>474</v>
      </c>
      <c r="D19" s="1">
        <v>45944</v>
      </c>
      <c r="E19" s="1">
        <v>45945</v>
      </c>
      <c r="F19" s="1">
        <v>45948</v>
      </c>
      <c r="G19" s="1">
        <v>45953</v>
      </c>
      <c r="H19" t="s">
        <v>17</v>
      </c>
      <c r="I19">
        <v>0</v>
      </c>
      <c r="J19" t="s">
        <v>18</v>
      </c>
      <c r="K19" s="1">
        <v>45979</v>
      </c>
      <c r="L19">
        <v>1</v>
      </c>
      <c r="M19">
        <v>3</v>
      </c>
      <c r="N19">
        <v>5</v>
      </c>
      <c r="O19">
        <v>0</v>
      </c>
      <c r="P19" t="str">
        <f t="shared" si="0"/>
        <v>Detractor</v>
      </c>
      <c r="Q19">
        <v>10</v>
      </c>
      <c r="R19" t="s">
        <v>1034</v>
      </c>
      <c r="S19">
        <v>10</v>
      </c>
      <c r="T19" t="s">
        <v>1034</v>
      </c>
      <c r="U19" t="str">
        <f t="shared" si="1"/>
        <v>Yes</v>
      </c>
    </row>
    <row r="20" spans="1:21" x14ac:dyDescent="0.3">
      <c r="A20" t="s">
        <v>319</v>
      </c>
      <c r="B20" t="s">
        <v>27</v>
      </c>
      <c r="C20" t="s">
        <v>16</v>
      </c>
      <c r="D20" s="1">
        <v>45936</v>
      </c>
      <c r="E20" s="1">
        <v>45937</v>
      </c>
      <c r="F20" s="1">
        <v>45942</v>
      </c>
      <c r="G20" s="1">
        <v>45947</v>
      </c>
      <c r="H20" t="s">
        <v>17</v>
      </c>
      <c r="I20">
        <v>0</v>
      </c>
      <c r="J20" t="s">
        <v>18</v>
      </c>
      <c r="K20" s="1">
        <v>45972</v>
      </c>
      <c r="L20">
        <v>1</v>
      </c>
      <c r="M20">
        <v>5</v>
      </c>
      <c r="N20">
        <v>5</v>
      </c>
      <c r="O20">
        <v>5</v>
      </c>
      <c r="P20" t="str">
        <f t="shared" si="0"/>
        <v>Detractor</v>
      </c>
      <c r="Q20">
        <v>10</v>
      </c>
      <c r="R20" t="s">
        <v>1034</v>
      </c>
      <c r="S20">
        <v>10</v>
      </c>
      <c r="T20" t="s">
        <v>1034</v>
      </c>
      <c r="U20" t="str">
        <f t="shared" si="1"/>
        <v>Yes</v>
      </c>
    </row>
    <row r="21" spans="1:21" x14ac:dyDescent="0.3">
      <c r="A21" t="s">
        <v>320</v>
      </c>
      <c r="B21" t="s">
        <v>29</v>
      </c>
      <c r="C21" t="s">
        <v>16</v>
      </c>
      <c r="D21" s="1">
        <v>45954</v>
      </c>
      <c r="E21" s="1">
        <v>45955</v>
      </c>
      <c r="F21" s="1">
        <v>45960</v>
      </c>
      <c r="G21" s="1">
        <v>45962</v>
      </c>
      <c r="H21" t="s">
        <v>17</v>
      </c>
      <c r="I21">
        <v>0</v>
      </c>
      <c r="J21" t="s">
        <v>18</v>
      </c>
      <c r="K21" s="1">
        <v>45972</v>
      </c>
      <c r="L21">
        <v>1</v>
      </c>
      <c r="M21">
        <v>5</v>
      </c>
      <c r="N21">
        <v>2</v>
      </c>
      <c r="O21">
        <v>4</v>
      </c>
      <c r="P21" t="str">
        <f t="shared" si="0"/>
        <v>Detractor</v>
      </c>
      <c r="Q21">
        <v>10</v>
      </c>
      <c r="R21" t="s">
        <v>1034</v>
      </c>
      <c r="S21">
        <v>11</v>
      </c>
      <c r="T21" t="s">
        <v>1035</v>
      </c>
      <c r="U21" t="str">
        <f t="shared" si="1"/>
        <v>Yes</v>
      </c>
    </row>
    <row r="22" spans="1:21" x14ac:dyDescent="0.3">
      <c r="A22" t="s">
        <v>232</v>
      </c>
      <c r="B22" t="s">
        <v>22</v>
      </c>
      <c r="C22" t="s">
        <v>16</v>
      </c>
      <c r="D22" s="1">
        <v>45947</v>
      </c>
      <c r="E22" s="1">
        <v>45951</v>
      </c>
      <c r="F22" s="1">
        <v>45953</v>
      </c>
      <c r="G22" s="1">
        <v>45960</v>
      </c>
      <c r="H22" t="s">
        <v>17</v>
      </c>
      <c r="I22">
        <v>0</v>
      </c>
      <c r="J22" t="s">
        <v>18</v>
      </c>
      <c r="K22" s="1">
        <v>45980</v>
      </c>
      <c r="L22">
        <v>4</v>
      </c>
      <c r="M22">
        <v>2</v>
      </c>
      <c r="N22">
        <v>7</v>
      </c>
      <c r="O22">
        <v>6</v>
      </c>
      <c r="P22" t="str">
        <f t="shared" si="0"/>
        <v>Detractor</v>
      </c>
      <c r="Q22">
        <v>10</v>
      </c>
      <c r="R22" t="s">
        <v>1034</v>
      </c>
      <c r="S22">
        <v>10</v>
      </c>
      <c r="T22" t="s">
        <v>1034</v>
      </c>
      <c r="U22" t="str">
        <f t="shared" si="1"/>
        <v>Yes</v>
      </c>
    </row>
    <row r="23" spans="1:21" x14ac:dyDescent="0.3">
      <c r="A23" t="s">
        <v>478</v>
      </c>
      <c r="B23" t="s">
        <v>27</v>
      </c>
      <c r="C23" t="s">
        <v>474</v>
      </c>
      <c r="D23" s="1">
        <v>45961</v>
      </c>
      <c r="E23" s="1">
        <v>45962</v>
      </c>
      <c r="F23" s="1">
        <v>45963</v>
      </c>
      <c r="G23" s="1">
        <v>45966</v>
      </c>
      <c r="H23" t="s">
        <v>17</v>
      </c>
      <c r="I23">
        <v>0</v>
      </c>
      <c r="J23" t="s">
        <v>18</v>
      </c>
      <c r="K23" s="1">
        <v>45995</v>
      </c>
      <c r="L23">
        <v>1</v>
      </c>
      <c r="M23">
        <v>1</v>
      </c>
      <c r="N23">
        <v>3</v>
      </c>
      <c r="O23">
        <v>3</v>
      </c>
      <c r="P23" t="str">
        <f t="shared" si="0"/>
        <v>Detractor</v>
      </c>
      <c r="Q23">
        <v>11</v>
      </c>
      <c r="R23" t="s">
        <v>1035</v>
      </c>
      <c r="S23">
        <v>11</v>
      </c>
      <c r="T23" t="s">
        <v>1035</v>
      </c>
      <c r="U23" t="str">
        <f t="shared" si="1"/>
        <v>Yes</v>
      </c>
    </row>
    <row r="24" spans="1:21" x14ac:dyDescent="0.3">
      <c r="A24" t="s">
        <v>23</v>
      </c>
      <c r="B24" t="s">
        <v>15</v>
      </c>
      <c r="C24" t="s">
        <v>16</v>
      </c>
      <c r="D24" s="1">
        <v>45951</v>
      </c>
      <c r="E24" s="1">
        <v>45954</v>
      </c>
      <c r="F24" s="1">
        <v>45959</v>
      </c>
      <c r="G24" s="1">
        <v>45962</v>
      </c>
      <c r="H24" t="s">
        <v>17</v>
      </c>
      <c r="I24">
        <v>0</v>
      </c>
      <c r="J24" t="s">
        <v>18</v>
      </c>
      <c r="K24" s="1">
        <v>45978</v>
      </c>
      <c r="L24">
        <v>3</v>
      </c>
      <c r="M24">
        <v>5</v>
      </c>
      <c r="N24">
        <v>3</v>
      </c>
      <c r="O24">
        <v>8</v>
      </c>
      <c r="P24" t="str">
        <f t="shared" si="0"/>
        <v>Passive</v>
      </c>
      <c r="Q24">
        <v>10</v>
      </c>
      <c r="R24" t="s">
        <v>1034</v>
      </c>
      <c r="S24">
        <v>11</v>
      </c>
      <c r="T24" t="s">
        <v>1035</v>
      </c>
      <c r="U24" t="str">
        <f t="shared" si="1"/>
        <v>Yes</v>
      </c>
    </row>
    <row r="25" spans="1:21" x14ac:dyDescent="0.3">
      <c r="A25" t="s">
        <v>398</v>
      </c>
      <c r="B25" t="s">
        <v>27</v>
      </c>
      <c r="C25" t="s">
        <v>16</v>
      </c>
      <c r="D25" s="1">
        <v>45939</v>
      </c>
      <c r="E25" s="1">
        <v>45941</v>
      </c>
      <c r="F25" s="1">
        <v>45945</v>
      </c>
      <c r="G25" s="1">
        <v>45949</v>
      </c>
      <c r="H25" t="s">
        <v>17</v>
      </c>
      <c r="I25">
        <v>0</v>
      </c>
      <c r="J25" t="s">
        <v>18</v>
      </c>
      <c r="K25" s="1">
        <v>45963</v>
      </c>
      <c r="L25">
        <v>2</v>
      </c>
      <c r="M25">
        <v>4</v>
      </c>
      <c r="N25">
        <v>4</v>
      </c>
      <c r="O25">
        <v>3</v>
      </c>
      <c r="P25" t="str">
        <f t="shared" si="0"/>
        <v>Detractor</v>
      </c>
      <c r="Q25">
        <v>10</v>
      </c>
      <c r="R25" t="s">
        <v>1034</v>
      </c>
      <c r="S25">
        <v>10</v>
      </c>
      <c r="T25" t="s">
        <v>1034</v>
      </c>
      <c r="U25" t="str">
        <f t="shared" si="1"/>
        <v>Yes</v>
      </c>
    </row>
    <row r="26" spans="1:21" x14ac:dyDescent="0.3">
      <c r="A26" t="s">
        <v>133</v>
      </c>
      <c r="B26" t="s">
        <v>15</v>
      </c>
      <c r="C26" t="s">
        <v>16</v>
      </c>
      <c r="D26" s="1">
        <v>45950</v>
      </c>
      <c r="E26" s="1">
        <v>45955</v>
      </c>
      <c r="F26" s="1">
        <v>45957</v>
      </c>
      <c r="G26" s="1">
        <v>45964</v>
      </c>
      <c r="H26" t="s">
        <v>17</v>
      </c>
      <c r="I26">
        <v>0</v>
      </c>
      <c r="J26" t="s">
        <v>18</v>
      </c>
      <c r="K26" s="1">
        <v>45984</v>
      </c>
      <c r="L26">
        <v>5</v>
      </c>
      <c r="M26">
        <v>2</v>
      </c>
      <c r="N26">
        <v>7</v>
      </c>
      <c r="O26">
        <v>1</v>
      </c>
      <c r="P26" t="str">
        <f t="shared" si="0"/>
        <v>Detractor</v>
      </c>
      <c r="Q26">
        <v>10</v>
      </c>
      <c r="R26" t="s">
        <v>1034</v>
      </c>
      <c r="S26">
        <v>11</v>
      </c>
      <c r="T26" t="s">
        <v>1035</v>
      </c>
      <c r="U26" t="str">
        <f t="shared" si="1"/>
        <v>Yes</v>
      </c>
    </row>
    <row r="27" spans="1:21" x14ac:dyDescent="0.3">
      <c r="A27" t="s">
        <v>321</v>
      </c>
      <c r="B27" t="s">
        <v>22</v>
      </c>
      <c r="C27" t="s">
        <v>16</v>
      </c>
      <c r="D27" s="1">
        <v>45956</v>
      </c>
      <c r="E27" s="1">
        <v>45957</v>
      </c>
      <c r="F27" s="1">
        <v>45962</v>
      </c>
      <c r="G27" s="1">
        <v>45964</v>
      </c>
      <c r="H27" t="s">
        <v>17</v>
      </c>
      <c r="I27">
        <v>0</v>
      </c>
      <c r="J27" t="s">
        <v>18</v>
      </c>
      <c r="K27" s="1">
        <v>45979</v>
      </c>
      <c r="L27">
        <v>1</v>
      </c>
      <c r="M27">
        <v>5</v>
      </c>
      <c r="N27">
        <v>2</v>
      </c>
      <c r="O27">
        <v>4</v>
      </c>
      <c r="P27" t="str">
        <f t="shared" si="0"/>
        <v>Detractor</v>
      </c>
      <c r="Q27">
        <v>10</v>
      </c>
      <c r="R27" t="s">
        <v>1034</v>
      </c>
      <c r="S27">
        <v>11</v>
      </c>
      <c r="T27" t="s">
        <v>1035</v>
      </c>
      <c r="U27" t="str">
        <f t="shared" si="1"/>
        <v>Yes</v>
      </c>
    </row>
    <row r="28" spans="1:21" x14ac:dyDescent="0.3">
      <c r="A28" t="s">
        <v>134</v>
      </c>
      <c r="B28" t="s">
        <v>29</v>
      </c>
      <c r="C28" t="s">
        <v>16</v>
      </c>
      <c r="D28" s="1">
        <v>45960</v>
      </c>
      <c r="E28" s="1">
        <v>45965</v>
      </c>
      <c r="F28" s="1">
        <v>45970</v>
      </c>
      <c r="G28" s="1">
        <v>45976</v>
      </c>
      <c r="H28" t="s">
        <v>17</v>
      </c>
      <c r="I28">
        <v>0</v>
      </c>
      <c r="J28" t="s">
        <v>18</v>
      </c>
      <c r="K28" s="1">
        <v>45996</v>
      </c>
      <c r="L28">
        <v>5</v>
      </c>
      <c r="M28">
        <v>5</v>
      </c>
      <c r="N28">
        <v>6</v>
      </c>
      <c r="O28">
        <v>1</v>
      </c>
      <c r="P28" t="str">
        <f t="shared" si="0"/>
        <v>Detractor</v>
      </c>
      <c r="Q28">
        <v>11</v>
      </c>
      <c r="R28" t="s">
        <v>1035</v>
      </c>
      <c r="S28">
        <v>11</v>
      </c>
      <c r="T28" t="s">
        <v>1035</v>
      </c>
      <c r="U28" t="str">
        <f t="shared" si="1"/>
        <v>Yes</v>
      </c>
    </row>
    <row r="29" spans="1:21" x14ac:dyDescent="0.3">
      <c r="A29" t="s">
        <v>135</v>
      </c>
      <c r="B29" t="s">
        <v>27</v>
      </c>
      <c r="C29" t="s">
        <v>16</v>
      </c>
      <c r="D29" s="1">
        <v>45948</v>
      </c>
      <c r="E29" s="1">
        <v>45953</v>
      </c>
      <c r="F29" s="1">
        <v>45957</v>
      </c>
      <c r="G29" s="1">
        <v>45959</v>
      </c>
      <c r="H29" t="s">
        <v>17</v>
      </c>
      <c r="I29">
        <v>0</v>
      </c>
      <c r="J29" t="s">
        <v>18</v>
      </c>
      <c r="K29" s="1">
        <v>45970</v>
      </c>
      <c r="L29">
        <v>5</v>
      </c>
      <c r="M29">
        <v>4</v>
      </c>
      <c r="N29">
        <v>2</v>
      </c>
      <c r="O29">
        <v>3</v>
      </c>
      <c r="P29" t="str">
        <f t="shared" si="0"/>
        <v>Detractor</v>
      </c>
      <c r="Q29">
        <v>10</v>
      </c>
      <c r="R29" t="s">
        <v>1034</v>
      </c>
      <c r="S29">
        <v>10</v>
      </c>
      <c r="T29" t="s">
        <v>1034</v>
      </c>
      <c r="U29" t="str">
        <f t="shared" si="1"/>
        <v>Yes</v>
      </c>
    </row>
    <row r="30" spans="1:21" x14ac:dyDescent="0.3">
      <c r="A30" t="s">
        <v>136</v>
      </c>
      <c r="B30" t="s">
        <v>29</v>
      </c>
      <c r="C30" t="s">
        <v>16</v>
      </c>
      <c r="D30" s="1">
        <v>45955</v>
      </c>
      <c r="E30" s="1">
        <v>45960</v>
      </c>
      <c r="F30" s="1">
        <v>45962</v>
      </c>
      <c r="G30" s="1">
        <v>45968</v>
      </c>
      <c r="H30" t="s">
        <v>17</v>
      </c>
      <c r="I30">
        <v>0</v>
      </c>
      <c r="J30" t="s">
        <v>18</v>
      </c>
      <c r="K30" s="1">
        <v>45978</v>
      </c>
      <c r="L30">
        <v>5</v>
      </c>
      <c r="M30">
        <v>2</v>
      </c>
      <c r="N30">
        <v>6</v>
      </c>
      <c r="O30">
        <v>3</v>
      </c>
      <c r="P30" t="str">
        <f t="shared" si="0"/>
        <v>Detractor</v>
      </c>
      <c r="Q30">
        <v>10</v>
      </c>
      <c r="R30" t="s">
        <v>1034</v>
      </c>
      <c r="S30">
        <v>11</v>
      </c>
      <c r="T30" t="s">
        <v>1035</v>
      </c>
      <c r="U30" t="str">
        <f t="shared" si="1"/>
        <v>Yes</v>
      </c>
    </row>
    <row r="31" spans="1:21" x14ac:dyDescent="0.3">
      <c r="A31" t="s">
        <v>844</v>
      </c>
      <c r="B31" t="s">
        <v>27</v>
      </c>
      <c r="C31" t="s">
        <v>841</v>
      </c>
      <c r="D31" s="1">
        <v>45946</v>
      </c>
      <c r="E31" s="1"/>
      <c r="F31" s="1"/>
      <c r="G31" s="1"/>
      <c r="H31" t="s">
        <v>752</v>
      </c>
      <c r="I31">
        <v>1</v>
      </c>
      <c r="J31" t="s">
        <v>753</v>
      </c>
      <c r="K31" s="1"/>
      <c r="P31" t="str">
        <f t="shared" si="0"/>
        <v>Not Applicable</v>
      </c>
      <c r="R31" t="s">
        <v>1036</v>
      </c>
      <c r="T31" t="s">
        <v>1036</v>
      </c>
      <c r="U31" t="str">
        <f t="shared" si="1"/>
        <v>No</v>
      </c>
    </row>
    <row r="32" spans="1:21" x14ac:dyDescent="0.3">
      <c r="A32" t="s">
        <v>24</v>
      </c>
      <c r="B32" t="s">
        <v>15</v>
      </c>
      <c r="C32" t="s">
        <v>16</v>
      </c>
      <c r="D32" s="1">
        <v>45945</v>
      </c>
      <c r="E32" s="1">
        <v>45948</v>
      </c>
      <c r="F32" s="1">
        <v>45950</v>
      </c>
      <c r="G32" s="1">
        <v>45953</v>
      </c>
      <c r="H32" t="s">
        <v>17</v>
      </c>
      <c r="I32">
        <v>0</v>
      </c>
      <c r="J32" t="s">
        <v>18</v>
      </c>
      <c r="K32" s="1">
        <v>45967</v>
      </c>
      <c r="L32">
        <v>3</v>
      </c>
      <c r="M32">
        <v>2</v>
      </c>
      <c r="N32">
        <v>3</v>
      </c>
      <c r="O32">
        <v>3</v>
      </c>
      <c r="P32" t="str">
        <f t="shared" si="0"/>
        <v>Detractor</v>
      </c>
      <c r="Q32">
        <v>10</v>
      </c>
      <c r="R32" t="s">
        <v>1034</v>
      </c>
      <c r="S32">
        <v>10</v>
      </c>
      <c r="T32" t="s">
        <v>1034</v>
      </c>
      <c r="U32" t="str">
        <f t="shared" si="1"/>
        <v>Yes</v>
      </c>
    </row>
    <row r="33" spans="1:21" x14ac:dyDescent="0.3">
      <c r="A33" t="s">
        <v>322</v>
      </c>
      <c r="B33" t="s">
        <v>29</v>
      </c>
      <c r="C33" t="s">
        <v>16</v>
      </c>
      <c r="D33" s="1">
        <v>45944</v>
      </c>
      <c r="E33" s="1">
        <v>45945</v>
      </c>
      <c r="F33" s="1">
        <v>45946</v>
      </c>
      <c r="G33" s="1">
        <v>45950</v>
      </c>
      <c r="H33" t="s">
        <v>17</v>
      </c>
      <c r="I33">
        <v>0</v>
      </c>
      <c r="J33" t="s">
        <v>18</v>
      </c>
      <c r="K33" s="1">
        <v>45978</v>
      </c>
      <c r="L33">
        <v>1</v>
      </c>
      <c r="M33">
        <v>1</v>
      </c>
      <c r="N33">
        <v>4</v>
      </c>
      <c r="O33">
        <v>5</v>
      </c>
      <c r="P33" t="str">
        <f t="shared" si="0"/>
        <v>Detractor</v>
      </c>
      <c r="Q33">
        <v>10</v>
      </c>
      <c r="R33" t="s">
        <v>1034</v>
      </c>
      <c r="S33">
        <v>10</v>
      </c>
      <c r="T33" t="s">
        <v>1034</v>
      </c>
      <c r="U33" t="str">
        <f t="shared" si="1"/>
        <v>Yes</v>
      </c>
    </row>
    <row r="34" spans="1:21" x14ac:dyDescent="0.3">
      <c r="A34" t="s">
        <v>233</v>
      </c>
      <c r="B34" t="s">
        <v>27</v>
      </c>
      <c r="C34" t="s">
        <v>16</v>
      </c>
      <c r="D34" s="1">
        <v>45957</v>
      </c>
      <c r="E34" s="1">
        <v>45961</v>
      </c>
      <c r="F34" s="1">
        <v>45966</v>
      </c>
      <c r="G34" s="1">
        <v>45970</v>
      </c>
      <c r="H34" t="s">
        <v>17</v>
      </c>
      <c r="I34">
        <v>0</v>
      </c>
      <c r="J34" t="s">
        <v>18</v>
      </c>
      <c r="K34" s="1">
        <v>45984</v>
      </c>
      <c r="L34">
        <v>4</v>
      </c>
      <c r="M34">
        <v>5</v>
      </c>
      <c r="N34">
        <v>4</v>
      </c>
      <c r="O34">
        <v>3</v>
      </c>
      <c r="P34" t="str">
        <f t="shared" si="0"/>
        <v>Detractor</v>
      </c>
      <c r="Q34">
        <v>10</v>
      </c>
      <c r="R34" t="s">
        <v>1034</v>
      </c>
      <c r="S34">
        <v>11</v>
      </c>
      <c r="T34" t="s">
        <v>1035</v>
      </c>
      <c r="U34" t="str">
        <f t="shared" si="1"/>
        <v>Yes</v>
      </c>
    </row>
    <row r="35" spans="1:21" x14ac:dyDescent="0.3">
      <c r="A35" t="s">
        <v>25</v>
      </c>
      <c r="B35" t="s">
        <v>15</v>
      </c>
      <c r="C35" t="s">
        <v>16</v>
      </c>
      <c r="D35" s="1">
        <v>45954</v>
      </c>
      <c r="E35" s="1">
        <v>45957</v>
      </c>
      <c r="F35" s="1">
        <v>45958</v>
      </c>
      <c r="G35" s="1">
        <v>45961</v>
      </c>
      <c r="H35" t="s">
        <v>17</v>
      </c>
      <c r="I35">
        <v>0</v>
      </c>
      <c r="J35" t="s">
        <v>18</v>
      </c>
      <c r="K35" s="1">
        <v>45974</v>
      </c>
      <c r="L35">
        <v>3</v>
      </c>
      <c r="M35">
        <v>1</v>
      </c>
      <c r="N35">
        <v>3</v>
      </c>
      <c r="O35">
        <v>3</v>
      </c>
      <c r="P35" t="str">
        <f t="shared" si="0"/>
        <v>Detractor</v>
      </c>
      <c r="Q35">
        <v>10</v>
      </c>
      <c r="R35" t="s">
        <v>1034</v>
      </c>
      <c r="S35">
        <v>10</v>
      </c>
      <c r="T35" t="s">
        <v>1034</v>
      </c>
      <c r="U35" t="str">
        <f t="shared" si="1"/>
        <v>Yes</v>
      </c>
    </row>
    <row r="36" spans="1:21" x14ac:dyDescent="0.3">
      <c r="A36" t="s">
        <v>845</v>
      </c>
      <c r="B36" t="s">
        <v>29</v>
      </c>
      <c r="C36" t="s">
        <v>841</v>
      </c>
      <c r="D36" s="1">
        <v>45949</v>
      </c>
      <c r="E36" s="1"/>
      <c r="F36" s="1"/>
      <c r="G36" s="1"/>
      <c r="H36" t="s">
        <v>752</v>
      </c>
      <c r="I36">
        <v>1</v>
      </c>
      <c r="J36" t="s">
        <v>777</v>
      </c>
      <c r="K36" s="1"/>
      <c r="P36" t="str">
        <f t="shared" si="0"/>
        <v>Not Applicable</v>
      </c>
      <c r="R36" t="s">
        <v>1036</v>
      </c>
      <c r="T36" t="s">
        <v>1036</v>
      </c>
      <c r="U36" t="str">
        <f t="shared" si="1"/>
        <v>No</v>
      </c>
    </row>
    <row r="37" spans="1:21" x14ac:dyDescent="0.3">
      <c r="A37" t="s">
        <v>234</v>
      </c>
      <c r="B37" t="s">
        <v>29</v>
      </c>
      <c r="C37" t="s">
        <v>16</v>
      </c>
      <c r="D37" s="1">
        <v>45939</v>
      </c>
      <c r="E37" s="1">
        <v>45943</v>
      </c>
      <c r="F37" s="1">
        <v>45945</v>
      </c>
      <c r="G37" s="1">
        <v>45950</v>
      </c>
      <c r="H37" t="s">
        <v>17</v>
      </c>
      <c r="I37">
        <v>0</v>
      </c>
      <c r="J37" t="s">
        <v>18</v>
      </c>
      <c r="K37" s="1">
        <v>45976</v>
      </c>
      <c r="L37">
        <v>4</v>
      </c>
      <c r="M37">
        <v>2</v>
      </c>
      <c r="N37">
        <v>5</v>
      </c>
      <c r="O37">
        <v>9</v>
      </c>
      <c r="P37" t="str">
        <f t="shared" si="0"/>
        <v>Promoter</v>
      </c>
      <c r="Q37">
        <v>10</v>
      </c>
      <c r="R37" t="s">
        <v>1034</v>
      </c>
      <c r="S37">
        <v>10</v>
      </c>
      <c r="T37" t="s">
        <v>1034</v>
      </c>
      <c r="U37" t="str">
        <f t="shared" si="1"/>
        <v>Yes</v>
      </c>
    </row>
    <row r="38" spans="1:21" x14ac:dyDescent="0.3">
      <c r="A38" t="s">
        <v>755</v>
      </c>
      <c r="B38" t="s">
        <v>27</v>
      </c>
      <c r="C38" t="s">
        <v>16</v>
      </c>
      <c r="D38" s="1">
        <v>45941</v>
      </c>
      <c r="E38" s="1">
        <v>45942</v>
      </c>
      <c r="F38" s="1">
        <v>45943</v>
      </c>
      <c r="G38" s="1">
        <v>45945</v>
      </c>
      <c r="H38" t="s">
        <v>752</v>
      </c>
      <c r="I38">
        <v>1</v>
      </c>
      <c r="J38" t="s">
        <v>756</v>
      </c>
      <c r="K38" s="1"/>
      <c r="L38">
        <v>1</v>
      </c>
      <c r="M38">
        <v>1</v>
      </c>
      <c r="N38">
        <v>2</v>
      </c>
      <c r="P38" t="str">
        <f t="shared" si="0"/>
        <v>Not Applicable</v>
      </c>
      <c r="Q38">
        <v>10</v>
      </c>
      <c r="R38" t="s">
        <v>1034</v>
      </c>
      <c r="S38">
        <v>10</v>
      </c>
      <c r="T38" t="s">
        <v>1034</v>
      </c>
      <c r="U38" t="str">
        <f t="shared" si="1"/>
        <v>No</v>
      </c>
    </row>
    <row r="39" spans="1:21" x14ac:dyDescent="0.3">
      <c r="A39" t="s">
        <v>26</v>
      </c>
      <c r="B39" t="s">
        <v>27</v>
      </c>
      <c r="C39" t="s">
        <v>16</v>
      </c>
      <c r="D39" s="1">
        <v>45958</v>
      </c>
      <c r="E39" s="1">
        <v>45961</v>
      </c>
      <c r="F39" s="1">
        <v>45965</v>
      </c>
      <c r="G39" s="1">
        <v>45969</v>
      </c>
      <c r="H39" t="s">
        <v>17</v>
      </c>
      <c r="I39">
        <v>0</v>
      </c>
      <c r="J39" t="s">
        <v>18</v>
      </c>
      <c r="K39" s="1">
        <v>45990</v>
      </c>
      <c r="L39">
        <v>3</v>
      </c>
      <c r="M39">
        <v>4</v>
      </c>
      <c r="N39">
        <v>4</v>
      </c>
      <c r="O39">
        <v>2</v>
      </c>
      <c r="P39" t="str">
        <f t="shared" si="0"/>
        <v>Detractor</v>
      </c>
      <c r="Q39">
        <v>10</v>
      </c>
      <c r="R39" t="s">
        <v>1034</v>
      </c>
      <c r="S39">
        <v>11</v>
      </c>
      <c r="T39" t="s">
        <v>1035</v>
      </c>
      <c r="U39" t="str">
        <f t="shared" si="1"/>
        <v>Yes</v>
      </c>
    </row>
    <row r="40" spans="1:21" x14ac:dyDescent="0.3">
      <c r="A40" t="s">
        <v>137</v>
      </c>
      <c r="B40" t="s">
        <v>27</v>
      </c>
      <c r="C40" t="s">
        <v>16</v>
      </c>
      <c r="D40" s="1">
        <v>45938</v>
      </c>
      <c r="E40" s="1">
        <v>45943</v>
      </c>
      <c r="F40" s="1">
        <v>45946</v>
      </c>
      <c r="G40" s="1">
        <v>45953</v>
      </c>
      <c r="H40" t="s">
        <v>17</v>
      </c>
      <c r="I40">
        <v>0</v>
      </c>
      <c r="J40" t="s">
        <v>18</v>
      </c>
      <c r="K40" s="1">
        <v>45965</v>
      </c>
      <c r="L40">
        <v>5</v>
      </c>
      <c r="M40">
        <v>3</v>
      </c>
      <c r="N40">
        <v>7</v>
      </c>
      <c r="O40">
        <v>9</v>
      </c>
      <c r="P40" t="str">
        <f t="shared" si="0"/>
        <v>Promoter</v>
      </c>
      <c r="Q40">
        <v>10</v>
      </c>
      <c r="R40" t="s">
        <v>1034</v>
      </c>
      <c r="S40">
        <v>10</v>
      </c>
      <c r="T40" t="s">
        <v>1034</v>
      </c>
      <c r="U40" t="str">
        <f t="shared" si="1"/>
        <v>Yes</v>
      </c>
    </row>
    <row r="41" spans="1:21" x14ac:dyDescent="0.3">
      <c r="A41" t="s">
        <v>757</v>
      </c>
      <c r="B41" t="s">
        <v>15</v>
      </c>
      <c r="C41" t="s">
        <v>16</v>
      </c>
      <c r="D41" s="1">
        <v>45957</v>
      </c>
      <c r="E41" s="1">
        <v>45960</v>
      </c>
      <c r="F41" s="1">
        <v>45964</v>
      </c>
      <c r="G41" s="1">
        <v>45969</v>
      </c>
      <c r="H41" t="s">
        <v>752</v>
      </c>
      <c r="I41">
        <v>1</v>
      </c>
      <c r="J41" t="s">
        <v>758</v>
      </c>
      <c r="K41" s="1"/>
      <c r="L41">
        <v>3</v>
      </c>
      <c r="M41">
        <v>4</v>
      </c>
      <c r="N41">
        <v>5</v>
      </c>
      <c r="P41" t="str">
        <f t="shared" si="0"/>
        <v>Not Applicable</v>
      </c>
      <c r="Q41">
        <v>10</v>
      </c>
      <c r="R41" t="s">
        <v>1034</v>
      </c>
      <c r="S41">
        <v>11</v>
      </c>
      <c r="T41" t="s">
        <v>1035</v>
      </c>
      <c r="U41" t="str">
        <f t="shared" si="1"/>
        <v>No</v>
      </c>
    </row>
    <row r="42" spans="1:21" x14ac:dyDescent="0.3">
      <c r="A42" t="s">
        <v>846</v>
      </c>
      <c r="B42" t="s">
        <v>27</v>
      </c>
      <c r="C42" t="s">
        <v>841</v>
      </c>
      <c r="D42" s="1">
        <v>45960</v>
      </c>
      <c r="E42" s="1"/>
      <c r="F42" s="1"/>
      <c r="G42" s="1"/>
      <c r="H42" t="s">
        <v>752</v>
      </c>
      <c r="I42">
        <v>1</v>
      </c>
      <c r="J42" t="s">
        <v>777</v>
      </c>
      <c r="K42" s="1"/>
      <c r="P42" t="str">
        <f t="shared" si="0"/>
        <v>Not Applicable</v>
      </c>
      <c r="R42" t="s">
        <v>1036</v>
      </c>
      <c r="T42" t="s">
        <v>1036</v>
      </c>
      <c r="U42" t="str">
        <f t="shared" si="1"/>
        <v>No</v>
      </c>
    </row>
    <row r="43" spans="1:21" x14ac:dyDescent="0.3">
      <c r="A43" t="s">
        <v>28</v>
      </c>
      <c r="B43" t="s">
        <v>29</v>
      </c>
      <c r="C43" t="s">
        <v>16</v>
      </c>
      <c r="D43" s="1">
        <v>45933</v>
      </c>
      <c r="E43" s="1">
        <v>45936</v>
      </c>
      <c r="F43" s="1">
        <v>45938</v>
      </c>
      <c r="G43" s="1">
        <v>45944</v>
      </c>
      <c r="H43" t="s">
        <v>17</v>
      </c>
      <c r="I43">
        <v>0</v>
      </c>
      <c r="J43" t="s">
        <v>18</v>
      </c>
      <c r="K43" s="1">
        <v>45965</v>
      </c>
      <c r="L43">
        <v>3</v>
      </c>
      <c r="M43">
        <v>2</v>
      </c>
      <c r="N43">
        <v>6</v>
      </c>
      <c r="O43">
        <v>6</v>
      </c>
      <c r="P43" t="str">
        <f t="shared" si="0"/>
        <v>Detractor</v>
      </c>
      <c r="Q43">
        <v>10</v>
      </c>
      <c r="R43" t="s">
        <v>1034</v>
      </c>
      <c r="S43">
        <v>10</v>
      </c>
      <c r="T43" t="s">
        <v>1034</v>
      </c>
      <c r="U43" t="str">
        <f t="shared" si="1"/>
        <v>Yes</v>
      </c>
    </row>
    <row r="44" spans="1:21" x14ac:dyDescent="0.3">
      <c r="A44" t="s">
        <v>323</v>
      </c>
      <c r="B44" t="s">
        <v>29</v>
      </c>
      <c r="C44" t="s">
        <v>16</v>
      </c>
      <c r="D44" s="1">
        <v>45939</v>
      </c>
      <c r="E44" s="1">
        <v>45940</v>
      </c>
      <c r="F44" s="1">
        <v>45944</v>
      </c>
      <c r="G44" s="1">
        <v>45951</v>
      </c>
      <c r="H44" t="s">
        <v>17</v>
      </c>
      <c r="I44">
        <v>0</v>
      </c>
      <c r="J44" t="s">
        <v>18</v>
      </c>
      <c r="K44" s="1">
        <v>45973</v>
      </c>
      <c r="L44">
        <v>1</v>
      </c>
      <c r="M44">
        <v>4</v>
      </c>
      <c r="N44">
        <v>7</v>
      </c>
      <c r="O44">
        <v>7</v>
      </c>
      <c r="P44" t="str">
        <f t="shared" si="0"/>
        <v>Passive</v>
      </c>
      <c r="Q44">
        <v>10</v>
      </c>
      <c r="R44" t="s">
        <v>1034</v>
      </c>
      <c r="S44">
        <v>10</v>
      </c>
      <c r="T44" t="s">
        <v>1034</v>
      </c>
      <c r="U44" t="str">
        <f t="shared" si="1"/>
        <v>Yes</v>
      </c>
    </row>
    <row r="45" spans="1:21" x14ac:dyDescent="0.3">
      <c r="A45" t="s">
        <v>847</v>
      </c>
      <c r="B45" t="s">
        <v>27</v>
      </c>
      <c r="C45" t="s">
        <v>841</v>
      </c>
      <c r="D45" s="1">
        <v>45959</v>
      </c>
      <c r="E45" s="1"/>
      <c r="F45" s="1"/>
      <c r="G45" s="1"/>
      <c r="H45" t="s">
        <v>752</v>
      </c>
      <c r="I45">
        <v>1</v>
      </c>
      <c r="J45" t="s">
        <v>753</v>
      </c>
      <c r="K45" s="1"/>
      <c r="P45" t="str">
        <f t="shared" si="0"/>
        <v>Not Applicable</v>
      </c>
      <c r="R45" t="s">
        <v>1036</v>
      </c>
      <c r="T45" t="s">
        <v>1036</v>
      </c>
      <c r="U45" t="str">
        <f t="shared" si="1"/>
        <v>No</v>
      </c>
    </row>
    <row r="46" spans="1:21" x14ac:dyDescent="0.3">
      <c r="A46" t="s">
        <v>686</v>
      </c>
      <c r="B46" t="s">
        <v>27</v>
      </c>
      <c r="C46" t="s">
        <v>474</v>
      </c>
      <c r="D46" s="1">
        <v>45945</v>
      </c>
      <c r="E46" s="1">
        <v>45950</v>
      </c>
      <c r="F46" s="1">
        <v>45952</v>
      </c>
      <c r="G46" s="1">
        <v>45956</v>
      </c>
      <c r="H46" t="s">
        <v>17</v>
      </c>
      <c r="I46">
        <v>0</v>
      </c>
      <c r="J46" t="s">
        <v>18</v>
      </c>
      <c r="K46" s="1">
        <v>45984</v>
      </c>
      <c r="L46">
        <v>5</v>
      </c>
      <c r="M46">
        <v>2</v>
      </c>
      <c r="N46">
        <v>4</v>
      </c>
      <c r="O46">
        <v>8</v>
      </c>
      <c r="P46" t="str">
        <f t="shared" si="0"/>
        <v>Passive</v>
      </c>
      <c r="Q46">
        <v>10</v>
      </c>
      <c r="R46" t="s">
        <v>1034</v>
      </c>
      <c r="S46">
        <v>10</v>
      </c>
      <c r="T46" t="s">
        <v>1034</v>
      </c>
      <c r="U46" t="str">
        <f t="shared" si="1"/>
        <v>Yes</v>
      </c>
    </row>
    <row r="47" spans="1:21" x14ac:dyDescent="0.3">
      <c r="A47" t="s">
        <v>687</v>
      </c>
      <c r="B47" t="s">
        <v>22</v>
      </c>
      <c r="C47" t="s">
        <v>474</v>
      </c>
      <c r="D47" s="1">
        <v>45938</v>
      </c>
      <c r="E47" s="1">
        <v>45943</v>
      </c>
      <c r="F47" s="1">
        <v>45947</v>
      </c>
      <c r="G47" s="1">
        <v>45953</v>
      </c>
      <c r="H47" t="s">
        <v>17</v>
      </c>
      <c r="I47">
        <v>0</v>
      </c>
      <c r="J47" t="s">
        <v>18</v>
      </c>
      <c r="K47" s="1">
        <v>45966</v>
      </c>
      <c r="L47">
        <v>5</v>
      </c>
      <c r="M47">
        <v>4</v>
      </c>
      <c r="N47">
        <v>6</v>
      </c>
      <c r="O47">
        <v>3</v>
      </c>
      <c r="P47" t="str">
        <f t="shared" si="0"/>
        <v>Detractor</v>
      </c>
      <c r="Q47">
        <v>10</v>
      </c>
      <c r="R47" t="s">
        <v>1034</v>
      </c>
      <c r="S47">
        <v>10</v>
      </c>
      <c r="T47" t="s">
        <v>1034</v>
      </c>
      <c r="U47" t="str">
        <f t="shared" si="1"/>
        <v>Yes</v>
      </c>
    </row>
    <row r="48" spans="1:21" x14ac:dyDescent="0.3">
      <c r="A48" t="s">
        <v>399</v>
      </c>
      <c r="B48" t="s">
        <v>29</v>
      </c>
      <c r="C48" t="s">
        <v>16</v>
      </c>
      <c r="D48" s="1">
        <v>45955</v>
      </c>
      <c r="E48" s="1">
        <v>45957</v>
      </c>
      <c r="F48" s="1">
        <v>45962</v>
      </c>
      <c r="G48" s="1">
        <v>45967</v>
      </c>
      <c r="H48" t="s">
        <v>17</v>
      </c>
      <c r="I48">
        <v>0</v>
      </c>
      <c r="J48" t="s">
        <v>18</v>
      </c>
      <c r="K48" s="1">
        <v>45987</v>
      </c>
      <c r="L48">
        <v>2</v>
      </c>
      <c r="M48">
        <v>5</v>
      </c>
      <c r="N48">
        <v>5</v>
      </c>
      <c r="O48">
        <v>5</v>
      </c>
      <c r="P48" t="str">
        <f t="shared" si="0"/>
        <v>Detractor</v>
      </c>
      <c r="Q48">
        <v>10</v>
      </c>
      <c r="R48" t="s">
        <v>1034</v>
      </c>
      <c r="S48">
        <v>11</v>
      </c>
      <c r="T48" t="s">
        <v>1035</v>
      </c>
      <c r="U48" t="str">
        <f t="shared" si="1"/>
        <v>Yes</v>
      </c>
    </row>
    <row r="49" spans="1:21" x14ac:dyDescent="0.3">
      <c r="A49" t="s">
        <v>848</v>
      </c>
      <c r="B49" t="s">
        <v>15</v>
      </c>
      <c r="C49" t="s">
        <v>841</v>
      </c>
      <c r="D49" s="1">
        <v>45945</v>
      </c>
      <c r="E49" s="1"/>
      <c r="F49" s="1"/>
      <c r="G49" s="1"/>
      <c r="H49" t="s">
        <v>752</v>
      </c>
      <c r="I49">
        <v>1</v>
      </c>
      <c r="J49" t="s">
        <v>777</v>
      </c>
      <c r="K49" s="1"/>
      <c r="P49" t="str">
        <f t="shared" si="0"/>
        <v>Not Applicable</v>
      </c>
      <c r="R49" t="s">
        <v>1036</v>
      </c>
      <c r="T49" t="s">
        <v>1036</v>
      </c>
      <c r="U49" t="str">
        <f t="shared" si="1"/>
        <v>No</v>
      </c>
    </row>
    <row r="50" spans="1:21" x14ac:dyDescent="0.3">
      <c r="A50" t="s">
        <v>479</v>
      </c>
      <c r="B50" t="s">
        <v>22</v>
      </c>
      <c r="C50" t="s">
        <v>474</v>
      </c>
      <c r="D50" s="1">
        <v>45949</v>
      </c>
      <c r="E50" s="1">
        <v>45951</v>
      </c>
      <c r="F50" s="1">
        <v>45956</v>
      </c>
      <c r="G50" s="1">
        <v>45962</v>
      </c>
      <c r="H50" t="s">
        <v>17</v>
      </c>
      <c r="I50">
        <v>0</v>
      </c>
      <c r="J50" t="s">
        <v>18</v>
      </c>
      <c r="K50" s="1">
        <v>45981</v>
      </c>
      <c r="L50">
        <v>2</v>
      </c>
      <c r="M50">
        <v>5</v>
      </c>
      <c r="N50">
        <v>6</v>
      </c>
      <c r="O50">
        <v>0</v>
      </c>
      <c r="P50" t="str">
        <f t="shared" si="0"/>
        <v>Detractor</v>
      </c>
      <c r="Q50">
        <v>10</v>
      </c>
      <c r="R50" t="s">
        <v>1034</v>
      </c>
      <c r="S50">
        <v>11</v>
      </c>
      <c r="T50" t="s">
        <v>1035</v>
      </c>
      <c r="U50" t="str">
        <f t="shared" si="1"/>
        <v>Yes</v>
      </c>
    </row>
    <row r="51" spans="1:21" x14ac:dyDescent="0.3">
      <c r="A51" t="s">
        <v>480</v>
      </c>
      <c r="B51" t="s">
        <v>27</v>
      </c>
      <c r="C51" t="s">
        <v>474</v>
      </c>
      <c r="D51" s="1">
        <v>45950</v>
      </c>
      <c r="E51" s="1">
        <v>45954</v>
      </c>
      <c r="F51" s="1">
        <v>45958</v>
      </c>
      <c r="G51" s="1">
        <v>45963</v>
      </c>
      <c r="H51" t="s">
        <v>17</v>
      </c>
      <c r="I51">
        <v>0</v>
      </c>
      <c r="J51" t="s">
        <v>18</v>
      </c>
      <c r="K51" s="1">
        <v>45983</v>
      </c>
      <c r="L51">
        <v>4</v>
      </c>
      <c r="M51">
        <v>4</v>
      </c>
      <c r="N51">
        <v>5</v>
      </c>
      <c r="O51">
        <v>6</v>
      </c>
      <c r="P51" t="str">
        <f t="shared" si="0"/>
        <v>Detractor</v>
      </c>
      <c r="Q51">
        <v>10</v>
      </c>
      <c r="R51" t="s">
        <v>1034</v>
      </c>
      <c r="S51">
        <v>11</v>
      </c>
      <c r="T51" t="s">
        <v>1035</v>
      </c>
      <c r="U51" t="str">
        <f t="shared" si="1"/>
        <v>Yes</v>
      </c>
    </row>
    <row r="52" spans="1:21" x14ac:dyDescent="0.3">
      <c r="A52" t="s">
        <v>481</v>
      </c>
      <c r="B52" t="s">
        <v>27</v>
      </c>
      <c r="C52" t="s">
        <v>474</v>
      </c>
      <c r="D52" s="1">
        <v>45952</v>
      </c>
      <c r="E52" s="1">
        <v>45954</v>
      </c>
      <c r="F52" s="1">
        <v>45955</v>
      </c>
      <c r="G52" s="1">
        <v>45961</v>
      </c>
      <c r="H52" t="s">
        <v>17</v>
      </c>
      <c r="I52">
        <v>0</v>
      </c>
      <c r="J52" t="s">
        <v>18</v>
      </c>
      <c r="K52" s="1">
        <v>45975</v>
      </c>
      <c r="L52">
        <v>2</v>
      </c>
      <c r="M52">
        <v>1</v>
      </c>
      <c r="N52">
        <v>6</v>
      </c>
      <c r="O52">
        <v>6</v>
      </c>
      <c r="P52" t="str">
        <f t="shared" si="0"/>
        <v>Detractor</v>
      </c>
      <c r="Q52">
        <v>10</v>
      </c>
      <c r="R52" t="s">
        <v>1034</v>
      </c>
      <c r="S52">
        <v>10</v>
      </c>
      <c r="T52" t="s">
        <v>1034</v>
      </c>
      <c r="U52" t="str">
        <f t="shared" si="1"/>
        <v>Yes</v>
      </c>
    </row>
    <row r="53" spans="1:21" x14ac:dyDescent="0.3">
      <c r="A53" t="s">
        <v>482</v>
      </c>
      <c r="B53" t="s">
        <v>29</v>
      </c>
      <c r="C53" t="s">
        <v>474</v>
      </c>
      <c r="D53" s="1">
        <v>45943</v>
      </c>
      <c r="E53" s="1">
        <v>45944</v>
      </c>
      <c r="F53" s="1">
        <v>45946</v>
      </c>
      <c r="G53" s="1">
        <v>45948</v>
      </c>
      <c r="H53" t="s">
        <v>17</v>
      </c>
      <c r="I53">
        <v>0</v>
      </c>
      <c r="J53" t="s">
        <v>18</v>
      </c>
      <c r="K53" s="1">
        <v>45963</v>
      </c>
      <c r="L53">
        <v>1</v>
      </c>
      <c r="M53">
        <v>2</v>
      </c>
      <c r="N53">
        <v>2</v>
      </c>
      <c r="O53">
        <v>6</v>
      </c>
      <c r="P53" t="str">
        <f t="shared" si="0"/>
        <v>Detractor</v>
      </c>
      <c r="Q53">
        <v>10</v>
      </c>
      <c r="R53" t="s">
        <v>1034</v>
      </c>
      <c r="S53">
        <v>10</v>
      </c>
      <c r="T53" t="s">
        <v>1034</v>
      </c>
      <c r="U53" t="str">
        <f t="shared" si="1"/>
        <v>Yes</v>
      </c>
    </row>
    <row r="54" spans="1:21" x14ac:dyDescent="0.3">
      <c r="A54" t="s">
        <v>483</v>
      </c>
      <c r="B54" t="s">
        <v>27</v>
      </c>
      <c r="C54" t="s">
        <v>474</v>
      </c>
      <c r="D54" s="1">
        <v>45941</v>
      </c>
      <c r="E54" s="1">
        <v>45944</v>
      </c>
      <c r="F54" s="1">
        <v>45949</v>
      </c>
      <c r="G54" s="1">
        <v>45953</v>
      </c>
      <c r="H54" t="s">
        <v>17</v>
      </c>
      <c r="I54">
        <v>0</v>
      </c>
      <c r="J54" t="s">
        <v>18</v>
      </c>
      <c r="K54" s="1">
        <v>45976</v>
      </c>
      <c r="L54">
        <v>3</v>
      </c>
      <c r="M54">
        <v>5</v>
      </c>
      <c r="N54">
        <v>4</v>
      </c>
      <c r="O54">
        <v>4</v>
      </c>
      <c r="P54" t="str">
        <f t="shared" si="0"/>
        <v>Detractor</v>
      </c>
      <c r="Q54">
        <v>10</v>
      </c>
      <c r="R54" t="s">
        <v>1034</v>
      </c>
      <c r="S54">
        <v>10</v>
      </c>
      <c r="T54" t="s">
        <v>1034</v>
      </c>
      <c r="U54" t="str">
        <f t="shared" si="1"/>
        <v>Yes</v>
      </c>
    </row>
    <row r="55" spans="1:21" x14ac:dyDescent="0.3">
      <c r="A55" t="s">
        <v>138</v>
      </c>
      <c r="B55" t="s">
        <v>15</v>
      </c>
      <c r="C55" t="s">
        <v>16</v>
      </c>
      <c r="D55" s="1">
        <v>45931</v>
      </c>
      <c r="E55" s="1">
        <v>45936</v>
      </c>
      <c r="F55" s="1">
        <v>45938</v>
      </c>
      <c r="G55" s="1">
        <v>45942</v>
      </c>
      <c r="H55" t="s">
        <v>17</v>
      </c>
      <c r="I55">
        <v>0</v>
      </c>
      <c r="J55" t="s">
        <v>18</v>
      </c>
      <c r="K55" s="1">
        <v>45972</v>
      </c>
      <c r="L55">
        <v>5</v>
      </c>
      <c r="M55">
        <v>2</v>
      </c>
      <c r="N55">
        <v>4</v>
      </c>
      <c r="O55">
        <v>4</v>
      </c>
      <c r="P55" t="str">
        <f t="shared" si="0"/>
        <v>Detractor</v>
      </c>
      <c r="Q55">
        <v>10</v>
      </c>
      <c r="R55" t="s">
        <v>1034</v>
      </c>
      <c r="S55">
        <v>10</v>
      </c>
      <c r="T55" t="s">
        <v>1034</v>
      </c>
      <c r="U55" t="str">
        <f t="shared" si="1"/>
        <v>Yes</v>
      </c>
    </row>
    <row r="56" spans="1:21" x14ac:dyDescent="0.3">
      <c r="A56" t="s">
        <v>30</v>
      </c>
      <c r="B56" t="s">
        <v>29</v>
      </c>
      <c r="C56" t="s">
        <v>16</v>
      </c>
      <c r="D56" s="1">
        <v>45946</v>
      </c>
      <c r="E56" s="1">
        <v>45949</v>
      </c>
      <c r="F56" s="1">
        <v>45954</v>
      </c>
      <c r="G56" s="1">
        <v>45959</v>
      </c>
      <c r="H56" t="s">
        <v>17</v>
      </c>
      <c r="I56">
        <v>0</v>
      </c>
      <c r="J56" t="s">
        <v>18</v>
      </c>
      <c r="K56" s="1">
        <v>45984</v>
      </c>
      <c r="L56">
        <v>3</v>
      </c>
      <c r="M56">
        <v>5</v>
      </c>
      <c r="N56">
        <v>5</v>
      </c>
      <c r="O56">
        <v>8</v>
      </c>
      <c r="P56" t="str">
        <f t="shared" si="0"/>
        <v>Passive</v>
      </c>
      <c r="Q56">
        <v>10</v>
      </c>
      <c r="R56" t="s">
        <v>1034</v>
      </c>
      <c r="S56">
        <v>10</v>
      </c>
      <c r="T56" t="s">
        <v>1034</v>
      </c>
      <c r="U56" t="str">
        <f t="shared" si="1"/>
        <v>Yes</v>
      </c>
    </row>
    <row r="57" spans="1:21" x14ac:dyDescent="0.3">
      <c r="A57" t="s">
        <v>484</v>
      </c>
      <c r="B57" t="s">
        <v>27</v>
      </c>
      <c r="C57" t="s">
        <v>474</v>
      </c>
      <c r="D57" s="1">
        <v>45958</v>
      </c>
      <c r="E57" s="1">
        <v>45959</v>
      </c>
      <c r="F57" s="1">
        <v>45962</v>
      </c>
      <c r="G57" s="1">
        <v>45968</v>
      </c>
      <c r="H57" t="s">
        <v>17</v>
      </c>
      <c r="I57">
        <v>0</v>
      </c>
      <c r="J57" t="s">
        <v>18</v>
      </c>
      <c r="K57" s="1">
        <v>45998</v>
      </c>
      <c r="L57">
        <v>1</v>
      </c>
      <c r="M57">
        <v>3</v>
      </c>
      <c r="N57">
        <v>6</v>
      </c>
      <c r="O57">
        <v>3</v>
      </c>
      <c r="P57" t="str">
        <f t="shared" si="0"/>
        <v>Detractor</v>
      </c>
      <c r="Q57">
        <v>10</v>
      </c>
      <c r="R57" t="s">
        <v>1034</v>
      </c>
      <c r="S57">
        <v>11</v>
      </c>
      <c r="T57" t="s">
        <v>1035</v>
      </c>
      <c r="U57" t="str">
        <f t="shared" si="1"/>
        <v>Yes</v>
      </c>
    </row>
    <row r="58" spans="1:21" x14ac:dyDescent="0.3">
      <c r="A58" t="s">
        <v>31</v>
      </c>
      <c r="B58" t="s">
        <v>29</v>
      </c>
      <c r="C58" t="s">
        <v>16</v>
      </c>
      <c r="D58" s="1">
        <v>45941</v>
      </c>
      <c r="E58" s="1">
        <v>45944</v>
      </c>
      <c r="F58" s="1">
        <v>45948</v>
      </c>
      <c r="G58" s="1">
        <v>45951</v>
      </c>
      <c r="H58" t="s">
        <v>17</v>
      </c>
      <c r="I58">
        <v>0</v>
      </c>
      <c r="J58" t="s">
        <v>18</v>
      </c>
      <c r="K58" s="1">
        <v>45971</v>
      </c>
      <c r="L58">
        <v>3</v>
      </c>
      <c r="M58">
        <v>4</v>
      </c>
      <c r="N58">
        <v>3</v>
      </c>
      <c r="O58">
        <v>6</v>
      </c>
      <c r="P58" t="str">
        <f t="shared" si="0"/>
        <v>Detractor</v>
      </c>
      <c r="Q58">
        <v>10</v>
      </c>
      <c r="R58" t="s">
        <v>1034</v>
      </c>
      <c r="S58">
        <v>10</v>
      </c>
      <c r="T58" t="s">
        <v>1034</v>
      </c>
      <c r="U58" t="str">
        <f t="shared" si="1"/>
        <v>Yes</v>
      </c>
    </row>
    <row r="59" spans="1:21" x14ac:dyDescent="0.3">
      <c r="A59" t="s">
        <v>688</v>
      </c>
      <c r="B59" t="s">
        <v>27</v>
      </c>
      <c r="C59" t="s">
        <v>474</v>
      </c>
      <c r="D59" s="1">
        <v>45936</v>
      </c>
      <c r="E59" s="1">
        <v>45941</v>
      </c>
      <c r="F59" s="1">
        <v>45946</v>
      </c>
      <c r="G59" s="1">
        <v>45953</v>
      </c>
      <c r="H59" t="s">
        <v>17</v>
      </c>
      <c r="I59">
        <v>0</v>
      </c>
      <c r="J59" t="s">
        <v>18</v>
      </c>
      <c r="K59" s="1">
        <v>45968</v>
      </c>
      <c r="L59">
        <v>5</v>
      </c>
      <c r="M59">
        <v>5</v>
      </c>
      <c r="N59">
        <v>7</v>
      </c>
      <c r="O59">
        <v>1</v>
      </c>
      <c r="P59" t="str">
        <f t="shared" si="0"/>
        <v>Detractor</v>
      </c>
      <c r="Q59">
        <v>10</v>
      </c>
      <c r="R59" t="s">
        <v>1034</v>
      </c>
      <c r="S59">
        <v>10</v>
      </c>
      <c r="T59" t="s">
        <v>1034</v>
      </c>
      <c r="U59" t="str">
        <f t="shared" si="1"/>
        <v>Yes</v>
      </c>
    </row>
    <row r="60" spans="1:21" x14ac:dyDescent="0.3">
      <c r="A60" t="s">
        <v>759</v>
      </c>
      <c r="B60" t="s">
        <v>27</v>
      </c>
      <c r="C60" t="s">
        <v>16</v>
      </c>
      <c r="D60" s="1">
        <v>45946</v>
      </c>
      <c r="E60" s="1">
        <v>45948</v>
      </c>
      <c r="F60" s="1">
        <v>45952</v>
      </c>
      <c r="G60" s="1">
        <v>45959</v>
      </c>
      <c r="H60" t="s">
        <v>752</v>
      </c>
      <c r="I60">
        <v>1</v>
      </c>
      <c r="J60" t="s">
        <v>756</v>
      </c>
      <c r="K60" s="1"/>
      <c r="L60">
        <v>2</v>
      </c>
      <c r="M60">
        <v>4</v>
      </c>
      <c r="N60">
        <v>7</v>
      </c>
      <c r="P60" t="str">
        <f t="shared" si="0"/>
        <v>Not Applicable</v>
      </c>
      <c r="Q60">
        <v>10</v>
      </c>
      <c r="R60" t="s">
        <v>1034</v>
      </c>
      <c r="S60">
        <v>10</v>
      </c>
      <c r="T60" t="s">
        <v>1034</v>
      </c>
      <c r="U60" t="str">
        <f t="shared" si="1"/>
        <v>No</v>
      </c>
    </row>
    <row r="61" spans="1:21" x14ac:dyDescent="0.3">
      <c r="A61" t="s">
        <v>235</v>
      </c>
      <c r="B61" t="s">
        <v>27</v>
      </c>
      <c r="C61" t="s">
        <v>16</v>
      </c>
      <c r="D61" s="1">
        <v>45937</v>
      </c>
      <c r="E61" s="1">
        <v>45941</v>
      </c>
      <c r="F61" s="1">
        <v>45944</v>
      </c>
      <c r="G61" s="1">
        <v>45948</v>
      </c>
      <c r="H61" t="s">
        <v>17</v>
      </c>
      <c r="I61">
        <v>0</v>
      </c>
      <c r="J61" t="s">
        <v>18</v>
      </c>
      <c r="K61" s="1">
        <v>45975</v>
      </c>
      <c r="L61">
        <v>4</v>
      </c>
      <c r="M61">
        <v>3</v>
      </c>
      <c r="N61">
        <v>4</v>
      </c>
      <c r="O61">
        <v>2</v>
      </c>
      <c r="P61" t="str">
        <f t="shared" si="0"/>
        <v>Detractor</v>
      </c>
      <c r="Q61">
        <v>10</v>
      </c>
      <c r="R61" t="s">
        <v>1034</v>
      </c>
      <c r="S61">
        <v>10</v>
      </c>
      <c r="T61" t="s">
        <v>1034</v>
      </c>
      <c r="U61" t="str">
        <f t="shared" si="1"/>
        <v>Yes</v>
      </c>
    </row>
    <row r="62" spans="1:21" x14ac:dyDescent="0.3">
      <c r="A62" t="s">
        <v>139</v>
      </c>
      <c r="B62" t="s">
        <v>15</v>
      </c>
      <c r="C62" t="s">
        <v>16</v>
      </c>
      <c r="D62" s="1">
        <v>45942</v>
      </c>
      <c r="E62" s="1">
        <v>45947</v>
      </c>
      <c r="F62" s="1">
        <v>45949</v>
      </c>
      <c r="G62" s="1">
        <v>45955</v>
      </c>
      <c r="H62" t="s">
        <v>17</v>
      </c>
      <c r="I62">
        <v>0</v>
      </c>
      <c r="J62" t="s">
        <v>18</v>
      </c>
      <c r="K62" s="1">
        <v>45984</v>
      </c>
      <c r="L62">
        <v>5</v>
      </c>
      <c r="M62">
        <v>2</v>
      </c>
      <c r="N62">
        <v>6</v>
      </c>
      <c r="O62">
        <v>7</v>
      </c>
      <c r="P62" t="str">
        <f t="shared" si="0"/>
        <v>Passive</v>
      </c>
      <c r="Q62">
        <v>10</v>
      </c>
      <c r="R62" t="s">
        <v>1034</v>
      </c>
      <c r="S62">
        <v>10</v>
      </c>
      <c r="T62" t="s">
        <v>1034</v>
      </c>
      <c r="U62" t="str">
        <f t="shared" si="1"/>
        <v>Yes</v>
      </c>
    </row>
    <row r="63" spans="1:21" x14ac:dyDescent="0.3">
      <c r="A63" t="s">
        <v>689</v>
      </c>
      <c r="B63" t="s">
        <v>15</v>
      </c>
      <c r="C63" t="s">
        <v>474</v>
      </c>
      <c r="D63" s="1">
        <v>45956</v>
      </c>
      <c r="E63" s="1">
        <v>45961</v>
      </c>
      <c r="F63" s="1">
        <v>45965</v>
      </c>
      <c r="G63" s="1">
        <v>45971</v>
      </c>
      <c r="H63" t="s">
        <v>17</v>
      </c>
      <c r="I63">
        <v>0</v>
      </c>
      <c r="J63" t="s">
        <v>18</v>
      </c>
      <c r="K63" s="1">
        <v>45992</v>
      </c>
      <c r="L63">
        <v>5</v>
      </c>
      <c r="M63">
        <v>4</v>
      </c>
      <c r="N63">
        <v>6</v>
      </c>
      <c r="O63">
        <v>9</v>
      </c>
      <c r="P63" t="str">
        <f t="shared" si="0"/>
        <v>Promoter</v>
      </c>
      <c r="Q63">
        <v>10</v>
      </c>
      <c r="R63" t="s">
        <v>1034</v>
      </c>
      <c r="S63">
        <v>11</v>
      </c>
      <c r="T63" t="s">
        <v>1035</v>
      </c>
      <c r="U63" t="str">
        <f t="shared" si="1"/>
        <v>Yes</v>
      </c>
    </row>
    <row r="64" spans="1:21" x14ac:dyDescent="0.3">
      <c r="A64" t="s">
        <v>140</v>
      </c>
      <c r="B64" t="s">
        <v>29</v>
      </c>
      <c r="C64" t="s">
        <v>16</v>
      </c>
      <c r="D64" s="1">
        <v>45939</v>
      </c>
      <c r="E64" s="1">
        <v>45944</v>
      </c>
      <c r="F64" s="1">
        <v>45949</v>
      </c>
      <c r="G64" s="1">
        <v>45951</v>
      </c>
      <c r="H64" t="s">
        <v>17</v>
      </c>
      <c r="I64">
        <v>0</v>
      </c>
      <c r="J64" t="s">
        <v>18</v>
      </c>
      <c r="K64" s="1">
        <v>45968</v>
      </c>
      <c r="L64">
        <v>5</v>
      </c>
      <c r="M64">
        <v>5</v>
      </c>
      <c r="N64">
        <v>2</v>
      </c>
      <c r="O64">
        <v>3</v>
      </c>
      <c r="P64" t="str">
        <f t="shared" si="0"/>
        <v>Detractor</v>
      </c>
      <c r="Q64">
        <v>10</v>
      </c>
      <c r="R64" t="s">
        <v>1034</v>
      </c>
      <c r="S64">
        <v>10</v>
      </c>
      <c r="T64" t="s">
        <v>1034</v>
      </c>
      <c r="U64" t="str">
        <f t="shared" si="1"/>
        <v>Yes</v>
      </c>
    </row>
    <row r="65" spans="1:21" x14ac:dyDescent="0.3">
      <c r="A65" t="s">
        <v>690</v>
      </c>
      <c r="B65" t="s">
        <v>27</v>
      </c>
      <c r="C65" t="s">
        <v>474</v>
      </c>
      <c r="D65" s="1">
        <v>45941</v>
      </c>
      <c r="E65" s="1">
        <v>45946</v>
      </c>
      <c r="F65" s="1">
        <v>45949</v>
      </c>
      <c r="G65" s="1">
        <v>45956</v>
      </c>
      <c r="H65" t="s">
        <v>17</v>
      </c>
      <c r="I65">
        <v>0</v>
      </c>
      <c r="J65" t="s">
        <v>18</v>
      </c>
      <c r="K65" s="1">
        <v>45984</v>
      </c>
      <c r="L65">
        <v>5</v>
      </c>
      <c r="M65">
        <v>3</v>
      </c>
      <c r="N65">
        <v>7</v>
      </c>
      <c r="O65">
        <v>3</v>
      </c>
      <c r="P65" t="str">
        <f t="shared" si="0"/>
        <v>Detractor</v>
      </c>
      <c r="Q65">
        <v>10</v>
      </c>
      <c r="R65" t="s">
        <v>1034</v>
      </c>
      <c r="S65">
        <v>10</v>
      </c>
      <c r="T65" t="s">
        <v>1034</v>
      </c>
      <c r="U65" t="str">
        <f t="shared" si="1"/>
        <v>Yes</v>
      </c>
    </row>
    <row r="66" spans="1:21" x14ac:dyDescent="0.3">
      <c r="A66" t="s">
        <v>849</v>
      </c>
      <c r="B66" t="s">
        <v>27</v>
      </c>
      <c r="C66" t="s">
        <v>841</v>
      </c>
      <c r="D66" s="1">
        <v>45939</v>
      </c>
      <c r="E66" s="1"/>
      <c r="F66" s="1"/>
      <c r="G66" s="1"/>
      <c r="H66" t="s">
        <v>752</v>
      </c>
      <c r="I66">
        <v>1</v>
      </c>
      <c r="J66" t="s">
        <v>758</v>
      </c>
      <c r="K66" s="1"/>
      <c r="P66" t="str">
        <f t="shared" ref="P66:P129" si="2">IF(ISBLANK(O66), "Not Applicable", IF(O66&gt;=9, "Promoter", IF(O66&gt;=7, "Passive", "Detractor")))</f>
        <v>Not Applicable</v>
      </c>
      <c r="R66" t="s">
        <v>1036</v>
      </c>
      <c r="T66" t="s">
        <v>1036</v>
      </c>
      <c r="U66" t="str">
        <f t="shared" ref="U66:U129" si="3">IF(
H66="Yes","No",
IF(
OR(
C66="Hot",
AND(C66="Warm",NOT(ISBLANK(E66)))
),
"Yes",
"No"
)
)</f>
        <v>No</v>
      </c>
    </row>
    <row r="67" spans="1:21" x14ac:dyDescent="0.3">
      <c r="A67" t="s">
        <v>324</v>
      </c>
      <c r="B67" t="s">
        <v>15</v>
      </c>
      <c r="C67" t="s">
        <v>16</v>
      </c>
      <c r="D67" s="1">
        <v>45959</v>
      </c>
      <c r="E67" s="1">
        <v>45960</v>
      </c>
      <c r="F67" s="1">
        <v>45965</v>
      </c>
      <c r="G67" s="1">
        <v>45968</v>
      </c>
      <c r="H67" t="s">
        <v>17</v>
      </c>
      <c r="I67">
        <v>0</v>
      </c>
      <c r="J67" t="s">
        <v>18</v>
      </c>
      <c r="K67" s="1">
        <v>45983</v>
      </c>
      <c r="L67">
        <v>1</v>
      </c>
      <c r="M67">
        <v>5</v>
      </c>
      <c r="N67">
        <v>3</v>
      </c>
      <c r="O67">
        <v>10</v>
      </c>
      <c r="P67" t="str">
        <f t="shared" si="2"/>
        <v>Promoter</v>
      </c>
      <c r="Q67">
        <v>10</v>
      </c>
      <c r="R67" t="s">
        <v>1034</v>
      </c>
      <c r="S67">
        <v>11</v>
      </c>
      <c r="T67" t="s">
        <v>1035</v>
      </c>
      <c r="U67" t="str">
        <f t="shared" si="3"/>
        <v>Yes</v>
      </c>
    </row>
    <row r="68" spans="1:21" x14ac:dyDescent="0.3">
      <c r="A68" t="s">
        <v>141</v>
      </c>
      <c r="B68" t="s">
        <v>27</v>
      </c>
      <c r="C68" t="s">
        <v>16</v>
      </c>
      <c r="D68" s="1">
        <v>45950</v>
      </c>
      <c r="E68" s="1">
        <v>45955</v>
      </c>
      <c r="F68" s="1">
        <v>45958</v>
      </c>
      <c r="G68" s="1">
        <v>45962</v>
      </c>
      <c r="H68" t="s">
        <v>17</v>
      </c>
      <c r="I68">
        <v>0</v>
      </c>
      <c r="J68" t="s">
        <v>18</v>
      </c>
      <c r="K68" s="1">
        <v>45984</v>
      </c>
      <c r="L68">
        <v>5</v>
      </c>
      <c r="M68">
        <v>3</v>
      </c>
      <c r="N68">
        <v>4</v>
      </c>
      <c r="O68">
        <v>4</v>
      </c>
      <c r="P68" t="str">
        <f t="shared" si="2"/>
        <v>Detractor</v>
      </c>
      <c r="Q68">
        <v>10</v>
      </c>
      <c r="R68" t="s">
        <v>1034</v>
      </c>
      <c r="S68">
        <v>11</v>
      </c>
      <c r="T68" t="s">
        <v>1035</v>
      </c>
      <c r="U68" t="str">
        <f t="shared" si="3"/>
        <v>Yes</v>
      </c>
    </row>
    <row r="69" spans="1:21" x14ac:dyDescent="0.3">
      <c r="A69" t="s">
        <v>485</v>
      </c>
      <c r="B69" t="s">
        <v>15</v>
      </c>
      <c r="C69" t="s">
        <v>474</v>
      </c>
      <c r="D69" s="1">
        <v>45953</v>
      </c>
      <c r="E69" s="1">
        <v>45956</v>
      </c>
      <c r="F69" s="1">
        <v>45959</v>
      </c>
      <c r="G69" s="1">
        <v>45961</v>
      </c>
      <c r="H69" t="s">
        <v>17</v>
      </c>
      <c r="I69">
        <v>0</v>
      </c>
      <c r="J69" t="s">
        <v>18</v>
      </c>
      <c r="K69" s="1">
        <v>45980</v>
      </c>
      <c r="L69">
        <v>3</v>
      </c>
      <c r="M69">
        <v>3</v>
      </c>
      <c r="N69">
        <v>2</v>
      </c>
      <c r="O69">
        <v>5</v>
      </c>
      <c r="P69" t="str">
        <f t="shared" si="2"/>
        <v>Detractor</v>
      </c>
      <c r="Q69">
        <v>10</v>
      </c>
      <c r="R69" t="s">
        <v>1034</v>
      </c>
      <c r="S69">
        <v>10</v>
      </c>
      <c r="T69" t="s">
        <v>1034</v>
      </c>
      <c r="U69" t="str">
        <f t="shared" si="3"/>
        <v>Yes</v>
      </c>
    </row>
    <row r="70" spans="1:21" x14ac:dyDescent="0.3">
      <c r="A70" t="s">
        <v>850</v>
      </c>
      <c r="B70" t="s">
        <v>27</v>
      </c>
      <c r="C70" t="s">
        <v>841</v>
      </c>
      <c r="D70" s="1">
        <v>45959</v>
      </c>
      <c r="E70" s="1"/>
      <c r="F70" s="1"/>
      <c r="G70" s="1"/>
      <c r="H70" t="s">
        <v>752</v>
      </c>
      <c r="I70">
        <v>1</v>
      </c>
      <c r="J70" t="s">
        <v>756</v>
      </c>
      <c r="K70" s="1"/>
      <c r="P70" t="str">
        <f t="shared" si="2"/>
        <v>Not Applicable</v>
      </c>
      <c r="R70" t="s">
        <v>1036</v>
      </c>
      <c r="T70" t="s">
        <v>1036</v>
      </c>
      <c r="U70" t="str">
        <f t="shared" si="3"/>
        <v>No</v>
      </c>
    </row>
    <row r="71" spans="1:21" x14ac:dyDescent="0.3">
      <c r="A71" t="s">
        <v>486</v>
      </c>
      <c r="B71" t="s">
        <v>29</v>
      </c>
      <c r="C71" t="s">
        <v>474</v>
      </c>
      <c r="D71" s="1">
        <v>45939</v>
      </c>
      <c r="E71" s="1">
        <v>45940</v>
      </c>
      <c r="F71" s="1">
        <v>45945</v>
      </c>
      <c r="G71" s="1">
        <v>45948</v>
      </c>
      <c r="H71" t="s">
        <v>17</v>
      </c>
      <c r="I71">
        <v>0</v>
      </c>
      <c r="J71" t="s">
        <v>18</v>
      </c>
      <c r="K71" s="1">
        <v>45967</v>
      </c>
      <c r="L71">
        <v>1</v>
      </c>
      <c r="M71">
        <v>5</v>
      </c>
      <c r="N71">
        <v>3</v>
      </c>
      <c r="O71">
        <v>1</v>
      </c>
      <c r="P71" t="str">
        <f t="shared" si="2"/>
        <v>Detractor</v>
      </c>
      <c r="Q71">
        <v>10</v>
      </c>
      <c r="R71" t="s">
        <v>1034</v>
      </c>
      <c r="S71">
        <v>10</v>
      </c>
      <c r="T71" t="s">
        <v>1034</v>
      </c>
      <c r="U71" t="str">
        <f t="shared" si="3"/>
        <v>Yes</v>
      </c>
    </row>
    <row r="72" spans="1:21" x14ac:dyDescent="0.3">
      <c r="A72" t="s">
        <v>487</v>
      </c>
      <c r="B72" t="s">
        <v>27</v>
      </c>
      <c r="C72" t="s">
        <v>474</v>
      </c>
      <c r="D72" s="1">
        <v>45948</v>
      </c>
      <c r="E72" s="1">
        <v>45950</v>
      </c>
      <c r="F72" s="1">
        <v>45954</v>
      </c>
      <c r="G72" s="1">
        <v>45958</v>
      </c>
      <c r="H72" t="s">
        <v>17</v>
      </c>
      <c r="I72">
        <v>0</v>
      </c>
      <c r="J72" t="s">
        <v>18</v>
      </c>
      <c r="K72" s="1">
        <v>45972</v>
      </c>
      <c r="L72">
        <v>2</v>
      </c>
      <c r="M72">
        <v>4</v>
      </c>
      <c r="N72">
        <v>4</v>
      </c>
      <c r="O72">
        <v>10</v>
      </c>
      <c r="P72" t="str">
        <f t="shared" si="2"/>
        <v>Promoter</v>
      </c>
      <c r="Q72">
        <v>10</v>
      </c>
      <c r="R72" t="s">
        <v>1034</v>
      </c>
      <c r="S72">
        <v>10</v>
      </c>
      <c r="T72" t="s">
        <v>1034</v>
      </c>
      <c r="U72" t="str">
        <f t="shared" si="3"/>
        <v>Yes</v>
      </c>
    </row>
    <row r="73" spans="1:21" x14ac:dyDescent="0.3">
      <c r="A73" t="s">
        <v>32</v>
      </c>
      <c r="B73" t="s">
        <v>27</v>
      </c>
      <c r="C73" t="s">
        <v>16</v>
      </c>
      <c r="D73" s="1">
        <v>45931</v>
      </c>
      <c r="E73" s="1">
        <v>45934</v>
      </c>
      <c r="F73" s="1">
        <v>45936</v>
      </c>
      <c r="G73" s="1">
        <v>45938</v>
      </c>
      <c r="H73" t="s">
        <v>17</v>
      </c>
      <c r="I73">
        <v>0</v>
      </c>
      <c r="J73" t="s">
        <v>18</v>
      </c>
      <c r="K73" s="1">
        <v>45953</v>
      </c>
      <c r="L73">
        <v>3</v>
      </c>
      <c r="M73">
        <v>2</v>
      </c>
      <c r="N73">
        <v>2</v>
      </c>
      <c r="O73">
        <v>7</v>
      </c>
      <c r="P73" t="str">
        <f t="shared" si="2"/>
        <v>Passive</v>
      </c>
      <c r="Q73">
        <v>10</v>
      </c>
      <c r="R73" t="s">
        <v>1034</v>
      </c>
      <c r="S73">
        <v>10</v>
      </c>
      <c r="T73" t="s">
        <v>1034</v>
      </c>
      <c r="U73" t="str">
        <f t="shared" si="3"/>
        <v>Yes</v>
      </c>
    </row>
    <row r="74" spans="1:21" x14ac:dyDescent="0.3">
      <c r="A74" t="s">
        <v>488</v>
      </c>
      <c r="B74" t="s">
        <v>22</v>
      </c>
      <c r="C74" t="s">
        <v>474</v>
      </c>
      <c r="D74" s="1">
        <v>45947</v>
      </c>
      <c r="E74" s="1">
        <v>45950</v>
      </c>
      <c r="F74" s="1">
        <v>45952</v>
      </c>
      <c r="G74" s="1">
        <v>45955</v>
      </c>
      <c r="H74" t="s">
        <v>17</v>
      </c>
      <c r="I74">
        <v>0</v>
      </c>
      <c r="J74" t="s">
        <v>18</v>
      </c>
      <c r="K74" s="1">
        <v>45965</v>
      </c>
      <c r="L74">
        <v>3</v>
      </c>
      <c r="M74">
        <v>2</v>
      </c>
      <c r="N74">
        <v>3</v>
      </c>
      <c r="O74">
        <v>6</v>
      </c>
      <c r="P74" t="str">
        <f t="shared" si="2"/>
        <v>Detractor</v>
      </c>
      <c r="Q74">
        <v>10</v>
      </c>
      <c r="R74" t="s">
        <v>1034</v>
      </c>
      <c r="S74">
        <v>10</v>
      </c>
      <c r="T74" t="s">
        <v>1034</v>
      </c>
      <c r="U74" t="str">
        <f t="shared" si="3"/>
        <v>Yes</v>
      </c>
    </row>
    <row r="75" spans="1:21" x14ac:dyDescent="0.3">
      <c r="A75" t="s">
        <v>851</v>
      </c>
      <c r="B75" t="s">
        <v>15</v>
      </c>
      <c r="C75" t="s">
        <v>841</v>
      </c>
      <c r="D75" s="1">
        <v>45961</v>
      </c>
      <c r="E75" s="1"/>
      <c r="F75" s="1"/>
      <c r="G75" s="1"/>
      <c r="H75" t="s">
        <v>752</v>
      </c>
      <c r="I75">
        <v>1</v>
      </c>
      <c r="J75" t="s">
        <v>765</v>
      </c>
      <c r="K75" s="1"/>
      <c r="P75" t="str">
        <f t="shared" si="2"/>
        <v>Not Applicable</v>
      </c>
      <c r="R75" t="s">
        <v>1036</v>
      </c>
      <c r="T75" t="s">
        <v>1036</v>
      </c>
      <c r="U75" t="str">
        <f t="shared" si="3"/>
        <v>No</v>
      </c>
    </row>
    <row r="76" spans="1:21" x14ac:dyDescent="0.3">
      <c r="A76" t="s">
        <v>33</v>
      </c>
      <c r="B76" t="s">
        <v>27</v>
      </c>
      <c r="C76" t="s">
        <v>16</v>
      </c>
      <c r="D76" s="1">
        <v>45937</v>
      </c>
      <c r="E76" s="1">
        <v>45940</v>
      </c>
      <c r="F76" s="1">
        <v>45943</v>
      </c>
      <c r="G76" s="1">
        <v>45947</v>
      </c>
      <c r="H76" t="s">
        <v>17</v>
      </c>
      <c r="I76">
        <v>0</v>
      </c>
      <c r="J76" t="s">
        <v>18</v>
      </c>
      <c r="K76" s="1">
        <v>45975</v>
      </c>
      <c r="L76">
        <v>3</v>
      </c>
      <c r="M76">
        <v>3</v>
      </c>
      <c r="N76">
        <v>4</v>
      </c>
      <c r="O76">
        <v>0</v>
      </c>
      <c r="P76" t="str">
        <f t="shared" si="2"/>
        <v>Detractor</v>
      </c>
      <c r="Q76">
        <v>10</v>
      </c>
      <c r="R76" t="s">
        <v>1034</v>
      </c>
      <c r="S76">
        <v>10</v>
      </c>
      <c r="T76" t="s">
        <v>1034</v>
      </c>
      <c r="U76" t="str">
        <f t="shared" si="3"/>
        <v>Yes</v>
      </c>
    </row>
    <row r="77" spans="1:21" x14ac:dyDescent="0.3">
      <c r="A77" t="s">
        <v>489</v>
      </c>
      <c r="B77" t="s">
        <v>27</v>
      </c>
      <c r="C77" t="s">
        <v>474</v>
      </c>
      <c r="D77" s="1">
        <v>45933</v>
      </c>
      <c r="E77" s="1">
        <v>45936</v>
      </c>
      <c r="F77" s="1">
        <v>45941</v>
      </c>
      <c r="G77" s="1">
        <v>45948</v>
      </c>
      <c r="H77" t="s">
        <v>17</v>
      </c>
      <c r="I77">
        <v>0</v>
      </c>
      <c r="J77" t="s">
        <v>18</v>
      </c>
      <c r="K77" s="1">
        <v>45970</v>
      </c>
      <c r="L77">
        <v>3</v>
      </c>
      <c r="M77">
        <v>5</v>
      </c>
      <c r="N77">
        <v>7</v>
      </c>
      <c r="O77">
        <v>1</v>
      </c>
      <c r="P77" t="str">
        <f t="shared" si="2"/>
        <v>Detractor</v>
      </c>
      <c r="Q77">
        <v>10</v>
      </c>
      <c r="R77" t="s">
        <v>1034</v>
      </c>
      <c r="S77">
        <v>10</v>
      </c>
      <c r="T77" t="s">
        <v>1034</v>
      </c>
      <c r="U77" t="str">
        <f t="shared" si="3"/>
        <v>Yes</v>
      </c>
    </row>
    <row r="78" spans="1:21" x14ac:dyDescent="0.3">
      <c r="A78" t="s">
        <v>325</v>
      </c>
      <c r="B78" t="s">
        <v>22</v>
      </c>
      <c r="C78" t="s">
        <v>16</v>
      </c>
      <c r="D78" s="1">
        <v>45938</v>
      </c>
      <c r="E78" s="1">
        <v>45939</v>
      </c>
      <c r="F78" s="1">
        <v>45942</v>
      </c>
      <c r="G78" s="1">
        <v>45945</v>
      </c>
      <c r="H78" t="s">
        <v>17</v>
      </c>
      <c r="I78">
        <v>0</v>
      </c>
      <c r="J78" t="s">
        <v>18</v>
      </c>
      <c r="K78" s="1">
        <v>45973</v>
      </c>
      <c r="L78">
        <v>1</v>
      </c>
      <c r="M78">
        <v>3</v>
      </c>
      <c r="N78">
        <v>3</v>
      </c>
      <c r="O78">
        <v>8</v>
      </c>
      <c r="P78" t="str">
        <f t="shared" si="2"/>
        <v>Passive</v>
      </c>
      <c r="Q78">
        <v>10</v>
      </c>
      <c r="R78" t="s">
        <v>1034</v>
      </c>
      <c r="S78">
        <v>10</v>
      </c>
      <c r="T78" t="s">
        <v>1034</v>
      </c>
      <c r="U78" t="str">
        <f t="shared" si="3"/>
        <v>Yes</v>
      </c>
    </row>
    <row r="79" spans="1:21" x14ac:dyDescent="0.3">
      <c r="A79" t="s">
        <v>852</v>
      </c>
      <c r="B79" t="s">
        <v>22</v>
      </c>
      <c r="C79" t="s">
        <v>841</v>
      </c>
      <c r="D79" s="1">
        <v>45954</v>
      </c>
      <c r="E79" s="1"/>
      <c r="F79" s="1"/>
      <c r="G79" s="1"/>
      <c r="H79" t="s">
        <v>752</v>
      </c>
      <c r="I79">
        <v>1</v>
      </c>
      <c r="J79" t="s">
        <v>758</v>
      </c>
      <c r="K79" s="1"/>
      <c r="P79" t="str">
        <f t="shared" si="2"/>
        <v>Not Applicable</v>
      </c>
      <c r="R79" t="s">
        <v>1036</v>
      </c>
      <c r="T79" t="s">
        <v>1036</v>
      </c>
      <c r="U79" t="str">
        <f t="shared" si="3"/>
        <v>No</v>
      </c>
    </row>
    <row r="80" spans="1:21" x14ac:dyDescent="0.3">
      <c r="A80" t="s">
        <v>853</v>
      </c>
      <c r="B80" t="s">
        <v>15</v>
      </c>
      <c r="C80" t="s">
        <v>841</v>
      </c>
      <c r="D80" s="1">
        <v>45944</v>
      </c>
      <c r="E80" s="1"/>
      <c r="F80" s="1"/>
      <c r="G80" s="1"/>
      <c r="H80" t="s">
        <v>752</v>
      </c>
      <c r="I80">
        <v>1</v>
      </c>
      <c r="J80" t="s">
        <v>756</v>
      </c>
      <c r="K80" s="1"/>
      <c r="P80" t="str">
        <f t="shared" si="2"/>
        <v>Not Applicable</v>
      </c>
      <c r="R80" t="s">
        <v>1036</v>
      </c>
      <c r="T80" t="s">
        <v>1036</v>
      </c>
      <c r="U80" t="str">
        <f t="shared" si="3"/>
        <v>No</v>
      </c>
    </row>
    <row r="81" spans="1:21" x14ac:dyDescent="0.3">
      <c r="A81" t="s">
        <v>760</v>
      </c>
      <c r="B81" t="s">
        <v>22</v>
      </c>
      <c r="C81" t="s">
        <v>16</v>
      </c>
      <c r="D81" s="1">
        <v>45946</v>
      </c>
      <c r="E81" s="1">
        <v>45948</v>
      </c>
      <c r="F81" s="1">
        <v>45950</v>
      </c>
      <c r="G81" s="1">
        <v>45956</v>
      </c>
      <c r="H81" t="s">
        <v>752</v>
      </c>
      <c r="I81">
        <v>1</v>
      </c>
      <c r="J81" t="s">
        <v>753</v>
      </c>
      <c r="K81" s="1"/>
      <c r="L81">
        <v>2</v>
      </c>
      <c r="M81">
        <v>2</v>
      </c>
      <c r="N81">
        <v>6</v>
      </c>
      <c r="P81" t="str">
        <f t="shared" si="2"/>
        <v>Not Applicable</v>
      </c>
      <c r="Q81">
        <v>10</v>
      </c>
      <c r="R81" t="s">
        <v>1034</v>
      </c>
      <c r="S81">
        <v>10</v>
      </c>
      <c r="T81" t="s">
        <v>1034</v>
      </c>
      <c r="U81" t="str">
        <f t="shared" si="3"/>
        <v>No</v>
      </c>
    </row>
    <row r="82" spans="1:21" x14ac:dyDescent="0.3">
      <c r="A82" t="s">
        <v>854</v>
      </c>
      <c r="B82" t="s">
        <v>29</v>
      </c>
      <c r="C82" t="s">
        <v>841</v>
      </c>
      <c r="D82" s="1">
        <v>45948</v>
      </c>
      <c r="E82" s="1"/>
      <c r="F82" s="1"/>
      <c r="G82" s="1"/>
      <c r="H82" t="s">
        <v>752</v>
      </c>
      <c r="I82">
        <v>1</v>
      </c>
      <c r="J82" t="s">
        <v>758</v>
      </c>
      <c r="K82" s="1"/>
      <c r="P82" t="str">
        <f t="shared" si="2"/>
        <v>Not Applicable</v>
      </c>
      <c r="R82" t="s">
        <v>1036</v>
      </c>
      <c r="T82" t="s">
        <v>1036</v>
      </c>
      <c r="U82" t="str">
        <f t="shared" si="3"/>
        <v>No</v>
      </c>
    </row>
    <row r="83" spans="1:21" x14ac:dyDescent="0.3">
      <c r="A83" t="s">
        <v>855</v>
      </c>
      <c r="B83" t="s">
        <v>22</v>
      </c>
      <c r="C83" t="s">
        <v>841</v>
      </c>
      <c r="D83" s="1">
        <v>45955</v>
      </c>
      <c r="E83" s="1"/>
      <c r="F83" s="1"/>
      <c r="G83" s="1"/>
      <c r="H83" t="s">
        <v>752</v>
      </c>
      <c r="I83">
        <v>1</v>
      </c>
      <c r="J83" t="s">
        <v>758</v>
      </c>
      <c r="K83" s="1"/>
      <c r="P83" t="str">
        <f t="shared" si="2"/>
        <v>Not Applicable</v>
      </c>
      <c r="R83" t="s">
        <v>1036</v>
      </c>
      <c r="T83" t="s">
        <v>1036</v>
      </c>
      <c r="U83" t="str">
        <f t="shared" si="3"/>
        <v>No</v>
      </c>
    </row>
    <row r="84" spans="1:21" x14ac:dyDescent="0.3">
      <c r="A84" t="s">
        <v>400</v>
      </c>
      <c r="B84" t="s">
        <v>29</v>
      </c>
      <c r="C84" t="s">
        <v>16</v>
      </c>
      <c r="D84" s="1">
        <v>45938</v>
      </c>
      <c r="E84" s="1">
        <v>45940</v>
      </c>
      <c r="F84" s="1">
        <v>45943</v>
      </c>
      <c r="G84" s="1">
        <v>45948</v>
      </c>
      <c r="H84" t="s">
        <v>17</v>
      </c>
      <c r="I84">
        <v>0</v>
      </c>
      <c r="J84" t="s">
        <v>18</v>
      </c>
      <c r="K84" s="1">
        <v>45959</v>
      </c>
      <c r="L84">
        <v>2</v>
      </c>
      <c r="M84">
        <v>3</v>
      </c>
      <c r="N84">
        <v>5</v>
      </c>
      <c r="O84">
        <v>5</v>
      </c>
      <c r="P84" t="str">
        <f t="shared" si="2"/>
        <v>Detractor</v>
      </c>
      <c r="Q84">
        <v>10</v>
      </c>
      <c r="R84" t="s">
        <v>1034</v>
      </c>
      <c r="S84">
        <v>10</v>
      </c>
      <c r="T84" t="s">
        <v>1034</v>
      </c>
      <c r="U84" t="str">
        <f t="shared" si="3"/>
        <v>Yes</v>
      </c>
    </row>
    <row r="85" spans="1:21" x14ac:dyDescent="0.3">
      <c r="A85" t="s">
        <v>691</v>
      </c>
      <c r="B85" t="s">
        <v>15</v>
      </c>
      <c r="C85" t="s">
        <v>474</v>
      </c>
      <c r="D85" s="1">
        <v>45953</v>
      </c>
      <c r="E85" s="1">
        <v>45958</v>
      </c>
      <c r="F85" s="1">
        <v>45961</v>
      </c>
      <c r="G85" s="1">
        <v>45966</v>
      </c>
      <c r="H85" t="s">
        <v>17</v>
      </c>
      <c r="I85">
        <v>0</v>
      </c>
      <c r="J85" t="s">
        <v>18</v>
      </c>
      <c r="K85" s="1">
        <v>45981</v>
      </c>
      <c r="L85">
        <v>5</v>
      </c>
      <c r="M85">
        <v>3</v>
      </c>
      <c r="N85">
        <v>5</v>
      </c>
      <c r="O85">
        <v>5</v>
      </c>
      <c r="P85" t="str">
        <f t="shared" si="2"/>
        <v>Detractor</v>
      </c>
      <c r="Q85">
        <v>10</v>
      </c>
      <c r="R85" t="s">
        <v>1034</v>
      </c>
      <c r="S85">
        <v>11</v>
      </c>
      <c r="T85" t="s">
        <v>1035</v>
      </c>
      <c r="U85" t="str">
        <f t="shared" si="3"/>
        <v>Yes</v>
      </c>
    </row>
    <row r="86" spans="1:21" x14ac:dyDescent="0.3">
      <c r="A86" t="s">
        <v>236</v>
      </c>
      <c r="B86" t="s">
        <v>15</v>
      </c>
      <c r="C86" t="s">
        <v>16</v>
      </c>
      <c r="D86" s="1">
        <v>45946</v>
      </c>
      <c r="E86" s="1">
        <v>45950</v>
      </c>
      <c r="F86" s="1">
        <v>45952</v>
      </c>
      <c r="G86" s="1">
        <v>45958</v>
      </c>
      <c r="H86" t="s">
        <v>17</v>
      </c>
      <c r="I86">
        <v>0</v>
      </c>
      <c r="J86" t="s">
        <v>18</v>
      </c>
      <c r="K86" s="1">
        <v>45987</v>
      </c>
      <c r="L86">
        <v>4</v>
      </c>
      <c r="M86">
        <v>2</v>
      </c>
      <c r="N86">
        <v>6</v>
      </c>
      <c r="O86">
        <v>4</v>
      </c>
      <c r="P86" t="str">
        <f t="shared" si="2"/>
        <v>Detractor</v>
      </c>
      <c r="Q86">
        <v>10</v>
      </c>
      <c r="R86" t="s">
        <v>1034</v>
      </c>
      <c r="S86">
        <v>10</v>
      </c>
      <c r="T86" t="s">
        <v>1034</v>
      </c>
      <c r="U86" t="str">
        <f t="shared" si="3"/>
        <v>Yes</v>
      </c>
    </row>
    <row r="87" spans="1:21" x14ac:dyDescent="0.3">
      <c r="A87" t="s">
        <v>856</v>
      </c>
      <c r="B87" t="s">
        <v>15</v>
      </c>
      <c r="C87" t="s">
        <v>841</v>
      </c>
      <c r="D87" s="1">
        <v>45951</v>
      </c>
      <c r="E87" s="1"/>
      <c r="F87" s="1"/>
      <c r="G87" s="1"/>
      <c r="H87" t="s">
        <v>752</v>
      </c>
      <c r="I87">
        <v>1</v>
      </c>
      <c r="J87" t="s">
        <v>777</v>
      </c>
      <c r="K87" s="1"/>
      <c r="P87" t="str">
        <f t="shared" si="2"/>
        <v>Not Applicable</v>
      </c>
      <c r="R87" t="s">
        <v>1036</v>
      </c>
      <c r="T87" t="s">
        <v>1036</v>
      </c>
      <c r="U87" t="str">
        <f t="shared" si="3"/>
        <v>No</v>
      </c>
    </row>
    <row r="88" spans="1:21" x14ac:dyDescent="0.3">
      <c r="A88" t="s">
        <v>490</v>
      </c>
      <c r="B88" t="s">
        <v>15</v>
      </c>
      <c r="C88" t="s">
        <v>474</v>
      </c>
      <c r="D88" s="1">
        <v>45953</v>
      </c>
      <c r="E88" s="1">
        <v>45954</v>
      </c>
      <c r="F88" s="1">
        <v>45958</v>
      </c>
      <c r="G88" s="1">
        <v>45961</v>
      </c>
      <c r="H88" t="s">
        <v>17</v>
      </c>
      <c r="I88">
        <v>0</v>
      </c>
      <c r="J88" t="s">
        <v>18</v>
      </c>
      <c r="K88" s="1">
        <v>45981</v>
      </c>
      <c r="L88">
        <v>1</v>
      </c>
      <c r="M88">
        <v>4</v>
      </c>
      <c r="N88">
        <v>3</v>
      </c>
      <c r="O88">
        <v>7</v>
      </c>
      <c r="P88" t="str">
        <f t="shared" si="2"/>
        <v>Passive</v>
      </c>
      <c r="Q88">
        <v>10</v>
      </c>
      <c r="R88" t="s">
        <v>1034</v>
      </c>
      <c r="S88">
        <v>10</v>
      </c>
      <c r="T88" t="s">
        <v>1034</v>
      </c>
      <c r="U88" t="str">
        <f t="shared" si="3"/>
        <v>Yes</v>
      </c>
    </row>
    <row r="89" spans="1:21" x14ac:dyDescent="0.3">
      <c r="A89" t="s">
        <v>857</v>
      </c>
      <c r="B89" t="s">
        <v>15</v>
      </c>
      <c r="C89" t="s">
        <v>841</v>
      </c>
      <c r="D89" s="1">
        <v>45946</v>
      </c>
      <c r="E89" s="1"/>
      <c r="F89" s="1"/>
      <c r="G89" s="1"/>
      <c r="H89" t="s">
        <v>752</v>
      </c>
      <c r="I89">
        <v>1</v>
      </c>
      <c r="J89" t="s">
        <v>753</v>
      </c>
      <c r="K89" s="1"/>
      <c r="P89" t="str">
        <f t="shared" si="2"/>
        <v>Not Applicable</v>
      </c>
      <c r="R89" t="s">
        <v>1036</v>
      </c>
      <c r="T89" t="s">
        <v>1036</v>
      </c>
      <c r="U89" t="str">
        <f t="shared" si="3"/>
        <v>No</v>
      </c>
    </row>
    <row r="90" spans="1:21" x14ac:dyDescent="0.3">
      <c r="A90" t="s">
        <v>491</v>
      </c>
      <c r="B90" t="s">
        <v>29</v>
      </c>
      <c r="C90" t="s">
        <v>474</v>
      </c>
      <c r="D90" s="1">
        <v>45945</v>
      </c>
      <c r="E90" s="1">
        <v>45947</v>
      </c>
      <c r="F90" s="1">
        <v>45950</v>
      </c>
      <c r="G90" s="1">
        <v>45956</v>
      </c>
      <c r="H90" t="s">
        <v>17</v>
      </c>
      <c r="I90">
        <v>0</v>
      </c>
      <c r="J90" t="s">
        <v>18</v>
      </c>
      <c r="K90" s="1">
        <v>45985</v>
      </c>
      <c r="L90">
        <v>2</v>
      </c>
      <c r="M90">
        <v>3</v>
      </c>
      <c r="N90">
        <v>6</v>
      </c>
      <c r="O90">
        <v>5</v>
      </c>
      <c r="P90" t="str">
        <f t="shared" si="2"/>
        <v>Detractor</v>
      </c>
      <c r="Q90">
        <v>10</v>
      </c>
      <c r="R90" t="s">
        <v>1034</v>
      </c>
      <c r="S90">
        <v>10</v>
      </c>
      <c r="T90" t="s">
        <v>1034</v>
      </c>
      <c r="U90" t="str">
        <f t="shared" si="3"/>
        <v>Yes</v>
      </c>
    </row>
    <row r="91" spans="1:21" x14ac:dyDescent="0.3">
      <c r="A91" t="s">
        <v>492</v>
      </c>
      <c r="B91" t="s">
        <v>29</v>
      </c>
      <c r="C91" t="s">
        <v>474</v>
      </c>
      <c r="D91" s="1">
        <v>45956</v>
      </c>
      <c r="E91" s="1">
        <v>45957</v>
      </c>
      <c r="F91" s="1">
        <v>45961</v>
      </c>
      <c r="G91" s="1">
        <v>45966</v>
      </c>
      <c r="H91" t="s">
        <v>17</v>
      </c>
      <c r="I91">
        <v>0</v>
      </c>
      <c r="J91" t="s">
        <v>18</v>
      </c>
      <c r="K91" s="1">
        <v>45983</v>
      </c>
      <c r="L91">
        <v>1</v>
      </c>
      <c r="M91">
        <v>4</v>
      </c>
      <c r="N91">
        <v>5</v>
      </c>
      <c r="O91">
        <v>8</v>
      </c>
      <c r="P91" t="str">
        <f t="shared" si="2"/>
        <v>Passive</v>
      </c>
      <c r="Q91">
        <v>10</v>
      </c>
      <c r="R91" t="s">
        <v>1034</v>
      </c>
      <c r="S91">
        <v>11</v>
      </c>
      <c r="T91" t="s">
        <v>1035</v>
      </c>
      <c r="U91" t="str">
        <f t="shared" si="3"/>
        <v>Yes</v>
      </c>
    </row>
    <row r="92" spans="1:21" x14ac:dyDescent="0.3">
      <c r="A92" t="s">
        <v>326</v>
      </c>
      <c r="B92" t="s">
        <v>15</v>
      </c>
      <c r="C92" t="s">
        <v>16</v>
      </c>
      <c r="D92" s="1">
        <v>45931</v>
      </c>
      <c r="E92" s="1">
        <v>45932</v>
      </c>
      <c r="F92" s="1">
        <v>45935</v>
      </c>
      <c r="G92" s="1">
        <v>45940</v>
      </c>
      <c r="H92" t="s">
        <v>17</v>
      </c>
      <c r="I92">
        <v>0</v>
      </c>
      <c r="J92" t="s">
        <v>18</v>
      </c>
      <c r="K92" s="1">
        <v>45970</v>
      </c>
      <c r="L92">
        <v>1</v>
      </c>
      <c r="M92">
        <v>3</v>
      </c>
      <c r="N92">
        <v>5</v>
      </c>
      <c r="O92">
        <v>0</v>
      </c>
      <c r="P92" t="str">
        <f t="shared" si="2"/>
        <v>Detractor</v>
      </c>
      <c r="Q92">
        <v>10</v>
      </c>
      <c r="R92" t="s">
        <v>1034</v>
      </c>
      <c r="S92">
        <v>10</v>
      </c>
      <c r="T92" t="s">
        <v>1034</v>
      </c>
      <c r="U92" t="str">
        <f t="shared" si="3"/>
        <v>Yes</v>
      </c>
    </row>
    <row r="93" spans="1:21" x14ac:dyDescent="0.3">
      <c r="A93" t="s">
        <v>692</v>
      </c>
      <c r="B93" t="s">
        <v>22</v>
      </c>
      <c r="C93" t="s">
        <v>474</v>
      </c>
      <c r="D93" s="1">
        <v>45933</v>
      </c>
      <c r="E93" s="1">
        <v>45938</v>
      </c>
      <c r="F93" s="1">
        <v>45943</v>
      </c>
      <c r="G93" s="1">
        <v>45946</v>
      </c>
      <c r="H93" t="s">
        <v>17</v>
      </c>
      <c r="I93">
        <v>0</v>
      </c>
      <c r="J93" t="s">
        <v>18</v>
      </c>
      <c r="K93" s="1">
        <v>45974</v>
      </c>
      <c r="L93">
        <v>5</v>
      </c>
      <c r="M93">
        <v>5</v>
      </c>
      <c r="N93">
        <v>3</v>
      </c>
      <c r="O93">
        <v>9</v>
      </c>
      <c r="P93" t="str">
        <f t="shared" si="2"/>
        <v>Promoter</v>
      </c>
      <c r="Q93">
        <v>10</v>
      </c>
      <c r="R93" t="s">
        <v>1034</v>
      </c>
      <c r="S93">
        <v>10</v>
      </c>
      <c r="T93" t="s">
        <v>1034</v>
      </c>
      <c r="U93" t="str">
        <f t="shared" si="3"/>
        <v>Yes</v>
      </c>
    </row>
    <row r="94" spans="1:21" x14ac:dyDescent="0.3">
      <c r="A94" t="s">
        <v>858</v>
      </c>
      <c r="B94" t="s">
        <v>27</v>
      </c>
      <c r="C94" t="s">
        <v>841</v>
      </c>
      <c r="D94" s="1">
        <v>45940</v>
      </c>
      <c r="E94" s="1"/>
      <c r="F94" s="1"/>
      <c r="G94" s="1"/>
      <c r="H94" t="s">
        <v>752</v>
      </c>
      <c r="I94">
        <v>1</v>
      </c>
      <c r="J94" t="s">
        <v>765</v>
      </c>
      <c r="K94" s="1"/>
      <c r="P94" t="str">
        <f t="shared" si="2"/>
        <v>Not Applicable</v>
      </c>
      <c r="R94" t="s">
        <v>1036</v>
      </c>
      <c r="T94" t="s">
        <v>1036</v>
      </c>
      <c r="U94" t="str">
        <f t="shared" si="3"/>
        <v>No</v>
      </c>
    </row>
    <row r="95" spans="1:21" x14ac:dyDescent="0.3">
      <c r="A95" t="s">
        <v>859</v>
      </c>
      <c r="B95" t="s">
        <v>15</v>
      </c>
      <c r="C95" t="s">
        <v>841</v>
      </c>
      <c r="D95" s="1">
        <v>45938</v>
      </c>
      <c r="E95" s="1"/>
      <c r="F95" s="1"/>
      <c r="G95" s="1"/>
      <c r="H95" t="s">
        <v>752</v>
      </c>
      <c r="I95">
        <v>1</v>
      </c>
      <c r="J95" t="s">
        <v>756</v>
      </c>
      <c r="K95" s="1"/>
      <c r="P95" t="str">
        <f t="shared" si="2"/>
        <v>Not Applicable</v>
      </c>
      <c r="R95" t="s">
        <v>1036</v>
      </c>
      <c r="T95" t="s">
        <v>1036</v>
      </c>
      <c r="U95" t="str">
        <f t="shared" si="3"/>
        <v>No</v>
      </c>
    </row>
    <row r="96" spans="1:21" x14ac:dyDescent="0.3">
      <c r="A96" t="s">
        <v>860</v>
      </c>
      <c r="B96" t="s">
        <v>22</v>
      </c>
      <c r="C96" t="s">
        <v>841</v>
      </c>
      <c r="D96" s="1">
        <v>45943</v>
      </c>
      <c r="E96" s="1"/>
      <c r="F96" s="1"/>
      <c r="G96" s="1"/>
      <c r="H96" t="s">
        <v>752</v>
      </c>
      <c r="I96">
        <v>1</v>
      </c>
      <c r="J96" t="s">
        <v>777</v>
      </c>
      <c r="K96" s="1"/>
      <c r="P96" t="str">
        <f t="shared" si="2"/>
        <v>Not Applicable</v>
      </c>
      <c r="R96" t="s">
        <v>1036</v>
      </c>
      <c r="T96" t="s">
        <v>1036</v>
      </c>
      <c r="U96" t="str">
        <f t="shared" si="3"/>
        <v>No</v>
      </c>
    </row>
    <row r="97" spans="1:21" x14ac:dyDescent="0.3">
      <c r="A97" t="s">
        <v>401</v>
      </c>
      <c r="B97" t="s">
        <v>27</v>
      </c>
      <c r="C97" t="s">
        <v>16</v>
      </c>
      <c r="D97" s="1">
        <v>45953</v>
      </c>
      <c r="E97" s="1">
        <v>45955</v>
      </c>
      <c r="F97" s="1">
        <v>45958</v>
      </c>
      <c r="G97" s="1">
        <v>45963</v>
      </c>
      <c r="H97" t="s">
        <v>17</v>
      </c>
      <c r="I97">
        <v>0</v>
      </c>
      <c r="J97" t="s">
        <v>18</v>
      </c>
      <c r="K97" s="1">
        <v>45976</v>
      </c>
      <c r="L97">
        <v>2</v>
      </c>
      <c r="M97">
        <v>3</v>
      </c>
      <c r="N97">
        <v>5</v>
      </c>
      <c r="O97">
        <v>9</v>
      </c>
      <c r="P97" t="str">
        <f t="shared" si="2"/>
        <v>Promoter</v>
      </c>
      <c r="Q97">
        <v>10</v>
      </c>
      <c r="R97" t="s">
        <v>1034</v>
      </c>
      <c r="S97">
        <v>11</v>
      </c>
      <c r="T97" t="s">
        <v>1035</v>
      </c>
      <c r="U97" t="str">
        <f t="shared" si="3"/>
        <v>Yes</v>
      </c>
    </row>
    <row r="98" spans="1:21" x14ac:dyDescent="0.3">
      <c r="A98" t="s">
        <v>761</v>
      </c>
      <c r="B98" t="s">
        <v>15</v>
      </c>
      <c r="C98" t="s">
        <v>474</v>
      </c>
      <c r="D98" s="1">
        <v>45938</v>
      </c>
      <c r="E98" s="1">
        <v>45942</v>
      </c>
      <c r="F98" s="1">
        <v>45945</v>
      </c>
      <c r="G98" s="1">
        <v>45952</v>
      </c>
      <c r="H98" t="s">
        <v>752</v>
      </c>
      <c r="I98">
        <v>1</v>
      </c>
      <c r="J98" t="s">
        <v>756</v>
      </c>
      <c r="K98" s="1"/>
      <c r="L98">
        <v>4</v>
      </c>
      <c r="M98">
        <v>3</v>
      </c>
      <c r="N98">
        <v>7</v>
      </c>
      <c r="P98" t="str">
        <f t="shared" si="2"/>
        <v>Not Applicable</v>
      </c>
      <c r="Q98">
        <v>10</v>
      </c>
      <c r="R98" t="s">
        <v>1034</v>
      </c>
      <c r="S98">
        <v>10</v>
      </c>
      <c r="T98" t="s">
        <v>1034</v>
      </c>
      <c r="U98" t="str">
        <f t="shared" si="3"/>
        <v>No</v>
      </c>
    </row>
    <row r="99" spans="1:21" x14ac:dyDescent="0.3">
      <c r="A99" t="s">
        <v>237</v>
      </c>
      <c r="B99" t="s">
        <v>15</v>
      </c>
      <c r="C99" t="s">
        <v>16</v>
      </c>
      <c r="D99" s="1">
        <v>45940</v>
      </c>
      <c r="E99" s="1">
        <v>45944</v>
      </c>
      <c r="F99" s="1">
        <v>45945</v>
      </c>
      <c r="G99" s="1">
        <v>45951</v>
      </c>
      <c r="H99" t="s">
        <v>17</v>
      </c>
      <c r="I99">
        <v>0</v>
      </c>
      <c r="J99" t="s">
        <v>18</v>
      </c>
      <c r="K99" s="1">
        <v>45976</v>
      </c>
      <c r="L99">
        <v>4</v>
      </c>
      <c r="M99">
        <v>1</v>
      </c>
      <c r="N99">
        <v>6</v>
      </c>
      <c r="O99">
        <v>6</v>
      </c>
      <c r="P99" t="str">
        <f t="shared" si="2"/>
        <v>Detractor</v>
      </c>
      <c r="Q99">
        <v>10</v>
      </c>
      <c r="R99" t="s">
        <v>1034</v>
      </c>
      <c r="S99">
        <v>10</v>
      </c>
      <c r="T99" t="s">
        <v>1034</v>
      </c>
      <c r="U99" t="str">
        <f t="shared" si="3"/>
        <v>Yes</v>
      </c>
    </row>
    <row r="100" spans="1:21" x14ac:dyDescent="0.3">
      <c r="A100" t="s">
        <v>238</v>
      </c>
      <c r="B100" t="s">
        <v>29</v>
      </c>
      <c r="C100" t="s">
        <v>16</v>
      </c>
      <c r="D100" s="1">
        <v>45952</v>
      </c>
      <c r="E100" s="1">
        <v>45956</v>
      </c>
      <c r="F100" s="1">
        <v>45961</v>
      </c>
      <c r="G100" s="1">
        <v>45968</v>
      </c>
      <c r="H100" t="s">
        <v>17</v>
      </c>
      <c r="I100">
        <v>0</v>
      </c>
      <c r="J100" t="s">
        <v>18</v>
      </c>
      <c r="K100" s="1">
        <v>45982</v>
      </c>
      <c r="L100">
        <v>4</v>
      </c>
      <c r="M100">
        <v>5</v>
      </c>
      <c r="N100">
        <v>7</v>
      </c>
      <c r="O100">
        <v>0</v>
      </c>
      <c r="P100" t="str">
        <f t="shared" si="2"/>
        <v>Detractor</v>
      </c>
      <c r="Q100">
        <v>10</v>
      </c>
      <c r="R100" t="s">
        <v>1034</v>
      </c>
      <c r="S100">
        <v>11</v>
      </c>
      <c r="T100" t="s">
        <v>1035</v>
      </c>
      <c r="U100" t="str">
        <f t="shared" si="3"/>
        <v>Yes</v>
      </c>
    </row>
    <row r="101" spans="1:21" x14ac:dyDescent="0.3">
      <c r="A101" t="s">
        <v>34</v>
      </c>
      <c r="B101" t="s">
        <v>27</v>
      </c>
      <c r="C101" t="s">
        <v>16</v>
      </c>
      <c r="D101" s="1">
        <v>45949</v>
      </c>
      <c r="E101" s="1">
        <v>45952</v>
      </c>
      <c r="F101" s="1">
        <v>45957</v>
      </c>
      <c r="G101" s="1">
        <v>45964</v>
      </c>
      <c r="H101" t="s">
        <v>17</v>
      </c>
      <c r="I101">
        <v>0</v>
      </c>
      <c r="J101" t="s">
        <v>18</v>
      </c>
      <c r="K101" s="1">
        <v>45984</v>
      </c>
      <c r="L101">
        <v>3</v>
      </c>
      <c r="M101">
        <v>5</v>
      </c>
      <c r="N101">
        <v>7</v>
      </c>
      <c r="O101">
        <v>10</v>
      </c>
      <c r="P101" t="str">
        <f t="shared" si="2"/>
        <v>Promoter</v>
      </c>
      <c r="Q101">
        <v>10</v>
      </c>
      <c r="R101" t="s">
        <v>1034</v>
      </c>
      <c r="S101">
        <v>11</v>
      </c>
      <c r="T101" t="s">
        <v>1035</v>
      </c>
      <c r="U101" t="str">
        <f t="shared" si="3"/>
        <v>Yes</v>
      </c>
    </row>
    <row r="102" spans="1:21" x14ac:dyDescent="0.3">
      <c r="A102" t="s">
        <v>493</v>
      </c>
      <c r="B102" t="s">
        <v>27</v>
      </c>
      <c r="C102" t="s">
        <v>474</v>
      </c>
      <c r="D102" s="1">
        <v>45942</v>
      </c>
      <c r="E102" s="1">
        <v>45944</v>
      </c>
      <c r="F102" s="1">
        <v>45948</v>
      </c>
      <c r="G102" s="1">
        <v>45951</v>
      </c>
      <c r="H102" t="s">
        <v>17</v>
      </c>
      <c r="I102">
        <v>0</v>
      </c>
      <c r="J102" t="s">
        <v>18</v>
      </c>
      <c r="K102" s="1">
        <v>45963</v>
      </c>
      <c r="L102">
        <v>2</v>
      </c>
      <c r="M102">
        <v>4</v>
      </c>
      <c r="N102">
        <v>3</v>
      </c>
      <c r="O102">
        <v>1</v>
      </c>
      <c r="P102" t="str">
        <f t="shared" si="2"/>
        <v>Detractor</v>
      </c>
      <c r="Q102">
        <v>10</v>
      </c>
      <c r="R102" t="s">
        <v>1034</v>
      </c>
      <c r="S102">
        <v>10</v>
      </c>
      <c r="T102" t="s">
        <v>1034</v>
      </c>
      <c r="U102" t="str">
        <f t="shared" si="3"/>
        <v>Yes</v>
      </c>
    </row>
    <row r="103" spans="1:21" x14ac:dyDescent="0.3">
      <c r="A103" t="s">
        <v>35</v>
      </c>
      <c r="B103" t="s">
        <v>22</v>
      </c>
      <c r="C103" t="s">
        <v>16</v>
      </c>
      <c r="D103" s="1">
        <v>45946</v>
      </c>
      <c r="E103" s="1">
        <v>45949</v>
      </c>
      <c r="F103" s="1">
        <v>45953</v>
      </c>
      <c r="G103" s="1">
        <v>45959</v>
      </c>
      <c r="H103" t="s">
        <v>17</v>
      </c>
      <c r="I103">
        <v>0</v>
      </c>
      <c r="J103" t="s">
        <v>18</v>
      </c>
      <c r="K103" s="1">
        <v>45976</v>
      </c>
      <c r="L103">
        <v>3</v>
      </c>
      <c r="M103">
        <v>4</v>
      </c>
      <c r="N103">
        <v>6</v>
      </c>
      <c r="O103">
        <v>1</v>
      </c>
      <c r="P103" t="str">
        <f t="shared" si="2"/>
        <v>Detractor</v>
      </c>
      <c r="Q103">
        <v>10</v>
      </c>
      <c r="R103" t="s">
        <v>1034</v>
      </c>
      <c r="S103">
        <v>10</v>
      </c>
      <c r="T103" t="s">
        <v>1034</v>
      </c>
      <c r="U103" t="str">
        <f t="shared" si="3"/>
        <v>Yes</v>
      </c>
    </row>
    <row r="104" spans="1:21" x14ac:dyDescent="0.3">
      <c r="A104" t="s">
        <v>36</v>
      </c>
      <c r="B104" t="s">
        <v>29</v>
      </c>
      <c r="C104" t="s">
        <v>16</v>
      </c>
      <c r="D104" s="1">
        <v>45948</v>
      </c>
      <c r="E104" s="1">
        <v>45951</v>
      </c>
      <c r="F104" s="1">
        <v>45954</v>
      </c>
      <c r="G104" s="1">
        <v>45957</v>
      </c>
      <c r="H104" t="s">
        <v>17</v>
      </c>
      <c r="I104">
        <v>0</v>
      </c>
      <c r="J104" t="s">
        <v>18</v>
      </c>
      <c r="K104" s="1">
        <v>45978</v>
      </c>
      <c r="L104">
        <v>3</v>
      </c>
      <c r="M104">
        <v>3</v>
      </c>
      <c r="N104">
        <v>3</v>
      </c>
      <c r="O104">
        <v>0</v>
      </c>
      <c r="P104" t="str">
        <f t="shared" si="2"/>
        <v>Detractor</v>
      </c>
      <c r="Q104">
        <v>10</v>
      </c>
      <c r="R104" t="s">
        <v>1034</v>
      </c>
      <c r="S104">
        <v>10</v>
      </c>
      <c r="T104" t="s">
        <v>1034</v>
      </c>
      <c r="U104" t="str">
        <f t="shared" si="3"/>
        <v>Yes</v>
      </c>
    </row>
    <row r="105" spans="1:21" x14ac:dyDescent="0.3">
      <c r="A105" t="s">
        <v>861</v>
      </c>
      <c r="B105" t="s">
        <v>29</v>
      </c>
      <c r="C105" t="s">
        <v>841</v>
      </c>
      <c r="D105" s="1">
        <v>45947</v>
      </c>
      <c r="E105" s="1"/>
      <c r="F105" s="1"/>
      <c r="G105" s="1"/>
      <c r="H105" t="s">
        <v>752</v>
      </c>
      <c r="I105">
        <v>1</v>
      </c>
      <c r="J105" t="s">
        <v>765</v>
      </c>
      <c r="K105" s="1"/>
      <c r="P105" t="str">
        <f t="shared" si="2"/>
        <v>Not Applicable</v>
      </c>
      <c r="R105" t="s">
        <v>1036</v>
      </c>
      <c r="T105" t="s">
        <v>1036</v>
      </c>
      <c r="U105" t="str">
        <f t="shared" si="3"/>
        <v>No</v>
      </c>
    </row>
    <row r="106" spans="1:21" x14ac:dyDescent="0.3">
      <c r="A106" t="s">
        <v>862</v>
      </c>
      <c r="B106" t="s">
        <v>29</v>
      </c>
      <c r="C106" t="s">
        <v>841</v>
      </c>
      <c r="D106" s="1">
        <v>45942</v>
      </c>
      <c r="E106" s="1"/>
      <c r="F106" s="1"/>
      <c r="G106" s="1"/>
      <c r="H106" t="s">
        <v>752</v>
      </c>
      <c r="I106">
        <v>1</v>
      </c>
      <c r="J106" t="s">
        <v>765</v>
      </c>
      <c r="K106" s="1"/>
      <c r="P106" t="str">
        <f t="shared" si="2"/>
        <v>Not Applicable</v>
      </c>
      <c r="R106" t="s">
        <v>1036</v>
      </c>
      <c r="T106" t="s">
        <v>1036</v>
      </c>
      <c r="U106" t="str">
        <f t="shared" si="3"/>
        <v>No</v>
      </c>
    </row>
    <row r="107" spans="1:21" x14ac:dyDescent="0.3">
      <c r="A107" t="s">
        <v>37</v>
      </c>
      <c r="B107" t="s">
        <v>29</v>
      </c>
      <c r="C107" t="s">
        <v>16</v>
      </c>
      <c r="D107" s="1">
        <v>45944</v>
      </c>
      <c r="E107" s="1">
        <v>45947</v>
      </c>
      <c r="F107" s="1">
        <v>45949</v>
      </c>
      <c r="G107" s="1">
        <v>45954</v>
      </c>
      <c r="H107" t="s">
        <v>17</v>
      </c>
      <c r="I107">
        <v>0</v>
      </c>
      <c r="J107" t="s">
        <v>18</v>
      </c>
      <c r="K107" s="1">
        <v>45974</v>
      </c>
      <c r="L107">
        <v>3</v>
      </c>
      <c r="M107">
        <v>2</v>
      </c>
      <c r="N107">
        <v>5</v>
      </c>
      <c r="O107">
        <v>2</v>
      </c>
      <c r="P107" t="str">
        <f t="shared" si="2"/>
        <v>Detractor</v>
      </c>
      <c r="Q107">
        <v>10</v>
      </c>
      <c r="R107" t="s">
        <v>1034</v>
      </c>
      <c r="S107">
        <v>10</v>
      </c>
      <c r="T107" t="s">
        <v>1034</v>
      </c>
      <c r="U107" t="str">
        <f t="shared" si="3"/>
        <v>Yes</v>
      </c>
    </row>
    <row r="108" spans="1:21" x14ac:dyDescent="0.3">
      <c r="A108" t="s">
        <v>762</v>
      </c>
      <c r="B108" t="s">
        <v>27</v>
      </c>
      <c r="C108" t="s">
        <v>16</v>
      </c>
      <c r="D108" s="1">
        <v>45954</v>
      </c>
      <c r="E108" s="1">
        <v>45959</v>
      </c>
      <c r="F108" s="1">
        <v>45962</v>
      </c>
      <c r="G108" s="1">
        <v>45966</v>
      </c>
      <c r="H108" t="s">
        <v>752</v>
      </c>
      <c r="I108">
        <v>1</v>
      </c>
      <c r="J108" t="s">
        <v>758</v>
      </c>
      <c r="K108" s="1"/>
      <c r="L108">
        <v>5</v>
      </c>
      <c r="M108">
        <v>3</v>
      </c>
      <c r="N108">
        <v>4</v>
      </c>
      <c r="P108" t="str">
        <f t="shared" si="2"/>
        <v>Not Applicable</v>
      </c>
      <c r="Q108">
        <v>10</v>
      </c>
      <c r="R108" t="s">
        <v>1034</v>
      </c>
      <c r="S108">
        <v>11</v>
      </c>
      <c r="T108" t="s">
        <v>1035</v>
      </c>
      <c r="U108" t="str">
        <f t="shared" si="3"/>
        <v>No</v>
      </c>
    </row>
    <row r="109" spans="1:21" x14ac:dyDescent="0.3">
      <c r="A109" t="s">
        <v>142</v>
      </c>
      <c r="B109" t="s">
        <v>27</v>
      </c>
      <c r="C109" t="s">
        <v>16</v>
      </c>
      <c r="D109" s="1">
        <v>45948</v>
      </c>
      <c r="E109" s="1">
        <v>45953</v>
      </c>
      <c r="F109" s="1">
        <v>45954</v>
      </c>
      <c r="G109" s="1">
        <v>45957</v>
      </c>
      <c r="H109" t="s">
        <v>17</v>
      </c>
      <c r="I109">
        <v>0</v>
      </c>
      <c r="J109" t="s">
        <v>18</v>
      </c>
      <c r="K109" s="1">
        <v>45972</v>
      </c>
      <c r="L109">
        <v>5</v>
      </c>
      <c r="M109">
        <v>1</v>
      </c>
      <c r="N109">
        <v>3</v>
      </c>
      <c r="O109">
        <v>10</v>
      </c>
      <c r="P109" t="str">
        <f t="shared" si="2"/>
        <v>Promoter</v>
      </c>
      <c r="Q109">
        <v>10</v>
      </c>
      <c r="R109" t="s">
        <v>1034</v>
      </c>
      <c r="S109">
        <v>10</v>
      </c>
      <c r="T109" t="s">
        <v>1034</v>
      </c>
      <c r="U109" t="str">
        <f t="shared" si="3"/>
        <v>Yes</v>
      </c>
    </row>
    <row r="110" spans="1:21" x14ac:dyDescent="0.3">
      <c r="A110" t="s">
        <v>494</v>
      </c>
      <c r="B110" t="s">
        <v>15</v>
      </c>
      <c r="C110" t="s">
        <v>474</v>
      </c>
      <c r="D110" s="1">
        <v>45941</v>
      </c>
      <c r="E110" s="1">
        <v>45942</v>
      </c>
      <c r="F110" s="1">
        <v>45945</v>
      </c>
      <c r="G110" s="1">
        <v>45948</v>
      </c>
      <c r="H110" t="s">
        <v>17</v>
      </c>
      <c r="I110">
        <v>0</v>
      </c>
      <c r="J110" t="s">
        <v>18</v>
      </c>
      <c r="K110" s="1">
        <v>45978</v>
      </c>
      <c r="L110">
        <v>1</v>
      </c>
      <c r="M110">
        <v>3</v>
      </c>
      <c r="N110">
        <v>3</v>
      </c>
      <c r="O110">
        <v>4</v>
      </c>
      <c r="P110" t="str">
        <f t="shared" si="2"/>
        <v>Detractor</v>
      </c>
      <c r="Q110">
        <v>10</v>
      </c>
      <c r="R110" t="s">
        <v>1034</v>
      </c>
      <c r="S110">
        <v>10</v>
      </c>
      <c r="T110" t="s">
        <v>1034</v>
      </c>
      <c r="U110" t="str">
        <f t="shared" si="3"/>
        <v>Yes</v>
      </c>
    </row>
    <row r="111" spans="1:21" x14ac:dyDescent="0.3">
      <c r="A111" t="s">
        <v>863</v>
      </c>
      <c r="B111" t="s">
        <v>15</v>
      </c>
      <c r="C111" t="s">
        <v>841</v>
      </c>
      <c r="D111" s="1">
        <v>45942</v>
      </c>
      <c r="E111" s="1"/>
      <c r="F111" s="1"/>
      <c r="G111" s="1"/>
      <c r="H111" t="s">
        <v>752</v>
      </c>
      <c r="I111">
        <v>1</v>
      </c>
      <c r="J111" t="s">
        <v>765</v>
      </c>
      <c r="K111" s="1"/>
      <c r="P111" t="str">
        <f t="shared" si="2"/>
        <v>Not Applicable</v>
      </c>
      <c r="R111" t="s">
        <v>1036</v>
      </c>
      <c r="T111" t="s">
        <v>1036</v>
      </c>
      <c r="U111" t="str">
        <f t="shared" si="3"/>
        <v>No</v>
      </c>
    </row>
    <row r="112" spans="1:21" x14ac:dyDescent="0.3">
      <c r="A112" t="s">
        <v>864</v>
      </c>
      <c r="B112" t="s">
        <v>29</v>
      </c>
      <c r="C112" t="s">
        <v>841</v>
      </c>
      <c r="D112" s="1">
        <v>45953</v>
      </c>
      <c r="E112" s="1"/>
      <c r="F112" s="1"/>
      <c r="G112" s="1"/>
      <c r="H112" t="s">
        <v>752</v>
      </c>
      <c r="I112">
        <v>1</v>
      </c>
      <c r="J112" t="s">
        <v>756</v>
      </c>
      <c r="K112" s="1"/>
      <c r="P112" t="str">
        <f t="shared" si="2"/>
        <v>Not Applicable</v>
      </c>
      <c r="R112" t="s">
        <v>1036</v>
      </c>
      <c r="T112" t="s">
        <v>1036</v>
      </c>
      <c r="U112" t="str">
        <f t="shared" si="3"/>
        <v>No</v>
      </c>
    </row>
    <row r="113" spans="1:21" x14ac:dyDescent="0.3">
      <c r="A113" t="s">
        <v>327</v>
      </c>
      <c r="B113" t="s">
        <v>29</v>
      </c>
      <c r="C113" t="s">
        <v>16</v>
      </c>
      <c r="D113" s="1">
        <v>45945</v>
      </c>
      <c r="E113" s="1">
        <v>45946</v>
      </c>
      <c r="F113" s="1">
        <v>45947</v>
      </c>
      <c r="G113" s="1">
        <v>45951</v>
      </c>
      <c r="H113" t="s">
        <v>17</v>
      </c>
      <c r="I113">
        <v>0</v>
      </c>
      <c r="J113" t="s">
        <v>18</v>
      </c>
      <c r="K113" s="1">
        <v>45963</v>
      </c>
      <c r="L113">
        <v>1</v>
      </c>
      <c r="M113">
        <v>1</v>
      </c>
      <c r="N113">
        <v>4</v>
      </c>
      <c r="O113">
        <v>2</v>
      </c>
      <c r="P113" t="str">
        <f t="shared" si="2"/>
        <v>Detractor</v>
      </c>
      <c r="Q113">
        <v>10</v>
      </c>
      <c r="R113" t="s">
        <v>1034</v>
      </c>
      <c r="S113">
        <v>10</v>
      </c>
      <c r="T113" t="s">
        <v>1034</v>
      </c>
      <c r="U113" t="str">
        <f t="shared" si="3"/>
        <v>Yes</v>
      </c>
    </row>
    <row r="114" spans="1:21" x14ac:dyDescent="0.3">
      <c r="A114" t="s">
        <v>763</v>
      </c>
      <c r="B114" t="s">
        <v>29</v>
      </c>
      <c r="C114" t="s">
        <v>16</v>
      </c>
      <c r="D114" s="1">
        <v>45939</v>
      </c>
      <c r="E114" s="1">
        <v>45941</v>
      </c>
      <c r="F114" s="1">
        <v>45944</v>
      </c>
      <c r="G114" s="1">
        <v>45949</v>
      </c>
      <c r="H114" t="s">
        <v>752</v>
      </c>
      <c r="I114">
        <v>1</v>
      </c>
      <c r="J114" t="s">
        <v>753</v>
      </c>
      <c r="K114" s="1"/>
      <c r="L114">
        <v>2</v>
      </c>
      <c r="M114">
        <v>3</v>
      </c>
      <c r="N114">
        <v>5</v>
      </c>
      <c r="P114" t="str">
        <f t="shared" si="2"/>
        <v>Not Applicable</v>
      </c>
      <c r="Q114">
        <v>10</v>
      </c>
      <c r="R114" t="s">
        <v>1034</v>
      </c>
      <c r="S114">
        <v>10</v>
      </c>
      <c r="T114" t="s">
        <v>1034</v>
      </c>
      <c r="U114" t="str">
        <f t="shared" si="3"/>
        <v>No</v>
      </c>
    </row>
    <row r="115" spans="1:21" x14ac:dyDescent="0.3">
      <c r="A115" t="s">
        <v>495</v>
      </c>
      <c r="B115" t="s">
        <v>15</v>
      </c>
      <c r="C115" t="s">
        <v>474</v>
      </c>
      <c r="D115" s="1">
        <v>45940</v>
      </c>
      <c r="E115" s="1">
        <v>45942</v>
      </c>
      <c r="F115" s="1">
        <v>45946</v>
      </c>
      <c r="G115" s="1">
        <v>45952</v>
      </c>
      <c r="H115" t="s">
        <v>17</v>
      </c>
      <c r="I115">
        <v>0</v>
      </c>
      <c r="J115" t="s">
        <v>18</v>
      </c>
      <c r="K115" s="1">
        <v>45982</v>
      </c>
      <c r="L115">
        <v>2</v>
      </c>
      <c r="M115">
        <v>4</v>
      </c>
      <c r="N115">
        <v>6</v>
      </c>
      <c r="O115">
        <v>6</v>
      </c>
      <c r="P115" t="str">
        <f t="shared" si="2"/>
        <v>Detractor</v>
      </c>
      <c r="Q115">
        <v>10</v>
      </c>
      <c r="R115" t="s">
        <v>1034</v>
      </c>
      <c r="S115">
        <v>10</v>
      </c>
      <c r="T115" t="s">
        <v>1034</v>
      </c>
      <c r="U115" t="str">
        <f t="shared" si="3"/>
        <v>Yes</v>
      </c>
    </row>
    <row r="116" spans="1:21" x14ac:dyDescent="0.3">
      <c r="A116" t="s">
        <v>143</v>
      </c>
      <c r="B116" t="s">
        <v>22</v>
      </c>
      <c r="C116" t="s">
        <v>16</v>
      </c>
      <c r="D116" s="1">
        <v>45939</v>
      </c>
      <c r="E116" s="1">
        <v>45944</v>
      </c>
      <c r="F116" s="1">
        <v>45947</v>
      </c>
      <c r="G116" s="1">
        <v>45949</v>
      </c>
      <c r="H116" t="s">
        <v>17</v>
      </c>
      <c r="I116">
        <v>0</v>
      </c>
      <c r="J116" t="s">
        <v>18</v>
      </c>
      <c r="K116" s="1">
        <v>45969</v>
      </c>
      <c r="L116">
        <v>5</v>
      </c>
      <c r="M116">
        <v>3</v>
      </c>
      <c r="N116">
        <v>2</v>
      </c>
      <c r="O116">
        <v>10</v>
      </c>
      <c r="P116" t="str">
        <f t="shared" si="2"/>
        <v>Promoter</v>
      </c>
      <c r="Q116">
        <v>10</v>
      </c>
      <c r="R116" t="s">
        <v>1034</v>
      </c>
      <c r="S116">
        <v>10</v>
      </c>
      <c r="T116" t="s">
        <v>1034</v>
      </c>
      <c r="U116" t="str">
        <f t="shared" si="3"/>
        <v>Yes</v>
      </c>
    </row>
    <row r="117" spans="1:21" x14ac:dyDescent="0.3">
      <c r="A117" t="s">
        <v>496</v>
      </c>
      <c r="B117" t="s">
        <v>22</v>
      </c>
      <c r="C117" t="s">
        <v>474</v>
      </c>
      <c r="D117" s="1">
        <v>45938</v>
      </c>
      <c r="E117" s="1">
        <v>45939</v>
      </c>
      <c r="F117" s="1">
        <v>45943</v>
      </c>
      <c r="G117" s="1">
        <v>45947</v>
      </c>
      <c r="H117" t="s">
        <v>17</v>
      </c>
      <c r="I117">
        <v>0</v>
      </c>
      <c r="J117" t="s">
        <v>18</v>
      </c>
      <c r="K117" s="1">
        <v>45971</v>
      </c>
      <c r="L117">
        <v>1</v>
      </c>
      <c r="M117">
        <v>4</v>
      </c>
      <c r="N117">
        <v>4</v>
      </c>
      <c r="O117">
        <v>8</v>
      </c>
      <c r="P117" t="str">
        <f t="shared" si="2"/>
        <v>Passive</v>
      </c>
      <c r="Q117">
        <v>10</v>
      </c>
      <c r="R117" t="s">
        <v>1034</v>
      </c>
      <c r="S117">
        <v>10</v>
      </c>
      <c r="T117" t="s">
        <v>1034</v>
      </c>
      <c r="U117" t="str">
        <f t="shared" si="3"/>
        <v>Yes</v>
      </c>
    </row>
    <row r="118" spans="1:21" x14ac:dyDescent="0.3">
      <c r="A118" t="s">
        <v>865</v>
      </c>
      <c r="B118" t="s">
        <v>15</v>
      </c>
      <c r="C118" t="s">
        <v>841</v>
      </c>
      <c r="D118" s="1">
        <v>45934</v>
      </c>
      <c r="E118" s="1"/>
      <c r="F118" s="1"/>
      <c r="G118" s="1"/>
      <c r="H118" t="s">
        <v>752</v>
      </c>
      <c r="I118">
        <v>1</v>
      </c>
      <c r="J118" t="s">
        <v>753</v>
      </c>
      <c r="K118" s="1"/>
      <c r="P118" t="str">
        <f t="shared" si="2"/>
        <v>Not Applicable</v>
      </c>
      <c r="R118" t="s">
        <v>1036</v>
      </c>
      <c r="T118" t="s">
        <v>1036</v>
      </c>
      <c r="U118" t="str">
        <f t="shared" si="3"/>
        <v>No</v>
      </c>
    </row>
    <row r="119" spans="1:21" x14ac:dyDescent="0.3">
      <c r="A119" t="s">
        <v>497</v>
      </c>
      <c r="B119" t="s">
        <v>15</v>
      </c>
      <c r="C119" t="s">
        <v>474</v>
      </c>
      <c r="D119" s="1">
        <v>45954</v>
      </c>
      <c r="E119" s="1">
        <v>45955</v>
      </c>
      <c r="F119" s="1">
        <v>45957</v>
      </c>
      <c r="G119" s="1">
        <v>45959</v>
      </c>
      <c r="H119" t="s">
        <v>17</v>
      </c>
      <c r="I119">
        <v>0</v>
      </c>
      <c r="J119" t="s">
        <v>18</v>
      </c>
      <c r="K119" s="1">
        <v>45969</v>
      </c>
      <c r="L119">
        <v>1</v>
      </c>
      <c r="M119">
        <v>2</v>
      </c>
      <c r="N119">
        <v>2</v>
      </c>
      <c r="O119">
        <v>1</v>
      </c>
      <c r="P119" t="str">
        <f t="shared" si="2"/>
        <v>Detractor</v>
      </c>
      <c r="Q119">
        <v>10</v>
      </c>
      <c r="R119" t="s">
        <v>1034</v>
      </c>
      <c r="S119">
        <v>10</v>
      </c>
      <c r="T119" t="s">
        <v>1034</v>
      </c>
      <c r="U119" t="str">
        <f t="shared" si="3"/>
        <v>Yes</v>
      </c>
    </row>
    <row r="120" spans="1:21" x14ac:dyDescent="0.3">
      <c r="A120" t="s">
        <v>38</v>
      </c>
      <c r="B120" t="s">
        <v>15</v>
      </c>
      <c r="C120" t="s">
        <v>16</v>
      </c>
      <c r="D120" s="1">
        <v>45937</v>
      </c>
      <c r="E120" s="1">
        <v>45940</v>
      </c>
      <c r="F120" s="1">
        <v>45942</v>
      </c>
      <c r="G120" s="1">
        <v>45947</v>
      </c>
      <c r="H120" t="s">
        <v>17</v>
      </c>
      <c r="I120">
        <v>0</v>
      </c>
      <c r="J120" t="s">
        <v>18</v>
      </c>
      <c r="K120" s="1">
        <v>45965</v>
      </c>
      <c r="L120">
        <v>3</v>
      </c>
      <c r="M120">
        <v>2</v>
      </c>
      <c r="N120">
        <v>5</v>
      </c>
      <c r="O120">
        <v>5</v>
      </c>
      <c r="P120" t="str">
        <f t="shared" si="2"/>
        <v>Detractor</v>
      </c>
      <c r="Q120">
        <v>10</v>
      </c>
      <c r="R120" t="s">
        <v>1034</v>
      </c>
      <c r="S120">
        <v>10</v>
      </c>
      <c r="T120" t="s">
        <v>1034</v>
      </c>
      <c r="U120" t="str">
        <f t="shared" si="3"/>
        <v>Yes</v>
      </c>
    </row>
    <row r="121" spans="1:21" x14ac:dyDescent="0.3">
      <c r="A121" t="s">
        <v>866</v>
      </c>
      <c r="B121" t="s">
        <v>15</v>
      </c>
      <c r="C121" t="s">
        <v>841</v>
      </c>
      <c r="D121" s="1">
        <v>45941</v>
      </c>
      <c r="E121" s="1"/>
      <c r="F121" s="1"/>
      <c r="G121" s="1"/>
      <c r="H121" t="s">
        <v>752</v>
      </c>
      <c r="I121">
        <v>1</v>
      </c>
      <c r="J121" t="s">
        <v>758</v>
      </c>
      <c r="K121" s="1"/>
      <c r="P121" t="str">
        <f t="shared" si="2"/>
        <v>Not Applicable</v>
      </c>
      <c r="R121" t="s">
        <v>1036</v>
      </c>
      <c r="T121" t="s">
        <v>1036</v>
      </c>
      <c r="U121" t="str">
        <f t="shared" si="3"/>
        <v>No</v>
      </c>
    </row>
    <row r="122" spans="1:21" x14ac:dyDescent="0.3">
      <c r="A122" t="s">
        <v>239</v>
      </c>
      <c r="B122" t="s">
        <v>15</v>
      </c>
      <c r="C122" t="s">
        <v>16</v>
      </c>
      <c r="D122" s="1">
        <v>45934</v>
      </c>
      <c r="E122" s="1">
        <v>45938</v>
      </c>
      <c r="F122" s="1">
        <v>45943</v>
      </c>
      <c r="G122" s="1">
        <v>45946</v>
      </c>
      <c r="H122" t="s">
        <v>17</v>
      </c>
      <c r="I122">
        <v>0</v>
      </c>
      <c r="J122" t="s">
        <v>18</v>
      </c>
      <c r="K122" s="1">
        <v>45962</v>
      </c>
      <c r="L122">
        <v>4</v>
      </c>
      <c r="M122">
        <v>5</v>
      </c>
      <c r="N122">
        <v>3</v>
      </c>
      <c r="O122">
        <v>1</v>
      </c>
      <c r="P122" t="str">
        <f t="shared" si="2"/>
        <v>Detractor</v>
      </c>
      <c r="Q122">
        <v>10</v>
      </c>
      <c r="R122" t="s">
        <v>1034</v>
      </c>
      <c r="S122">
        <v>10</v>
      </c>
      <c r="T122" t="s">
        <v>1034</v>
      </c>
      <c r="U122" t="str">
        <f t="shared" si="3"/>
        <v>Yes</v>
      </c>
    </row>
    <row r="123" spans="1:21" x14ac:dyDescent="0.3">
      <c r="A123" t="s">
        <v>498</v>
      </c>
      <c r="B123" t="s">
        <v>15</v>
      </c>
      <c r="C123" t="s">
        <v>474</v>
      </c>
      <c r="D123" s="1">
        <v>45954</v>
      </c>
      <c r="E123" s="1">
        <v>45958</v>
      </c>
      <c r="F123" s="1">
        <v>45961</v>
      </c>
      <c r="G123" s="1">
        <v>45964</v>
      </c>
      <c r="H123" t="s">
        <v>17</v>
      </c>
      <c r="I123">
        <v>0</v>
      </c>
      <c r="J123" t="s">
        <v>18</v>
      </c>
      <c r="K123" s="1">
        <v>45981</v>
      </c>
      <c r="L123">
        <v>4</v>
      </c>
      <c r="M123">
        <v>3</v>
      </c>
      <c r="N123">
        <v>3</v>
      </c>
      <c r="O123">
        <v>2</v>
      </c>
      <c r="P123" t="str">
        <f t="shared" si="2"/>
        <v>Detractor</v>
      </c>
      <c r="Q123">
        <v>10</v>
      </c>
      <c r="R123" t="s">
        <v>1034</v>
      </c>
      <c r="S123">
        <v>11</v>
      </c>
      <c r="T123" t="s">
        <v>1035</v>
      </c>
      <c r="U123" t="str">
        <f t="shared" si="3"/>
        <v>Yes</v>
      </c>
    </row>
    <row r="124" spans="1:21" x14ac:dyDescent="0.3">
      <c r="A124" t="s">
        <v>499</v>
      </c>
      <c r="B124" t="s">
        <v>29</v>
      </c>
      <c r="C124" t="s">
        <v>474</v>
      </c>
      <c r="D124" s="1">
        <v>45948</v>
      </c>
      <c r="E124" s="1">
        <v>45952</v>
      </c>
      <c r="F124" s="1">
        <v>45957</v>
      </c>
      <c r="G124" s="1">
        <v>45962</v>
      </c>
      <c r="H124" t="s">
        <v>17</v>
      </c>
      <c r="I124">
        <v>0</v>
      </c>
      <c r="J124" t="s">
        <v>18</v>
      </c>
      <c r="K124" s="1">
        <v>45974</v>
      </c>
      <c r="L124">
        <v>4</v>
      </c>
      <c r="M124">
        <v>5</v>
      </c>
      <c r="N124">
        <v>5</v>
      </c>
      <c r="O124">
        <v>6</v>
      </c>
      <c r="P124" t="str">
        <f t="shared" si="2"/>
        <v>Detractor</v>
      </c>
      <c r="Q124">
        <v>10</v>
      </c>
      <c r="R124" t="s">
        <v>1034</v>
      </c>
      <c r="S124">
        <v>11</v>
      </c>
      <c r="T124" t="s">
        <v>1035</v>
      </c>
      <c r="U124" t="str">
        <f t="shared" si="3"/>
        <v>Yes</v>
      </c>
    </row>
    <row r="125" spans="1:21" x14ac:dyDescent="0.3">
      <c r="A125" t="s">
        <v>693</v>
      </c>
      <c r="B125" t="s">
        <v>29</v>
      </c>
      <c r="C125" t="s">
        <v>474</v>
      </c>
      <c r="D125" s="1">
        <v>45961</v>
      </c>
      <c r="E125" s="1">
        <v>45966</v>
      </c>
      <c r="F125" s="1">
        <v>45969</v>
      </c>
      <c r="G125" s="1">
        <v>45975</v>
      </c>
      <c r="H125" t="s">
        <v>17</v>
      </c>
      <c r="I125">
        <v>0</v>
      </c>
      <c r="J125" t="s">
        <v>18</v>
      </c>
      <c r="K125" s="1">
        <v>45996</v>
      </c>
      <c r="L125">
        <v>5</v>
      </c>
      <c r="M125">
        <v>3</v>
      </c>
      <c r="N125">
        <v>6</v>
      </c>
      <c r="O125">
        <v>5</v>
      </c>
      <c r="P125" t="str">
        <f t="shared" si="2"/>
        <v>Detractor</v>
      </c>
      <c r="Q125">
        <v>11</v>
      </c>
      <c r="R125" t="s">
        <v>1035</v>
      </c>
      <c r="S125">
        <v>11</v>
      </c>
      <c r="T125" t="s">
        <v>1035</v>
      </c>
      <c r="U125" t="str">
        <f t="shared" si="3"/>
        <v>Yes</v>
      </c>
    </row>
    <row r="126" spans="1:21" x14ac:dyDescent="0.3">
      <c r="A126" t="s">
        <v>240</v>
      </c>
      <c r="B126" t="s">
        <v>29</v>
      </c>
      <c r="C126" t="s">
        <v>16</v>
      </c>
      <c r="D126" s="1">
        <v>45955</v>
      </c>
      <c r="E126" s="1">
        <v>45959</v>
      </c>
      <c r="F126" s="1">
        <v>45961</v>
      </c>
      <c r="G126" s="1">
        <v>45967</v>
      </c>
      <c r="H126" t="s">
        <v>17</v>
      </c>
      <c r="I126">
        <v>0</v>
      </c>
      <c r="J126" t="s">
        <v>18</v>
      </c>
      <c r="K126" s="1">
        <v>45985</v>
      </c>
      <c r="L126">
        <v>4</v>
      </c>
      <c r="M126">
        <v>2</v>
      </c>
      <c r="N126">
        <v>6</v>
      </c>
      <c r="O126">
        <v>4</v>
      </c>
      <c r="P126" t="str">
        <f t="shared" si="2"/>
        <v>Detractor</v>
      </c>
      <c r="Q126">
        <v>10</v>
      </c>
      <c r="R126" t="s">
        <v>1034</v>
      </c>
      <c r="S126">
        <v>11</v>
      </c>
      <c r="T126" t="s">
        <v>1035</v>
      </c>
      <c r="U126" t="str">
        <f t="shared" si="3"/>
        <v>Yes</v>
      </c>
    </row>
    <row r="127" spans="1:21" x14ac:dyDescent="0.3">
      <c r="A127" t="s">
        <v>500</v>
      </c>
      <c r="B127" t="s">
        <v>29</v>
      </c>
      <c r="C127" t="s">
        <v>474</v>
      </c>
      <c r="D127" s="1">
        <v>45953</v>
      </c>
      <c r="E127" s="1">
        <v>45957</v>
      </c>
      <c r="F127" s="1">
        <v>45958</v>
      </c>
      <c r="G127" s="1">
        <v>45965</v>
      </c>
      <c r="H127" t="s">
        <v>17</v>
      </c>
      <c r="I127">
        <v>0</v>
      </c>
      <c r="J127" t="s">
        <v>18</v>
      </c>
      <c r="K127" s="1">
        <v>45978</v>
      </c>
      <c r="L127">
        <v>4</v>
      </c>
      <c r="M127">
        <v>1</v>
      </c>
      <c r="N127">
        <v>7</v>
      </c>
      <c r="O127">
        <v>0</v>
      </c>
      <c r="P127" t="str">
        <f t="shared" si="2"/>
        <v>Detractor</v>
      </c>
      <c r="Q127">
        <v>10</v>
      </c>
      <c r="R127" t="s">
        <v>1034</v>
      </c>
      <c r="S127">
        <v>11</v>
      </c>
      <c r="T127" t="s">
        <v>1035</v>
      </c>
      <c r="U127" t="str">
        <f t="shared" si="3"/>
        <v>Yes</v>
      </c>
    </row>
    <row r="128" spans="1:21" x14ac:dyDescent="0.3">
      <c r="A128" t="s">
        <v>39</v>
      </c>
      <c r="B128" t="s">
        <v>15</v>
      </c>
      <c r="C128" t="s">
        <v>16</v>
      </c>
      <c r="D128" s="1">
        <v>45936</v>
      </c>
      <c r="E128" s="1">
        <v>45939</v>
      </c>
      <c r="F128" s="1">
        <v>45944</v>
      </c>
      <c r="G128" s="1">
        <v>45949</v>
      </c>
      <c r="H128" t="s">
        <v>17</v>
      </c>
      <c r="I128">
        <v>0</v>
      </c>
      <c r="J128" t="s">
        <v>18</v>
      </c>
      <c r="K128" s="1">
        <v>45959</v>
      </c>
      <c r="L128">
        <v>3</v>
      </c>
      <c r="M128">
        <v>5</v>
      </c>
      <c r="N128">
        <v>5</v>
      </c>
      <c r="O128">
        <v>4</v>
      </c>
      <c r="P128" t="str">
        <f t="shared" si="2"/>
        <v>Detractor</v>
      </c>
      <c r="Q128">
        <v>10</v>
      </c>
      <c r="R128" t="s">
        <v>1034</v>
      </c>
      <c r="S128">
        <v>10</v>
      </c>
      <c r="T128" t="s">
        <v>1034</v>
      </c>
      <c r="U128" t="str">
        <f t="shared" si="3"/>
        <v>Yes</v>
      </c>
    </row>
    <row r="129" spans="1:21" x14ac:dyDescent="0.3">
      <c r="A129" t="s">
        <v>867</v>
      </c>
      <c r="B129" t="s">
        <v>22</v>
      </c>
      <c r="C129" t="s">
        <v>841</v>
      </c>
      <c r="D129" s="1">
        <v>45937</v>
      </c>
      <c r="E129" s="1"/>
      <c r="F129" s="1"/>
      <c r="G129" s="1"/>
      <c r="H129" t="s">
        <v>752</v>
      </c>
      <c r="I129">
        <v>1</v>
      </c>
      <c r="J129" t="s">
        <v>756</v>
      </c>
      <c r="K129" s="1"/>
      <c r="P129" t="str">
        <f t="shared" si="2"/>
        <v>Not Applicable</v>
      </c>
      <c r="R129" t="s">
        <v>1036</v>
      </c>
      <c r="T129" t="s">
        <v>1036</v>
      </c>
      <c r="U129" t="str">
        <f t="shared" si="3"/>
        <v>No</v>
      </c>
    </row>
    <row r="130" spans="1:21" x14ac:dyDescent="0.3">
      <c r="A130" t="s">
        <v>501</v>
      </c>
      <c r="B130" t="s">
        <v>27</v>
      </c>
      <c r="C130" t="s">
        <v>474</v>
      </c>
      <c r="D130" s="1">
        <v>45937</v>
      </c>
      <c r="E130" s="1">
        <v>45939</v>
      </c>
      <c r="F130" s="1">
        <v>45944</v>
      </c>
      <c r="G130" s="1">
        <v>45949</v>
      </c>
      <c r="H130" t="s">
        <v>17</v>
      </c>
      <c r="I130">
        <v>0</v>
      </c>
      <c r="J130" t="s">
        <v>18</v>
      </c>
      <c r="K130" s="1">
        <v>45960</v>
      </c>
      <c r="L130">
        <v>2</v>
      </c>
      <c r="M130">
        <v>5</v>
      </c>
      <c r="N130">
        <v>5</v>
      </c>
      <c r="O130">
        <v>4</v>
      </c>
      <c r="P130" t="str">
        <f t="shared" ref="P130:P193" si="4">IF(ISBLANK(O130), "Not Applicable", IF(O130&gt;=9, "Promoter", IF(O130&gt;=7, "Passive", "Detractor")))</f>
        <v>Detractor</v>
      </c>
      <c r="Q130">
        <v>10</v>
      </c>
      <c r="R130" t="s">
        <v>1034</v>
      </c>
      <c r="S130">
        <v>10</v>
      </c>
      <c r="T130" t="s">
        <v>1034</v>
      </c>
      <c r="U130" t="str">
        <f t="shared" ref="U130:U193" si="5">IF(
H130="Yes","No",
IF(
OR(
C130="Hot",
AND(C130="Warm",NOT(ISBLANK(E130)))
),
"Yes",
"No"
)
)</f>
        <v>Yes</v>
      </c>
    </row>
    <row r="131" spans="1:21" x14ac:dyDescent="0.3">
      <c r="A131" t="s">
        <v>868</v>
      </c>
      <c r="B131" t="s">
        <v>15</v>
      </c>
      <c r="C131" t="s">
        <v>841</v>
      </c>
      <c r="D131" s="1">
        <v>45954</v>
      </c>
      <c r="E131" s="1"/>
      <c r="F131" s="1"/>
      <c r="G131" s="1"/>
      <c r="H131" t="s">
        <v>752</v>
      </c>
      <c r="I131">
        <v>1</v>
      </c>
      <c r="J131" t="s">
        <v>756</v>
      </c>
      <c r="K131" s="1"/>
      <c r="P131" t="str">
        <f t="shared" si="4"/>
        <v>Not Applicable</v>
      </c>
      <c r="R131" t="s">
        <v>1036</v>
      </c>
      <c r="T131" t="s">
        <v>1036</v>
      </c>
      <c r="U131" t="str">
        <f t="shared" si="5"/>
        <v>No</v>
      </c>
    </row>
    <row r="132" spans="1:21" x14ac:dyDescent="0.3">
      <c r="A132" t="s">
        <v>869</v>
      </c>
      <c r="B132" t="s">
        <v>27</v>
      </c>
      <c r="C132" t="s">
        <v>841</v>
      </c>
      <c r="D132" s="1">
        <v>45946</v>
      </c>
      <c r="E132" s="1"/>
      <c r="F132" s="1"/>
      <c r="G132" s="1"/>
      <c r="H132" t="s">
        <v>752</v>
      </c>
      <c r="I132">
        <v>1</v>
      </c>
      <c r="J132" t="s">
        <v>765</v>
      </c>
      <c r="K132" s="1"/>
      <c r="P132" t="str">
        <f t="shared" si="4"/>
        <v>Not Applicable</v>
      </c>
      <c r="R132" t="s">
        <v>1036</v>
      </c>
      <c r="T132" t="s">
        <v>1036</v>
      </c>
      <c r="U132" t="str">
        <f t="shared" si="5"/>
        <v>No</v>
      </c>
    </row>
    <row r="133" spans="1:21" x14ac:dyDescent="0.3">
      <c r="A133" t="s">
        <v>694</v>
      </c>
      <c r="B133" t="s">
        <v>22</v>
      </c>
      <c r="C133" t="s">
        <v>474</v>
      </c>
      <c r="D133" s="1">
        <v>45939</v>
      </c>
      <c r="E133" s="1">
        <v>45944</v>
      </c>
      <c r="F133" s="1">
        <v>45946</v>
      </c>
      <c r="G133" s="1">
        <v>45953</v>
      </c>
      <c r="H133" t="s">
        <v>17</v>
      </c>
      <c r="I133">
        <v>0</v>
      </c>
      <c r="J133" t="s">
        <v>18</v>
      </c>
      <c r="K133" s="1">
        <v>45975</v>
      </c>
      <c r="L133">
        <v>5</v>
      </c>
      <c r="M133">
        <v>2</v>
      </c>
      <c r="N133">
        <v>7</v>
      </c>
      <c r="O133">
        <v>4</v>
      </c>
      <c r="P133" t="str">
        <f t="shared" si="4"/>
        <v>Detractor</v>
      </c>
      <c r="Q133">
        <v>10</v>
      </c>
      <c r="R133" t="s">
        <v>1034</v>
      </c>
      <c r="S133">
        <v>10</v>
      </c>
      <c r="T133" t="s">
        <v>1034</v>
      </c>
      <c r="U133" t="str">
        <f t="shared" si="5"/>
        <v>Yes</v>
      </c>
    </row>
    <row r="134" spans="1:21" x14ac:dyDescent="0.3">
      <c r="A134" t="s">
        <v>870</v>
      </c>
      <c r="B134" t="s">
        <v>29</v>
      </c>
      <c r="C134" t="s">
        <v>841</v>
      </c>
      <c r="D134" s="1">
        <v>45954</v>
      </c>
      <c r="E134" s="1"/>
      <c r="F134" s="1"/>
      <c r="G134" s="1"/>
      <c r="H134" t="s">
        <v>752</v>
      </c>
      <c r="I134">
        <v>1</v>
      </c>
      <c r="J134" t="s">
        <v>756</v>
      </c>
      <c r="K134" s="1"/>
      <c r="P134" t="str">
        <f t="shared" si="4"/>
        <v>Not Applicable</v>
      </c>
      <c r="R134" t="s">
        <v>1036</v>
      </c>
      <c r="T134" t="s">
        <v>1036</v>
      </c>
      <c r="U134" t="str">
        <f t="shared" si="5"/>
        <v>No</v>
      </c>
    </row>
    <row r="135" spans="1:21" x14ac:dyDescent="0.3">
      <c r="A135" t="s">
        <v>328</v>
      </c>
      <c r="B135" t="s">
        <v>22</v>
      </c>
      <c r="C135" t="s">
        <v>16</v>
      </c>
      <c r="D135" s="1">
        <v>45949</v>
      </c>
      <c r="E135" s="1">
        <v>45950</v>
      </c>
      <c r="F135" s="1">
        <v>45952</v>
      </c>
      <c r="G135" s="1">
        <v>45957</v>
      </c>
      <c r="H135" t="s">
        <v>17</v>
      </c>
      <c r="I135">
        <v>0</v>
      </c>
      <c r="J135" t="s">
        <v>18</v>
      </c>
      <c r="K135" s="1">
        <v>45981</v>
      </c>
      <c r="L135">
        <v>1</v>
      </c>
      <c r="M135">
        <v>2</v>
      </c>
      <c r="N135">
        <v>5</v>
      </c>
      <c r="O135">
        <v>2</v>
      </c>
      <c r="P135" t="str">
        <f t="shared" si="4"/>
        <v>Detractor</v>
      </c>
      <c r="Q135">
        <v>10</v>
      </c>
      <c r="R135" t="s">
        <v>1034</v>
      </c>
      <c r="S135">
        <v>10</v>
      </c>
      <c r="T135" t="s">
        <v>1034</v>
      </c>
      <c r="U135" t="str">
        <f t="shared" si="5"/>
        <v>Yes</v>
      </c>
    </row>
    <row r="136" spans="1:21" x14ac:dyDescent="0.3">
      <c r="A136" t="s">
        <v>871</v>
      </c>
      <c r="B136" t="s">
        <v>15</v>
      </c>
      <c r="C136" t="s">
        <v>841</v>
      </c>
      <c r="D136" s="1">
        <v>45955</v>
      </c>
      <c r="E136" s="1"/>
      <c r="F136" s="1"/>
      <c r="G136" s="1"/>
      <c r="H136" t="s">
        <v>752</v>
      </c>
      <c r="I136">
        <v>1</v>
      </c>
      <c r="J136" t="s">
        <v>777</v>
      </c>
      <c r="K136" s="1"/>
      <c r="P136" t="str">
        <f t="shared" si="4"/>
        <v>Not Applicable</v>
      </c>
      <c r="R136" t="s">
        <v>1036</v>
      </c>
      <c r="T136" t="s">
        <v>1036</v>
      </c>
      <c r="U136" t="str">
        <f t="shared" si="5"/>
        <v>No</v>
      </c>
    </row>
    <row r="137" spans="1:21" x14ac:dyDescent="0.3">
      <c r="A137" t="s">
        <v>40</v>
      </c>
      <c r="B137" t="s">
        <v>29</v>
      </c>
      <c r="C137" t="s">
        <v>16</v>
      </c>
      <c r="D137" s="1">
        <v>45947</v>
      </c>
      <c r="E137" s="1">
        <v>45950</v>
      </c>
      <c r="F137" s="1">
        <v>45951</v>
      </c>
      <c r="G137" s="1">
        <v>45956</v>
      </c>
      <c r="H137" t="s">
        <v>17</v>
      </c>
      <c r="I137">
        <v>0</v>
      </c>
      <c r="J137" t="s">
        <v>18</v>
      </c>
      <c r="K137" s="1">
        <v>45979</v>
      </c>
      <c r="L137">
        <v>3</v>
      </c>
      <c r="M137">
        <v>1</v>
      </c>
      <c r="N137">
        <v>5</v>
      </c>
      <c r="O137">
        <v>3</v>
      </c>
      <c r="P137" t="str">
        <f t="shared" si="4"/>
        <v>Detractor</v>
      </c>
      <c r="Q137">
        <v>10</v>
      </c>
      <c r="R137" t="s">
        <v>1034</v>
      </c>
      <c r="S137">
        <v>10</v>
      </c>
      <c r="T137" t="s">
        <v>1034</v>
      </c>
      <c r="U137" t="str">
        <f t="shared" si="5"/>
        <v>Yes</v>
      </c>
    </row>
    <row r="138" spans="1:21" x14ac:dyDescent="0.3">
      <c r="A138" t="s">
        <v>241</v>
      </c>
      <c r="B138" t="s">
        <v>15</v>
      </c>
      <c r="C138" t="s">
        <v>16</v>
      </c>
      <c r="D138" s="1">
        <v>45950</v>
      </c>
      <c r="E138" s="1">
        <v>45954</v>
      </c>
      <c r="F138" s="1">
        <v>45959</v>
      </c>
      <c r="G138" s="1">
        <v>45966</v>
      </c>
      <c r="H138" t="s">
        <v>17</v>
      </c>
      <c r="I138">
        <v>0</v>
      </c>
      <c r="J138" t="s">
        <v>18</v>
      </c>
      <c r="K138" s="1">
        <v>45981</v>
      </c>
      <c r="L138">
        <v>4</v>
      </c>
      <c r="M138">
        <v>5</v>
      </c>
      <c r="N138">
        <v>7</v>
      </c>
      <c r="O138">
        <v>0</v>
      </c>
      <c r="P138" t="str">
        <f t="shared" si="4"/>
        <v>Detractor</v>
      </c>
      <c r="Q138">
        <v>10</v>
      </c>
      <c r="R138" t="s">
        <v>1034</v>
      </c>
      <c r="S138">
        <v>11</v>
      </c>
      <c r="T138" t="s">
        <v>1035</v>
      </c>
      <c r="U138" t="str">
        <f t="shared" si="5"/>
        <v>Yes</v>
      </c>
    </row>
    <row r="139" spans="1:21" x14ac:dyDescent="0.3">
      <c r="A139" t="s">
        <v>764</v>
      </c>
      <c r="B139" t="s">
        <v>29</v>
      </c>
      <c r="C139" t="s">
        <v>16</v>
      </c>
      <c r="D139" s="1">
        <v>45940</v>
      </c>
      <c r="E139" s="1">
        <v>45941</v>
      </c>
      <c r="F139" s="1">
        <v>45943</v>
      </c>
      <c r="G139" s="1">
        <v>45948</v>
      </c>
      <c r="H139" t="s">
        <v>752</v>
      </c>
      <c r="I139">
        <v>1</v>
      </c>
      <c r="J139" t="s">
        <v>765</v>
      </c>
      <c r="K139" s="1"/>
      <c r="L139">
        <v>1</v>
      </c>
      <c r="M139">
        <v>2</v>
      </c>
      <c r="N139">
        <v>5</v>
      </c>
      <c r="P139" t="str">
        <f t="shared" si="4"/>
        <v>Not Applicable</v>
      </c>
      <c r="Q139">
        <v>10</v>
      </c>
      <c r="R139" t="s">
        <v>1034</v>
      </c>
      <c r="S139">
        <v>10</v>
      </c>
      <c r="T139" t="s">
        <v>1034</v>
      </c>
      <c r="U139" t="str">
        <f t="shared" si="5"/>
        <v>No</v>
      </c>
    </row>
    <row r="140" spans="1:21" x14ac:dyDescent="0.3">
      <c r="A140" t="s">
        <v>872</v>
      </c>
      <c r="B140" t="s">
        <v>27</v>
      </c>
      <c r="C140" t="s">
        <v>841</v>
      </c>
      <c r="D140" s="1">
        <v>45934</v>
      </c>
      <c r="E140" s="1"/>
      <c r="F140" s="1"/>
      <c r="G140" s="1"/>
      <c r="H140" t="s">
        <v>752</v>
      </c>
      <c r="I140">
        <v>1</v>
      </c>
      <c r="J140" t="s">
        <v>777</v>
      </c>
      <c r="K140" s="1"/>
      <c r="P140" t="str">
        <f t="shared" si="4"/>
        <v>Not Applicable</v>
      </c>
      <c r="R140" t="s">
        <v>1036</v>
      </c>
      <c r="T140" t="s">
        <v>1036</v>
      </c>
      <c r="U140" t="str">
        <f t="shared" si="5"/>
        <v>No</v>
      </c>
    </row>
    <row r="141" spans="1:21" x14ac:dyDescent="0.3">
      <c r="A141" t="s">
        <v>41</v>
      </c>
      <c r="B141" t="s">
        <v>27</v>
      </c>
      <c r="C141" t="s">
        <v>16</v>
      </c>
      <c r="D141" s="1">
        <v>45957</v>
      </c>
      <c r="E141" s="1">
        <v>45960</v>
      </c>
      <c r="F141" s="1">
        <v>45962</v>
      </c>
      <c r="G141" s="1">
        <v>45967</v>
      </c>
      <c r="H141" t="s">
        <v>17</v>
      </c>
      <c r="I141">
        <v>0</v>
      </c>
      <c r="J141" t="s">
        <v>18</v>
      </c>
      <c r="K141" s="1">
        <v>45990</v>
      </c>
      <c r="L141">
        <v>3</v>
      </c>
      <c r="M141">
        <v>2</v>
      </c>
      <c r="N141">
        <v>5</v>
      </c>
      <c r="O141">
        <v>5</v>
      </c>
      <c r="P141" t="str">
        <f t="shared" si="4"/>
        <v>Detractor</v>
      </c>
      <c r="Q141">
        <v>10</v>
      </c>
      <c r="R141" t="s">
        <v>1034</v>
      </c>
      <c r="S141">
        <v>11</v>
      </c>
      <c r="T141" t="s">
        <v>1035</v>
      </c>
      <c r="U141" t="str">
        <f t="shared" si="5"/>
        <v>Yes</v>
      </c>
    </row>
    <row r="142" spans="1:21" x14ac:dyDescent="0.3">
      <c r="A142" t="s">
        <v>144</v>
      </c>
      <c r="B142" t="s">
        <v>27</v>
      </c>
      <c r="C142" t="s">
        <v>16</v>
      </c>
      <c r="D142" s="1">
        <v>45937</v>
      </c>
      <c r="E142" s="1">
        <v>45942</v>
      </c>
      <c r="F142" s="1">
        <v>45943</v>
      </c>
      <c r="G142" s="1">
        <v>45946</v>
      </c>
      <c r="H142" t="s">
        <v>17</v>
      </c>
      <c r="I142">
        <v>0</v>
      </c>
      <c r="J142" t="s">
        <v>18</v>
      </c>
      <c r="K142" s="1">
        <v>45971</v>
      </c>
      <c r="L142">
        <v>5</v>
      </c>
      <c r="M142">
        <v>1</v>
      </c>
      <c r="N142">
        <v>3</v>
      </c>
      <c r="O142">
        <v>0</v>
      </c>
      <c r="P142" t="str">
        <f t="shared" si="4"/>
        <v>Detractor</v>
      </c>
      <c r="Q142">
        <v>10</v>
      </c>
      <c r="R142" t="s">
        <v>1034</v>
      </c>
      <c r="S142">
        <v>10</v>
      </c>
      <c r="T142" t="s">
        <v>1034</v>
      </c>
      <c r="U142" t="str">
        <f t="shared" si="5"/>
        <v>Yes</v>
      </c>
    </row>
    <row r="143" spans="1:21" x14ac:dyDescent="0.3">
      <c r="A143" t="s">
        <v>873</v>
      </c>
      <c r="B143" t="s">
        <v>22</v>
      </c>
      <c r="C143" t="s">
        <v>841</v>
      </c>
      <c r="D143" s="1">
        <v>45940</v>
      </c>
      <c r="E143" s="1"/>
      <c r="F143" s="1"/>
      <c r="G143" s="1"/>
      <c r="H143" t="s">
        <v>752</v>
      </c>
      <c r="I143">
        <v>1</v>
      </c>
      <c r="J143" t="s">
        <v>758</v>
      </c>
      <c r="K143" s="1"/>
      <c r="P143" t="str">
        <f t="shared" si="4"/>
        <v>Not Applicable</v>
      </c>
      <c r="R143" t="s">
        <v>1036</v>
      </c>
      <c r="T143" t="s">
        <v>1036</v>
      </c>
      <c r="U143" t="str">
        <f t="shared" si="5"/>
        <v>No</v>
      </c>
    </row>
    <row r="144" spans="1:21" x14ac:dyDescent="0.3">
      <c r="A144" t="s">
        <v>502</v>
      </c>
      <c r="B144" t="s">
        <v>15</v>
      </c>
      <c r="C144" t="s">
        <v>474</v>
      </c>
      <c r="D144" s="1">
        <v>45938</v>
      </c>
      <c r="E144" s="1">
        <v>45942</v>
      </c>
      <c r="F144" s="1">
        <v>45943</v>
      </c>
      <c r="G144" s="1">
        <v>45945</v>
      </c>
      <c r="H144" t="s">
        <v>17</v>
      </c>
      <c r="I144">
        <v>0</v>
      </c>
      <c r="J144" t="s">
        <v>18</v>
      </c>
      <c r="K144" s="1">
        <v>45967</v>
      </c>
      <c r="L144">
        <v>4</v>
      </c>
      <c r="M144">
        <v>1</v>
      </c>
      <c r="N144">
        <v>2</v>
      </c>
      <c r="O144">
        <v>4</v>
      </c>
      <c r="P144" t="str">
        <f t="shared" si="4"/>
        <v>Detractor</v>
      </c>
      <c r="Q144">
        <v>10</v>
      </c>
      <c r="R144" t="s">
        <v>1034</v>
      </c>
      <c r="S144">
        <v>10</v>
      </c>
      <c r="T144" t="s">
        <v>1034</v>
      </c>
      <c r="U144" t="str">
        <f t="shared" si="5"/>
        <v>Yes</v>
      </c>
    </row>
    <row r="145" spans="1:21" x14ac:dyDescent="0.3">
      <c r="A145" t="s">
        <v>695</v>
      </c>
      <c r="B145" t="s">
        <v>22</v>
      </c>
      <c r="C145" t="s">
        <v>474</v>
      </c>
      <c r="D145" s="1">
        <v>45942</v>
      </c>
      <c r="E145" s="1">
        <v>45947</v>
      </c>
      <c r="F145" s="1">
        <v>45951</v>
      </c>
      <c r="G145" s="1">
        <v>45957</v>
      </c>
      <c r="H145" t="s">
        <v>17</v>
      </c>
      <c r="I145">
        <v>0</v>
      </c>
      <c r="J145" t="s">
        <v>18</v>
      </c>
      <c r="K145" s="1">
        <v>45978</v>
      </c>
      <c r="L145">
        <v>5</v>
      </c>
      <c r="M145">
        <v>4</v>
      </c>
      <c r="N145">
        <v>6</v>
      </c>
      <c r="O145">
        <v>1</v>
      </c>
      <c r="P145" t="str">
        <f t="shared" si="4"/>
        <v>Detractor</v>
      </c>
      <c r="Q145">
        <v>10</v>
      </c>
      <c r="R145" t="s">
        <v>1034</v>
      </c>
      <c r="S145">
        <v>10</v>
      </c>
      <c r="T145" t="s">
        <v>1034</v>
      </c>
      <c r="U145" t="str">
        <f t="shared" si="5"/>
        <v>Yes</v>
      </c>
    </row>
    <row r="146" spans="1:21" x14ac:dyDescent="0.3">
      <c r="A146" t="s">
        <v>503</v>
      </c>
      <c r="B146" t="s">
        <v>27</v>
      </c>
      <c r="C146" t="s">
        <v>474</v>
      </c>
      <c r="D146" s="1">
        <v>45936</v>
      </c>
      <c r="E146" s="1">
        <v>45939</v>
      </c>
      <c r="F146" s="1">
        <v>45942</v>
      </c>
      <c r="G146" s="1">
        <v>45944</v>
      </c>
      <c r="H146" t="s">
        <v>17</v>
      </c>
      <c r="I146">
        <v>0</v>
      </c>
      <c r="J146" t="s">
        <v>18</v>
      </c>
      <c r="K146" s="1">
        <v>45971</v>
      </c>
      <c r="L146">
        <v>3</v>
      </c>
      <c r="M146">
        <v>3</v>
      </c>
      <c r="N146">
        <v>2</v>
      </c>
      <c r="O146">
        <v>6</v>
      </c>
      <c r="P146" t="str">
        <f t="shared" si="4"/>
        <v>Detractor</v>
      </c>
      <c r="Q146">
        <v>10</v>
      </c>
      <c r="R146" t="s">
        <v>1034</v>
      </c>
      <c r="S146">
        <v>10</v>
      </c>
      <c r="T146" t="s">
        <v>1034</v>
      </c>
      <c r="U146" t="str">
        <f t="shared" si="5"/>
        <v>Yes</v>
      </c>
    </row>
    <row r="147" spans="1:21" x14ac:dyDescent="0.3">
      <c r="A147" t="s">
        <v>329</v>
      </c>
      <c r="B147" t="s">
        <v>15</v>
      </c>
      <c r="C147" t="s">
        <v>16</v>
      </c>
      <c r="D147" s="1">
        <v>45940</v>
      </c>
      <c r="E147" s="1">
        <v>45941</v>
      </c>
      <c r="F147" s="1">
        <v>45945</v>
      </c>
      <c r="G147" s="1">
        <v>45948</v>
      </c>
      <c r="H147" t="s">
        <v>17</v>
      </c>
      <c r="I147">
        <v>0</v>
      </c>
      <c r="J147" t="s">
        <v>18</v>
      </c>
      <c r="K147" s="1">
        <v>45970</v>
      </c>
      <c r="L147">
        <v>1</v>
      </c>
      <c r="M147">
        <v>4</v>
      </c>
      <c r="N147">
        <v>3</v>
      </c>
      <c r="O147">
        <v>1</v>
      </c>
      <c r="P147" t="str">
        <f t="shared" si="4"/>
        <v>Detractor</v>
      </c>
      <c r="Q147">
        <v>10</v>
      </c>
      <c r="R147" t="s">
        <v>1034</v>
      </c>
      <c r="S147">
        <v>10</v>
      </c>
      <c r="T147" t="s">
        <v>1034</v>
      </c>
      <c r="U147" t="str">
        <f t="shared" si="5"/>
        <v>Yes</v>
      </c>
    </row>
    <row r="148" spans="1:21" x14ac:dyDescent="0.3">
      <c r="A148" t="s">
        <v>504</v>
      </c>
      <c r="B148" t="s">
        <v>27</v>
      </c>
      <c r="C148" t="s">
        <v>474</v>
      </c>
      <c r="D148" s="1">
        <v>45931</v>
      </c>
      <c r="E148" s="1">
        <v>45933</v>
      </c>
      <c r="F148" s="1">
        <v>45934</v>
      </c>
      <c r="G148" s="1">
        <v>45938</v>
      </c>
      <c r="H148" t="s">
        <v>17</v>
      </c>
      <c r="I148">
        <v>0</v>
      </c>
      <c r="J148" t="s">
        <v>18</v>
      </c>
      <c r="K148" s="1">
        <v>45951</v>
      </c>
      <c r="L148">
        <v>2</v>
      </c>
      <c r="M148">
        <v>1</v>
      </c>
      <c r="N148">
        <v>4</v>
      </c>
      <c r="O148">
        <v>6</v>
      </c>
      <c r="P148" t="str">
        <f t="shared" si="4"/>
        <v>Detractor</v>
      </c>
      <c r="Q148">
        <v>10</v>
      </c>
      <c r="R148" t="s">
        <v>1034</v>
      </c>
      <c r="S148">
        <v>10</v>
      </c>
      <c r="T148" t="s">
        <v>1034</v>
      </c>
      <c r="U148" t="str">
        <f t="shared" si="5"/>
        <v>Yes</v>
      </c>
    </row>
    <row r="149" spans="1:21" x14ac:dyDescent="0.3">
      <c r="A149" t="s">
        <v>874</v>
      </c>
      <c r="B149" t="s">
        <v>22</v>
      </c>
      <c r="C149" t="s">
        <v>841</v>
      </c>
      <c r="D149" s="1">
        <v>45953</v>
      </c>
      <c r="E149" s="1"/>
      <c r="F149" s="1"/>
      <c r="G149" s="1"/>
      <c r="H149" t="s">
        <v>752</v>
      </c>
      <c r="I149">
        <v>1</v>
      </c>
      <c r="J149" t="s">
        <v>753</v>
      </c>
      <c r="K149" s="1"/>
      <c r="P149" t="str">
        <f t="shared" si="4"/>
        <v>Not Applicable</v>
      </c>
      <c r="R149" t="s">
        <v>1036</v>
      </c>
      <c r="T149" t="s">
        <v>1036</v>
      </c>
      <c r="U149" t="str">
        <f t="shared" si="5"/>
        <v>No</v>
      </c>
    </row>
    <row r="150" spans="1:21" x14ac:dyDescent="0.3">
      <c r="A150" t="s">
        <v>505</v>
      </c>
      <c r="B150" t="s">
        <v>22</v>
      </c>
      <c r="C150" t="s">
        <v>474</v>
      </c>
      <c r="D150" s="1">
        <v>45948</v>
      </c>
      <c r="E150" s="1">
        <v>45952</v>
      </c>
      <c r="F150" s="1">
        <v>45954</v>
      </c>
      <c r="G150" s="1">
        <v>45956</v>
      </c>
      <c r="H150" t="s">
        <v>17</v>
      </c>
      <c r="I150">
        <v>0</v>
      </c>
      <c r="J150" t="s">
        <v>18</v>
      </c>
      <c r="K150" s="1">
        <v>45981</v>
      </c>
      <c r="L150">
        <v>4</v>
      </c>
      <c r="M150">
        <v>2</v>
      </c>
      <c r="N150">
        <v>2</v>
      </c>
      <c r="O150">
        <v>5</v>
      </c>
      <c r="P150" t="str">
        <f t="shared" si="4"/>
        <v>Detractor</v>
      </c>
      <c r="Q150">
        <v>10</v>
      </c>
      <c r="R150" t="s">
        <v>1034</v>
      </c>
      <c r="S150">
        <v>10</v>
      </c>
      <c r="T150" t="s">
        <v>1034</v>
      </c>
      <c r="U150" t="str">
        <f t="shared" si="5"/>
        <v>Yes</v>
      </c>
    </row>
    <row r="151" spans="1:21" x14ac:dyDescent="0.3">
      <c r="A151" t="s">
        <v>145</v>
      </c>
      <c r="B151" t="s">
        <v>22</v>
      </c>
      <c r="C151" t="s">
        <v>16</v>
      </c>
      <c r="D151" s="1">
        <v>45935</v>
      </c>
      <c r="E151" s="1">
        <v>45940</v>
      </c>
      <c r="F151" s="1">
        <v>45941</v>
      </c>
      <c r="G151" s="1">
        <v>45945</v>
      </c>
      <c r="H151" t="s">
        <v>17</v>
      </c>
      <c r="I151">
        <v>0</v>
      </c>
      <c r="J151" t="s">
        <v>18</v>
      </c>
      <c r="K151" s="1">
        <v>45973</v>
      </c>
      <c r="L151">
        <v>5</v>
      </c>
      <c r="M151">
        <v>1</v>
      </c>
      <c r="N151">
        <v>4</v>
      </c>
      <c r="O151">
        <v>4</v>
      </c>
      <c r="P151" t="str">
        <f t="shared" si="4"/>
        <v>Detractor</v>
      </c>
      <c r="Q151">
        <v>10</v>
      </c>
      <c r="R151" t="s">
        <v>1034</v>
      </c>
      <c r="S151">
        <v>10</v>
      </c>
      <c r="T151" t="s">
        <v>1034</v>
      </c>
      <c r="U151" t="str">
        <f t="shared" si="5"/>
        <v>Yes</v>
      </c>
    </row>
    <row r="152" spans="1:21" x14ac:dyDescent="0.3">
      <c r="A152" t="s">
        <v>506</v>
      </c>
      <c r="B152" t="s">
        <v>27</v>
      </c>
      <c r="C152" t="s">
        <v>474</v>
      </c>
      <c r="D152" s="1">
        <v>45939</v>
      </c>
      <c r="E152" s="1">
        <v>45940</v>
      </c>
      <c r="F152" s="1">
        <v>45945</v>
      </c>
      <c r="G152" s="1">
        <v>45948</v>
      </c>
      <c r="H152" t="s">
        <v>17</v>
      </c>
      <c r="I152">
        <v>0</v>
      </c>
      <c r="J152" t="s">
        <v>18</v>
      </c>
      <c r="K152" s="1">
        <v>45978</v>
      </c>
      <c r="L152">
        <v>1</v>
      </c>
      <c r="M152">
        <v>5</v>
      </c>
      <c r="N152">
        <v>3</v>
      </c>
      <c r="O152">
        <v>2</v>
      </c>
      <c r="P152" t="str">
        <f t="shared" si="4"/>
        <v>Detractor</v>
      </c>
      <c r="Q152">
        <v>10</v>
      </c>
      <c r="R152" t="s">
        <v>1034</v>
      </c>
      <c r="S152">
        <v>10</v>
      </c>
      <c r="T152" t="s">
        <v>1034</v>
      </c>
      <c r="U152" t="str">
        <f t="shared" si="5"/>
        <v>Yes</v>
      </c>
    </row>
    <row r="153" spans="1:21" x14ac:dyDescent="0.3">
      <c r="A153" t="s">
        <v>875</v>
      </c>
      <c r="B153" t="s">
        <v>15</v>
      </c>
      <c r="C153" t="s">
        <v>841</v>
      </c>
      <c r="D153" s="1">
        <v>45932</v>
      </c>
      <c r="E153" s="1"/>
      <c r="F153" s="1"/>
      <c r="G153" s="1"/>
      <c r="H153" t="s">
        <v>752</v>
      </c>
      <c r="I153">
        <v>1</v>
      </c>
      <c r="J153" t="s">
        <v>758</v>
      </c>
      <c r="K153" s="1"/>
      <c r="P153" t="str">
        <f t="shared" si="4"/>
        <v>Not Applicable</v>
      </c>
      <c r="R153" t="s">
        <v>1036</v>
      </c>
      <c r="T153" t="s">
        <v>1036</v>
      </c>
      <c r="U153" t="str">
        <f t="shared" si="5"/>
        <v>No</v>
      </c>
    </row>
    <row r="154" spans="1:21" x14ac:dyDescent="0.3">
      <c r="A154" t="s">
        <v>876</v>
      </c>
      <c r="B154" t="s">
        <v>15</v>
      </c>
      <c r="C154" t="s">
        <v>841</v>
      </c>
      <c r="D154" s="1">
        <v>45932</v>
      </c>
      <c r="E154" s="1"/>
      <c r="F154" s="1"/>
      <c r="G154" s="1"/>
      <c r="H154" t="s">
        <v>752</v>
      </c>
      <c r="I154">
        <v>1</v>
      </c>
      <c r="J154" t="s">
        <v>753</v>
      </c>
      <c r="K154" s="1"/>
      <c r="P154" t="str">
        <f t="shared" si="4"/>
        <v>Not Applicable</v>
      </c>
      <c r="R154" t="s">
        <v>1036</v>
      </c>
      <c r="T154" t="s">
        <v>1036</v>
      </c>
      <c r="U154" t="str">
        <f t="shared" si="5"/>
        <v>No</v>
      </c>
    </row>
    <row r="155" spans="1:21" x14ac:dyDescent="0.3">
      <c r="A155" t="s">
        <v>330</v>
      </c>
      <c r="B155" t="s">
        <v>27</v>
      </c>
      <c r="C155" t="s">
        <v>16</v>
      </c>
      <c r="D155" s="1">
        <v>45948</v>
      </c>
      <c r="E155" s="1">
        <v>45949</v>
      </c>
      <c r="F155" s="1">
        <v>45951</v>
      </c>
      <c r="G155" s="1">
        <v>45957</v>
      </c>
      <c r="H155" t="s">
        <v>17</v>
      </c>
      <c r="I155">
        <v>0</v>
      </c>
      <c r="J155" t="s">
        <v>18</v>
      </c>
      <c r="K155" s="1">
        <v>45974</v>
      </c>
      <c r="L155">
        <v>1</v>
      </c>
      <c r="M155">
        <v>2</v>
      </c>
      <c r="N155">
        <v>6</v>
      </c>
      <c r="O155">
        <v>7</v>
      </c>
      <c r="P155" t="str">
        <f t="shared" si="4"/>
        <v>Passive</v>
      </c>
      <c r="Q155">
        <v>10</v>
      </c>
      <c r="R155" t="s">
        <v>1034</v>
      </c>
      <c r="S155">
        <v>10</v>
      </c>
      <c r="T155" t="s">
        <v>1034</v>
      </c>
      <c r="U155" t="str">
        <f t="shared" si="5"/>
        <v>Yes</v>
      </c>
    </row>
    <row r="156" spans="1:21" x14ac:dyDescent="0.3">
      <c r="A156" t="s">
        <v>877</v>
      </c>
      <c r="B156" t="s">
        <v>15</v>
      </c>
      <c r="C156" t="s">
        <v>841</v>
      </c>
      <c r="D156" s="1">
        <v>45940</v>
      </c>
      <c r="E156" s="1"/>
      <c r="F156" s="1"/>
      <c r="G156" s="1"/>
      <c r="H156" t="s">
        <v>752</v>
      </c>
      <c r="I156">
        <v>1</v>
      </c>
      <c r="J156" t="s">
        <v>758</v>
      </c>
      <c r="K156" s="1"/>
      <c r="P156" t="str">
        <f t="shared" si="4"/>
        <v>Not Applicable</v>
      </c>
      <c r="R156" t="s">
        <v>1036</v>
      </c>
      <c r="T156" t="s">
        <v>1036</v>
      </c>
      <c r="U156" t="str">
        <f t="shared" si="5"/>
        <v>No</v>
      </c>
    </row>
    <row r="157" spans="1:21" x14ac:dyDescent="0.3">
      <c r="A157" t="s">
        <v>507</v>
      </c>
      <c r="B157" t="s">
        <v>27</v>
      </c>
      <c r="C157" t="s">
        <v>474</v>
      </c>
      <c r="D157" s="1">
        <v>45953</v>
      </c>
      <c r="E157" s="1">
        <v>45955</v>
      </c>
      <c r="F157" s="1">
        <v>45959</v>
      </c>
      <c r="G157" s="1">
        <v>45963</v>
      </c>
      <c r="H157" t="s">
        <v>17</v>
      </c>
      <c r="I157">
        <v>0</v>
      </c>
      <c r="J157" t="s">
        <v>18</v>
      </c>
      <c r="K157" s="1">
        <v>45978</v>
      </c>
      <c r="L157">
        <v>2</v>
      </c>
      <c r="M157">
        <v>4</v>
      </c>
      <c r="N157">
        <v>4</v>
      </c>
      <c r="O157">
        <v>4</v>
      </c>
      <c r="P157" t="str">
        <f t="shared" si="4"/>
        <v>Detractor</v>
      </c>
      <c r="Q157">
        <v>10</v>
      </c>
      <c r="R157" t="s">
        <v>1034</v>
      </c>
      <c r="S157">
        <v>11</v>
      </c>
      <c r="T157" t="s">
        <v>1035</v>
      </c>
      <c r="U157" t="str">
        <f t="shared" si="5"/>
        <v>Yes</v>
      </c>
    </row>
    <row r="158" spans="1:21" x14ac:dyDescent="0.3">
      <c r="A158" t="s">
        <v>878</v>
      </c>
      <c r="B158" t="s">
        <v>15</v>
      </c>
      <c r="C158" t="s">
        <v>841</v>
      </c>
      <c r="D158" s="1">
        <v>45961</v>
      </c>
      <c r="E158" s="1"/>
      <c r="F158" s="1"/>
      <c r="G158" s="1"/>
      <c r="H158" t="s">
        <v>752</v>
      </c>
      <c r="I158">
        <v>1</v>
      </c>
      <c r="J158" t="s">
        <v>756</v>
      </c>
      <c r="K158" s="1"/>
      <c r="P158" t="str">
        <f t="shared" si="4"/>
        <v>Not Applicable</v>
      </c>
      <c r="R158" t="s">
        <v>1036</v>
      </c>
      <c r="T158" t="s">
        <v>1036</v>
      </c>
      <c r="U158" t="str">
        <f t="shared" si="5"/>
        <v>No</v>
      </c>
    </row>
    <row r="159" spans="1:21" x14ac:dyDescent="0.3">
      <c r="A159" t="s">
        <v>508</v>
      </c>
      <c r="B159" t="s">
        <v>29</v>
      </c>
      <c r="C159" t="s">
        <v>474</v>
      </c>
      <c r="D159" s="1">
        <v>45935</v>
      </c>
      <c r="E159" s="1">
        <v>45938</v>
      </c>
      <c r="F159" s="1">
        <v>45942</v>
      </c>
      <c r="G159" s="1">
        <v>45945</v>
      </c>
      <c r="H159" t="s">
        <v>17</v>
      </c>
      <c r="I159">
        <v>0</v>
      </c>
      <c r="J159" t="s">
        <v>18</v>
      </c>
      <c r="K159" s="1">
        <v>45969</v>
      </c>
      <c r="L159">
        <v>3</v>
      </c>
      <c r="M159">
        <v>4</v>
      </c>
      <c r="N159">
        <v>3</v>
      </c>
      <c r="O159">
        <v>8</v>
      </c>
      <c r="P159" t="str">
        <f t="shared" si="4"/>
        <v>Passive</v>
      </c>
      <c r="Q159">
        <v>10</v>
      </c>
      <c r="R159" t="s">
        <v>1034</v>
      </c>
      <c r="S159">
        <v>10</v>
      </c>
      <c r="T159" t="s">
        <v>1034</v>
      </c>
      <c r="U159" t="str">
        <f t="shared" si="5"/>
        <v>Yes</v>
      </c>
    </row>
    <row r="160" spans="1:21" x14ac:dyDescent="0.3">
      <c r="A160" t="s">
        <v>879</v>
      </c>
      <c r="B160" t="s">
        <v>29</v>
      </c>
      <c r="C160" t="s">
        <v>841</v>
      </c>
      <c r="D160" s="1">
        <v>45951</v>
      </c>
      <c r="E160" s="1"/>
      <c r="F160" s="1"/>
      <c r="G160" s="1"/>
      <c r="H160" t="s">
        <v>752</v>
      </c>
      <c r="I160">
        <v>1</v>
      </c>
      <c r="J160" t="s">
        <v>777</v>
      </c>
      <c r="K160" s="1"/>
      <c r="P160" t="str">
        <f t="shared" si="4"/>
        <v>Not Applicable</v>
      </c>
      <c r="R160" t="s">
        <v>1036</v>
      </c>
      <c r="T160" t="s">
        <v>1036</v>
      </c>
      <c r="U160" t="str">
        <f t="shared" si="5"/>
        <v>No</v>
      </c>
    </row>
    <row r="161" spans="1:21" x14ac:dyDescent="0.3">
      <c r="A161" t="s">
        <v>509</v>
      </c>
      <c r="B161" t="s">
        <v>22</v>
      </c>
      <c r="C161" t="s">
        <v>474</v>
      </c>
      <c r="D161" s="1">
        <v>45958</v>
      </c>
      <c r="E161" s="1">
        <v>45960</v>
      </c>
      <c r="F161" s="1">
        <v>45964</v>
      </c>
      <c r="G161" s="1">
        <v>45969</v>
      </c>
      <c r="H161" t="s">
        <v>17</v>
      </c>
      <c r="I161">
        <v>0</v>
      </c>
      <c r="J161" t="s">
        <v>18</v>
      </c>
      <c r="K161" s="1">
        <v>45981</v>
      </c>
      <c r="L161">
        <v>2</v>
      </c>
      <c r="M161">
        <v>4</v>
      </c>
      <c r="N161">
        <v>5</v>
      </c>
      <c r="O161">
        <v>5</v>
      </c>
      <c r="P161" t="str">
        <f t="shared" si="4"/>
        <v>Detractor</v>
      </c>
      <c r="Q161">
        <v>10</v>
      </c>
      <c r="R161" t="s">
        <v>1034</v>
      </c>
      <c r="S161">
        <v>11</v>
      </c>
      <c r="T161" t="s">
        <v>1035</v>
      </c>
      <c r="U161" t="str">
        <f t="shared" si="5"/>
        <v>Yes</v>
      </c>
    </row>
    <row r="162" spans="1:21" x14ac:dyDescent="0.3">
      <c r="A162" t="s">
        <v>402</v>
      </c>
      <c r="B162" t="s">
        <v>29</v>
      </c>
      <c r="C162" t="s">
        <v>16</v>
      </c>
      <c r="D162" s="1">
        <v>45955</v>
      </c>
      <c r="E162" s="1">
        <v>45957</v>
      </c>
      <c r="F162" s="1">
        <v>45959</v>
      </c>
      <c r="G162" s="1">
        <v>45965</v>
      </c>
      <c r="H162" t="s">
        <v>17</v>
      </c>
      <c r="I162">
        <v>0</v>
      </c>
      <c r="J162" t="s">
        <v>18</v>
      </c>
      <c r="K162" s="1">
        <v>45976</v>
      </c>
      <c r="L162">
        <v>2</v>
      </c>
      <c r="M162">
        <v>2</v>
      </c>
      <c r="N162">
        <v>6</v>
      </c>
      <c r="O162">
        <v>3</v>
      </c>
      <c r="P162" t="str">
        <f t="shared" si="4"/>
        <v>Detractor</v>
      </c>
      <c r="Q162">
        <v>10</v>
      </c>
      <c r="R162" t="s">
        <v>1034</v>
      </c>
      <c r="S162">
        <v>11</v>
      </c>
      <c r="T162" t="s">
        <v>1035</v>
      </c>
      <c r="U162" t="str">
        <f t="shared" si="5"/>
        <v>Yes</v>
      </c>
    </row>
    <row r="163" spans="1:21" x14ac:dyDescent="0.3">
      <c r="A163" t="s">
        <v>42</v>
      </c>
      <c r="B163" t="s">
        <v>29</v>
      </c>
      <c r="C163" t="s">
        <v>16</v>
      </c>
      <c r="D163" s="1">
        <v>45946</v>
      </c>
      <c r="E163" s="1">
        <v>45949</v>
      </c>
      <c r="F163" s="1">
        <v>45952</v>
      </c>
      <c r="G163" s="1">
        <v>45959</v>
      </c>
      <c r="H163" t="s">
        <v>17</v>
      </c>
      <c r="I163">
        <v>0</v>
      </c>
      <c r="J163" t="s">
        <v>18</v>
      </c>
      <c r="K163" s="1">
        <v>45978</v>
      </c>
      <c r="L163">
        <v>3</v>
      </c>
      <c r="M163">
        <v>3</v>
      </c>
      <c r="N163">
        <v>7</v>
      </c>
      <c r="O163">
        <v>2</v>
      </c>
      <c r="P163" t="str">
        <f t="shared" si="4"/>
        <v>Detractor</v>
      </c>
      <c r="Q163">
        <v>10</v>
      </c>
      <c r="R163" t="s">
        <v>1034</v>
      </c>
      <c r="S163">
        <v>10</v>
      </c>
      <c r="T163" t="s">
        <v>1034</v>
      </c>
      <c r="U163" t="str">
        <f t="shared" si="5"/>
        <v>Yes</v>
      </c>
    </row>
    <row r="164" spans="1:21" x14ac:dyDescent="0.3">
      <c r="A164" t="s">
        <v>510</v>
      </c>
      <c r="B164" t="s">
        <v>29</v>
      </c>
      <c r="C164" t="s">
        <v>474</v>
      </c>
      <c r="D164" s="1">
        <v>45934</v>
      </c>
      <c r="E164" s="1">
        <v>45937</v>
      </c>
      <c r="F164" s="1">
        <v>45940</v>
      </c>
      <c r="G164" s="1">
        <v>45945</v>
      </c>
      <c r="H164" t="s">
        <v>17</v>
      </c>
      <c r="I164">
        <v>0</v>
      </c>
      <c r="J164" t="s">
        <v>18</v>
      </c>
      <c r="K164" s="1">
        <v>45955</v>
      </c>
      <c r="L164">
        <v>3</v>
      </c>
      <c r="M164">
        <v>3</v>
      </c>
      <c r="N164">
        <v>5</v>
      </c>
      <c r="O164">
        <v>7</v>
      </c>
      <c r="P164" t="str">
        <f t="shared" si="4"/>
        <v>Passive</v>
      </c>
      <c r="Q164">
        <v>10</v>
      </c>
      <c r="R164" t="s">
        <v>1034</v>
      </c>
      <c r="S164">
        <v>10</v>
      </c>
      <c r="T164" t="s">
        <v>1034</v>
      </c>
      <c r="U164" t="str">
        <f t="shared" si="5"/>
        <v>Yes</v>
      </c>
    </row>
    <row r="165" spans="1:21" x14ac:dyDescent="0.3">
      <c r="A165" t="s">
        <v>511</v>
      </c>
      <c r="B165" t="s">
        <v>27</v>
      </c>
      <c r="C165" t="s">
        <v>474</v>
      </c>
      <c r="D165" s="1">
        <v>45958</v>
      </c>
      <c r="E165" s="1">
        <v>45961</v>
      </c>
      <c r="F165" s="1">
        <v>45964</v>
      </c>
      <c r="G165" s="1">
        <v>45970</v>
      </c>
      <c r="H165" t="s">
        <v>17</v>
      </c>
      <c r="I165">
        <v>0</v>
      </c>
      <c r="J165" t="s">
        <v>18</v>
      </c>
      <c r="K165" s="1">
        <v>45990</v>
      </c>
      <c r="L165">
        <v>3</v>
      </c>
      <c r="M165">
        <v>3</v>
      </c>
      <c r="N165">
        <v>6</v>
      </c>
      <c r="O165">
        <v>5</v>
      </c>
      <c r="P165" t="str">
        <f t="shared" si="4"/>
        <v>Detractor</v>
      </c>
      <c r="Q165">
        <v>10</v>
      </c>
      <c r="R165" t="s">
        <v>1034</v>
      </c>
      <c r="S165">
        <v>11</v>
      </c>
      <c r="T165" t="s">
        <v>1035</v>
      </c>
      <c r="U165" t="str">
        <f t="shared" si="5"/>
        <v>Yes</v>
      </c>
    </row>
    <row r="166" spans="1:21" x14ac:dyDescent="0.3">
      <c r="A166" t="s">
        <v>512</v>
      </c>
      <c r="B166" t="s">
        <v>29</v>
      </c>
      <c r="C166" t="s">
        <v>474</v>
      </c>
      <c r="D166" s="1">
        <v>45931</v>
      </c>
      <c r="E166" s="1">
        <v>45932</v>
      </c>
      <c r="F166" s="1">
        <v>45933</v>
      </c>
      <c r="G166" s="1">
        <v>45939</v>
      </c>
      <c r="H166" t="s">
        <v>17</v>
      </c>
      <c r="I166">
        <v>0</v>
      </c>
      <c r="J166" t="s">
        <v>18</v>
      </c>
      <c r="K166" s="1">
        <v>45957</v>
      </c>
      <c r="L166">
        <v>1</v>
      </c>
      <c r="M166">
        <v>1</v>
      </c>
      <c r="N166">
        <v>6</v>
      </c>
      <c r="O166">
        <v>6</v>
      </c>
      <c r="P166" t="str">
        <f t="shared" si="4"/>
        <v>Detractor</v>
      </c>
      <c r="Q166">
        <v>10</v>
      </c>
      <c r="R166" t="s">
        <v>1034</v>
      </c>
      <c r="S166">
        <v>10</v>
      </c>
      <c r="T166" t="s">
        <v>1034</v>
      </c>
      <c r="U166" t="str">
        <f t="shared" si="5"/>
        <v>Yes</v>
      </c>
    </row>
    <row r="167" spans="1:21" x14ac:dyDescent="0.3">
      <c r="A167" t="s">
        <v>331</v>
      </c>
      <c r="B167" t="s">
        <v>29</v>
      </c>
      <c r="C167" t="s">
        <v>16</v>
      </c>
      <c r="D167" s="1">
        <v>45949</v>
      </c>
      <c r="E167" s="1">
        <v>45950</v>
      </c>
      <c r="F167" s="1">
        <v>45951</v>
      </c>
      <c r="G167" s="1">
        <v>45953</v>
      </c>
      <c r="H167" t="s">
        <v>17</v>
      </c>
      <c r="I167">
        <v>0</v>
      </c>
      <c r="J167" t="s">
        <v>18</v>
      </c>
      <c r="K167" s="1">
        <v>45966</v>
      </c>
      <c r="L167">
        <v>1</v>
      </c>
      <c r="M167">
        <v>1</v>
      </c>
      <c r="N167">
        <v>2</v>
      </c>
      <c r="O167">
        <v>2</v>
      </c>
      <c r="P167" t="str">
        <f t="shared" si="4"/>
        <v>Detractor</v>
      </c>
      <c r="Q167">
        <v>10</v>
      </c>
      <c r="R167" t="s">
        <v>1034</v>
      </c>
      <c r="S167">
        <v>10</v>
      </c>
      <c r="T167" t="s">
        <v>1034</v>
      </c>
      <c r="U167" t="str">
        <f t="shared" si="5"/>
        <v>Yes</v>
      </c>
    </row>
    <row r="168" spans="1:21" x14ac:dyDescent="0.3">
      <c r="A168" t="s">
        <v>766</v>
      </c>
      <c r="B168" t="s">
        <v>22</v>
      </c>
      <c r="C168" t="s">
        <v>16</v>
      </c>
      <c r="D168" s="1">
        <v>45940</v>
      </c>
      <c r="E168" s="1">
        <v>45944</v>
      </c>
      <c r="F168" s="1">
        <v>45949</v>
      </c>
      <c r="G168" s="1">
        <v>45955</v>
      </c>
      <c r="H168" t="s">
        <v>752</v>
      </c>
      <c r="I168">
        <v>1</v>
      </c>
      <c r="J168" t="s">
        <v>753</v>
      </c>
      <c r="K168" s="1"/>
      <c r="L168">
        <v>4</v>
      </c>
      <c r="M168">
        <v>5</v>
      </c>
      <c r="N168">
        <v>6</v>
      </c>
      <c r="P168" t="str">
        <f t="shared" si="4"/>
        <v>Not Applicable</v>
      </c>
      <c r="Q168">
        <v>10</v>
      </c>
      <c r="R168" t="s">
        <v>1034</v>
      </c>
      <c r="S168">
        <v>10</v>
      </c>
      <c r="T168" t="s">
        <v>1034</v>
      </c>
      <c r="U168" t="str">
        <f t="shared" si="5"/>
        <v>No</v>
      </c>
    </row>
    <row r="169" spans="1:21" x14ac:dyDescent="0.3">
      <c r="A169" t="s">
        <v>767</v>
      </c>
      <c r="B169" t="s">
        <v>29</v>
      </c>
      <c r="C169" t="s">
        <v>474</v>
      </c>
      <c r="D169" s="1">
        <v>45946</v>
      </c>
      <c r="E169" s="1">
        <v>45950</v>
      </c>
      <c r="F169" s="1">
        <v>45952</v>
      </c>
      <c r="G169" s="1">
        <v>45954</v>
      </c>
      <c r="H169" t="s">
        <v>752</v>
      </c>
      <c r="I169">
        <v>1</v>
      </c>
      <c r="J169" t="s">
        <v>765</v>
      </c>
      <c r="K169" s="1"/>
      <c r="L169">
        <v>4</v>
      </c>
      <c r="M169">
        <v>2</v>
      </c>
      <c r="N169">
        <v>2</v>
      </c>
      <c r="P169" t="str">
        <f t="shared" si="4"/>
        <v>Not Applicable</v>
      </c>
      <c r="Q169">
        <v>10</v>
      </c>
      <c r="R169" t="s">
        <v>1034</v>
      </c>
      <c r="S169">
        <v>10</v>
      </c>
      <c r="T169" t="s">
        <v>1034</v>
      </c>
      <c r="U169" t="str">
        <f t="shared" si="5"/>
        <v>No</v>
      </c>
    </row>
    <row r="170" spans="1:21" x14ac:dyDescent="0.3">
      <c r="A170" t="s">
        <v>403</v>
      </c>
      <c r="B170" t="s">
        <v>29</v>
      </c>
      <c r="C170" t="s">
        <v>16</v>
      </c>
      <c r="D170" s="1">
        <v>45946</v>
      </c>
      <c r="E170" s="1">
        <v>45948</v>
      </c>
      <c r="F170" s="1">
        <v>45953</v>
      </c>
      <c r="G170" s="1">
        <v>45957</v>
      </c>
      <c r="H170" t="s">
        <v>17</v>
      </c>
      <c r="I170">
        <v>0</v>
      </c>
      <c r="J170" t="s">
        <v>18</v>
      </c>
      <c r="K170" s="1">
        <v>45969</v>
      </c>
      <c r="L170">
        <v>2</v>
      </c>
      <c r="M170">
        <v>5</v>
      </c>
      <c r="N170">
        <v>4</v>
      </c>
      <c r="O170">
        <v>5</v>
      </c>
      <c r="P170" t="str">
        <f t="shared" si="4"/>
        <v>Detractor</v>
      </c>
      <c r="Q170">
        <v>10</v>
      </c>
      <c r="R170" t="s">
        <v>1034</v>
      </c>
      <c r="S170">
        <v>10</v>
      </c>
      <c r="T170" t="s">
        <v>1034</v>
      </c>
      <c r="U170" t="str">
        <f t="shared" si="5"/>
        <v>Yes</v>
      </c>
    </row>
    <row r="171" spans="1:21" x14ac:dyDescent="0.3">
      <c r="A171" t="s">
        <v>513</v>
      </c>
      <c r="B171" t="s">
        <v>15</v>
      </c>
      <c r="C171" t="s">
        <v>474</v>
      </c>
      <c r="D171" s="1">
        <v>45945</v>
      </c>
      <c r="E171" s="1">
        <v>45947</v>
      </c>
      <c r="F171" s="1">
        <v>45948</v>
      </c>
      <c r="G171" s="1">
        <v>45954</v>
      </c>
      <c r="H171" t="s">
        <v>17</v>
      </c>
      <c r="I171">
        <v>0</v>
      </c>
      <c r="J171" t="s">
        <v>18</v>
      </c>
      <c r="K171" s="1">
        <v>45974</v>
      </c>
      <c r="L171">
        <v>2</v>
      </c>
      <c r="M171">
        <v>1</v>
      </c>
      <c r="N171">
        <v>6</v>
      </c>
      <c r="O171">
        <v>2</v>
      </c>
      <c r="P171" t="str">
        <f t="shared" si="4"/>
        <v>Detractor</v>
      </c>
      <c r="Q171">
        <v>10</v>
      </c>
      <c r="R171" t="s">
        <v>1034</v>
      </c>
      <c r="S171">
        <v>10</v>
      </c>
      <c r="T171" t="s">
        <v>1034</v>
      </c>
      <c r="U171" t="str">
        <f t="shared" si="5"/>
        <v>Yes</v>
      </c>
    </row>
    <row r="172" spans="1:21" x14ac:dyDescent="0.3">
      <c r="A172" t="s">
        <v>880</v>
      </c>
      <c r="B172" t="s">
        <v>22</v>
      </c>
      <c r="C172" t="s">
        <v>841</v>
      </c>
      <c r="D172" s="1">
        <v>45941</v>
      </c>
      <c r="E172" s="1"/>
      <c r="F172" s="1"/>
      <c r="G172" s="1"/>
      <c r="H172" t="s">
        <v>752</v>
      </c>
      <c r="I172">
        <v>1</v>
      </c>
      <c r="J172" t="s">
        <v>777</v>
      </c>
      <c r="K172" s="1"/>
      <c r="P172" t="str">
        <f t="shared" si="4"/>
        <v>Not Applicable</v>
      </c>
      <c r="R172" t="s">
        <v>1036</v>
      </c>
      <c r="T172" t="s">
        <v>1036</v>
      </c>
      <c r="U172" t="str">
        <f t="shared" si="5"/>
        <v>No</v>
      </c>
    </row>
    <row r="173" spans="1:21" x14ac:dyDescent="0.3">
      <c r="A173" t="s">
        <v>514</v>
      </c>
      <c r="B173" t="s">
        <v>22</v>
      </c>
      <c r="C173" t="s">
        <v>474</v>
      </c>
      <c r="D173" s="1">
        <v>45936</v>
      </c>
      <c r="E173" s="1">
        <v>45940</v>
      </c>
      <c r="F173" s="1">
        <v>45942</v>
      </c>
      <c r="G173" s="1">
        <v>45946</v>
      </c>
      <c r="H173" t="s">
        <v>17</v>
      </c>
      <c r="I173">
        <v>0</v>
      </c>
      <c r="J173" t="s">
        <v>18</v>
      </c>
      <c r="K173" s="1">
        <v>45961</v>
      </c>
      <c r="L173">
        <v>4</v>
      </c>
      <c r="M173">
        <v>2</v>
      </c>
      <c r="N173">
        <v>4</v>
      </c>
      <c r="O173">
        <v>1</v>
      </c>
      <c r="P173" t="str">
        <f t="shared" si="4"/>
        <v>Detractor</v>
      </c>
      <c r="Q173">
        <v>10</v>
      </c>
      <c r="R173" t="s">
        <v>1034</v>
      </c>
      <c r="S173">
        <v>10</v>
      </c>
      <c r="T173" t="s">
        <v>1034</v>
      </c>
      <c r="U173" t="str">
        <f t="shared" si="5"/>
        <v>Yes</v>
      </c>
    </row>
    <row r="174" spans="1:21" x14ac:dyDescent="0.3">
      <c r="A174" t="s">
        <v>696</v>
      </c>
      <c r="B174" t="s">
        <v>22</v>
      </c>
      <c r="C174" t="s">
        <v>474</v>
      </c>
      <c r="D174" s="1">
        <v>45961</v>
      </c>
      <c r="E174" s="1">
        <v>45966</v>
      </c>
      <c r="F174" s="1">
        <v>45970</v>
      </c>
      <c r="G174" s="1">
        <v>45976</v>
      </c>
      <c r="H174" t="s">
        <v>17</v>
      </c>
      <c r="I174">
        <v>0</v>
      </c>
      <c r="J174" t="s">
        <v>18</v>
      </c>
      <c r="K174" s="1">
        <v>45998</v>
      </c>
      <c r="L174">
        <v>5</v>
      </c>
      <c r="M174">
        <v>4</v>
      </c>
      <c r="N174">
        <v>6</v>
      </c>
      <c r="O174">
        <v>8</v>
      </c>
      <c r="P174" t="str">
        <f t="shared" si="4"/>
        <v>Passive</v>
      </c>
      <c r="Q174">
        <v>11</v>
      </c>
      <c r="R174" t="s">
        <v>1035</v>
      </c>
      <c r="S174">
        <v>11</v>
      </c>
      <c r="T174" t="s">
        <v>1035</v>
      </c>
      <c r="U174" t="str">
        <f t="shared" si="5"/>
        <v>Yes</v>
      </c>
    </row>
    <row r="175" spans="1:21" x14ac:dyDescent="0.3">
      <c r="A175" t="s">
        <v>515</v>
      </c>
      <c r="B175" t="s">
        <v>22</v>
      </c>
      <c r="C175" t="s">
        <v>474</v>
      </c>
      <c r="D175" s="1">
        <v>45932</v>
      </c>
      <c r="E175" s="1">
        <v>45934</v>
      </c>
      <c r="F175" s="1">
        <v>45936</v>
      </c>
      <c r="G175" s="1">
        <v>45938</v>
      </c>
      <c r="H175" t="s">
        <v>17</v>
      </c>
      <c r="I175">
        <v>0</v>
      </c>
      <c r="J175" t="s">
        <v>18</v>
      </c>
      <c r="K175" s="1">
        <v>45953</v>
      </c>
      <c r="L175">
        <v>2</v>
      </c>
      <c r="M175">
        <v>2</v>
      </c>
      <c r="N175">
        <v>2</v>
      </c>
      <c r="O175">
        <v>6</v>
      </c>
      <c r="P175" t="str">
        <f t="shared" si="4"/>
        <v>Detractor</v>
      </c>
      <c r="Q175">
        <v>10</v>
      </c>
      <c r="R175" t="s">
        <v>1034</v>
      </c>
      <c r="S175">
        <v>10</v>
      </c>
      <c r="T175" t="s">
        <v>1034</v>
      </c>
      <c r="U175" t="str">
        <f t="shared" si="5"/>
        <v>Yes</v>
      </c>
    </row>
    <row r="176" spans="1:21" x14ac:dyDescent="0.3">
      <c r="A176" t="s">
        <v>146</v>
      </c>
      <c r="B176" t="s">
        <v>22</v>
      </c>
      <c r="C176" t="s">
        <v>16</v>
      </c>
      <c r="D176" s="1">
        <v>45939</v>
      </c>
      <c r="E176" s="1">
        <v>45944</v>
      </c>
      <c r="F176" s="1">
        <v>45945</v>
      </c>
      <c r="G176" s="1">
        <v>45952</v>
      </c>
      <c r="H176" t="s">
        <v>17</v>
      </c>
      <c r="I176">
        <v>0</v>
      </c>
      <c r="J176" t="s">
        <v>18</v>
      </c>
      <c r="K176" s="1">
        <v>45964</v>
      </c>
      <c r="L176">
        <v>5</v>
      </c>
      <c r="M176">
        <v>1</v>
      </c>
      <c r="N176">
        <v>7</v>
      </c>
      <c r="O176">
        <v>6</v>
      </c>
      <c r="P176" t="str">
        <f t="shared" si="4"/>
        <v>Detractor</v>
      </c>
      <c r="Q176">
        <v>10</v>
      </c>
      <c r="R176" t="s">
        <v>1034</v>
      </c>
      <c r="S176">
        <v>10</v>
      </c>
      <c r="T176" t="s">
        <v>1034</v>
      </c>
      <c r="U176" t="str">
        <f t="shared" si="5"/>
        <v>Yes</v>
      </c>
    </row>
    <row r="177" spans="1:21" x14ac:dyDescent="0.3">
      <c r="A177" t="s">
        <v>881</v>
      </c>
      <c r="B177" t="s">
        <v>22</v>
      </c>
      <c r="C177" t="s">
        <v>841</v>
      </c>
      <c r="D177" s="1">
        <v>45961</v>
      </c>
      <c r="E177" s="1"/>
      <c r="F177" s="1"/>
      <c r="G177" s="1"/>
      <c r="H177" t="s">
        <v>752</v>
      </c>
      <c r="I177">
        <v>1</v>
      </c>
      <c r="J177" t="s">
        <v>765</v>
      </c>
      <c r="K177" s="1"/>
      <c r="P177" t="str">
        <f t="shared" si="4"/>
        <v>Not Applicable</v>
      </c>
      <c r="R177" t="s">
        <v>1036</v>
      </c>
      <c r="T177" t="s">
        <v>1036</v>
      </c>
      <c r="U177" t="str">
        <f t="shared" si="5"/>
        <v>No</v>
      </c>
    </row>
    <row r="178" spans="1:21" x14ac:dyDescent="0.3">
      <c r="A178" t="s">
        <v>147</v>
      </c>
      <c r="B178" t="s">
        <v>27</v>
      </c>
      <c r="C178" t="s">
        <v>16</v>
      </c>
      <c r="D178" s="1">
        <v>45958</v>
      </c>
      <c r="E178" s="1">
        <v>45963</v>
      </c>
      <c r="F178" s="1">
        <v>45967</v>
      </c>
      <c r="G178" s="1">
        <v>45972</v>
      </c>
      <c r="H178" t="s">
        <v>17</v>
      </c>
      <c r="I178">
        <v>0</v>
      </c>
      <c r="J178" t="s">
        <v>18</v>
      </c>
      <c r="K178" s="1">
        <v>45999</v>
      </c>
      <c r="L178">
        <v>5</v>
      </c>
      <c r="M178">
        <v>4</v>
      </c>
      <c r="N178">
        <v>5</v>
      </c>
      <c r="O178">
        <v>3</v>
      </c>
      <c r="P178" t="str">
        <f t="shared" si="4"/>
        <v>Detractor</v>
      </c>
      <c r="Q178">
        <v>11</v>
      </c>
      <c r="R178" t="s">
        <v>1035</v>
      </c>
      <c r="S178">
        <v>11</v>
      </c>
      <c r="T178" t="s">
        <v>1035</v>
      </c>
      <c r="U178" t="str">
        <f t="shared" si="5"/>
        <v>Yes</v>
      </c>
    </row>
    <row r="179" spans="1:21" x14ac:dyDescent="0.3">
      <c r="A179" t="s">
        <v>516</v>
      </c>
      <c r="B179" t="s">
        <v>29</v>
      </c>
      <c r="C179" t="s">
        <v>474</v>
      </c>
      <c r="D179" s="1">
        <v>45946</v>
      </c>
      <c r="E179" s="1">
        <v>45949</v>
      </c>
      <c r="F179" s="1">
        <v>45953</v>
      </c>
      <c r="G179" s="1">
        <v>45959</v>
      </c>
      <c r="H179" t="s">
        <v>17</v>
      </c>
      <c r="I179">
        <v>0</v>
      </c>
      <c r="J179" t="s">
        <v>18</v>
      </c>
      <c r="K179" s="1">
        <v>45971</v>
      </c>
      <c r="L179">
        <v>3</v>
      </c>
      <c r="M179">
        <v>4</v>
      </c>
      <c r="N179">
        <v>6</v>
      </c>
      <c r="O179">
        <v>5</v>
      </c>
      <c r="P179" t="str">
        <f t="shared" si="4"/>
        <v>Detractor</v>
      </c>
      <c r="Q179">
        <v>10</v>
      </c>
      <c r="R179" t="s">
        <v>1034</v>
      </c>
      <c r="S179">
        <v>10</v>
      </c>
      <c r="T179" t="s">
        <v>1034</v>
      </c>
      <c r="U179" t="str">
        <f t="shared" si="5"/>
        <v>Yes</v>
      </c>
    </row>
    <row r="180" spans="1:21" x14ac:dyDescent="0.3">
      <c r="A180" t="s">
        <v>332</v>
      </c>
      <c r="B180" t="s">
        <v>22</v>
      </c>
      <c r="C180" t="s">
        <v>16</v>
      </c>
      <c r="D180" s="1">
        <v>45934</v>
      </c>
      <c r="E180" s="1">
        <v>45935</v>
      </c>
      <c r="F180" s="1">
        <v>45937</v>
      </c>
      <c r="G180" s="1">
        <v>45940</v>
      </c>
      <c r="H180" t="s">
        <v>17</v>
      </c>
      <c r="I180">
        <v>0</v>
      </c>
      <c r="J180" t="s">
        <v>18</v>
      </c>
      <c r="K180" s="1">
        <v>45960</v>
      </c>
      <c r="L180">
        <v>1</v>
      </c>
      <c r="M180">
        <v>2</v>
      </c>
      <c r="N180">
        <v>3</v>
      </c>
      <c r="O180">
        <v>9</v>
      </c>
      <c r="P180" t="str">
        <f t="shared" si="4"/>
        <v>Promoter</v>
      </c>
      <c r="Q180">
        <v>10</v>
      </c>
      <c r="R180" t="s">
        <v>1034</v>
      </c>
      <c r="S180">
        <v>10</v>
      </c>
      <c r="T180" t="s">
        <v>1034</v>
      </c>
      <c r="U180" t="str">
        <f t="shared" si="5"/>
        <v>Yes</v>
      </c>
    </row>
    <row r="181" spans="1:21" x14ac:dyDescent="0.3">
      <c r="A181" t="s">
        <v>242</v>
      </c>
      <c r="B181" t="s">
        <v>29</v>
      </c>
      <c r="C181" t="s">
        <v>16</v>
      </c>
      <c r="D181" s="1">
        <v>45957</v>
      </c>
      <c r="E181" s="1">
        <v>45961</v>
      </c>
      <c r="F181" s="1">
        <v>45964</v>
      </c>
      <c r="G181" s="1">
        <v>45969</v>
      </c>
      <c r="H181" t="s">
        <v>17</v>
      </c>
      <c r="I181">
        <v>0</v>
      </c>
      <c r="J181" t="s">
        <v>18</v>
      </c>
      <c r="K181" s="1">
        <v>45998</v>
      </c>
      <c r="L181">
        <v>4</v>
      </c>
      <c r="M181">
        <v>3</v>
      </c>
      <c r="N181">
        <v>5</v>
      </c>
      <c r="O181">
        <v>4</v>
      </c>
      <c r="P181" t="str">
        <f t="shared" si="4"/>
        <v>Detractor</v>
      </c>
      <c r="Q181">
        <v>10</v>
      </c>
      <c r="R181" t="s">
        <v>1034</v>
      </c>
      <c r="S181">
        <v>11</v>
      </c>
      <c r="T181" t="s">
        <v>1035</v>
      </c>
      <c r="U181" t="str">
        <f t="shared" si="5"/>
        <v>Yes</v>
      </c>
    </row>
    <row r="182" spans="1:21" x14ac:dyDescent="0.3">
      <c r="A182" t="s">
        <v>517</v>
      </c>
      <c r="B182" t="s">
        <v>29</v>
      </c>
      <c r="C182" t="s">
        <v>474</v>
      </c>
      <c r="D182" s="1">
        <v>45933</v>
      </c>
      <c r="E182" s="1">
        <v>45934</v>
      </c>
      <c r="F182" s="1">
        <v>45935</v>
      </c>
      <c r="G182" s="1">
        <v>45937</v>
      </c>
      <c r="H182" t="s">
        <v>17</v>
      </c>
      <c r="I182">
        <v>0</v>
      </c>
      <c r="J182" t="s">
        <v>18</v>
      </c>
      <c r="K182" s="1">
        <v>45966</v>
      </c>
      <c r="L182">
        <v>1</v>
      </c>
      <c r="M182">
        <v>1</v>
      </c>
      <c r="N182">
        <v>2</v>
      </c>
      <c r="O182">
        <v>1</v>
      </c>
      <c r="P182" t="str">
        <f t="shared" si="4"/>
        <v>Detractor</v>
      </c>
      <c r="Q182">
        <v>10</v>
      </c>
      <c r="R182" t="s">
        <v>1034</v>
      </c>
      <c r="S182">
        <v>10</v>
      </c>
      <c r="T182" t="s">
        <v>1034</v>
      </c>
      <c r="U182" t="str">
        <f t="shared" si="5"/>
        <v>Yes</v>
      </c>
    </row>
    <row r="183" spans="1:21" x14ac:dyDescent="0.3">
      <c r="A183" t="s">
        <v>243</v>
      </c>
      <c r="B183" t="s">
        <v>27</v>
      </c>
      <c r="C183" t="s">
        <v>16</v>
      </c>
      <c r="D183" s="1">
        <v>45943</v>
      </c>
      <c r="E183" s="1">
        <v>45947</v>
      </c>
      <c r="F183" s="1">
        <v>45948</v>
      </c>
      <c r="G183" s="1">
        <v>45955</v>
      </c>
      <c r="H183" t="s">
        <v>17</v>
      </c>
      <c r="I183">
        <v>0</v>
      </c>
      <c r="J183" t="s">
        <v>18</v>
      </c>
      <c r="K183" s="1">
        <v>45980</v>
      </c>
      <c r="L183">
        <v>4</v>
      </c>
      <c r="M183">
        <v>1</v>
      </c>
      <c r="N183">
        <v>7</v>
      </c>
      <c r="O183">
        <v>4</v>
      </c>
      <c r="P183" t="str">
        <f t="shared" si="4"/>
        <v>Detractor</v>
      </c>
      <c r="Q183">
        <v>10</v>
      </c>
      <c r="R183" t="s">
        <v>1034</v>
      </c>
      <c r="S183">
        <v>10</v>
      </c>
      <c r="T183" t="s">
        <v>1034</v>
      </c>
      <c r="U183" t="str">
        <f t="shared" si="5"/>
        <v>Yes</v>
      </c>
    </row>
    <row r="184" spans="1:21" x14ac:dyDescent="0.3">
      <c r="A184" t="s">
        <v>882</v>
      </c>
      <c r="B184" t="s">
        <v>22</v>
      </c>
      <c r="C184" t="s">
        <v>841</v>
      </c>
      <c r="D184" s="1">
        <v>45946</v>
      </c>
      <c r="E184" s="1"/>
      <c r="F184" s="1"/>
      <c r="G184" s="1"/>
      <c r="H184" t="s">
        <v>752</v>
      </c>
      <c r="I184">
        <v>1</v>
      </c>
      <c r="J184" t="s">
        <v>777</v>
      </c>
      <c r="K184" s="1"/>
      <c r="P184" t="str">
        <f t="shared" si="4"/>
        <v>Not Applicable</v>
      </c>
      <c r="R184" t="s">
        <v>1036</v>
      </c>
      <c r="T184" t="s">
        <v>1036</v>
      </c>
      <c r="U184" t="str">
        <f t="shared" si="5"/>
        <v>No</v>
      </c>
    </row>
    <row r="185" spans="1:21" x14ac:dyDescent="0.3">
      <c r="A185" t="s">
        <v>518</v>
      </c>
      <c r="B185" t="s">
        <v>15</v>
      </c>
      <c r="C185" t="s">
        <v>474</v>
      </c>
      <c r="D185" s="1">
        <v>45933</v>
      </c>
      <c r="E185" s="1">
        <v>45934</v>
      </c>
      <c r="F185" s="1">
        <v>45937</v>
      </c>
      <c r="G185" s="1">
        <v>45944</v>
      </c>
      <c r="H185" t="s">
        <v>17</v>
      </c>
      <c r="I185">
        <v>0</v>
      </c>
      <c r="J185" t="s">
        <v>18</v>
      </c>
      <c r="K185" s="1">
        <v>45954</v>
      </c>
      <c r="L185">
        <v>1</v>
      </c>
      <c r="M185">
        <v>3</v>
      </c>
      <c r="N185">
        <v>7</v>
      </c>
      <c r="O185">
        <v>6</v>
      </c>
      <c r="P185" t="str">
        <f t="shared" si="4"/>
        <v>Detractor</v>
      </c>
      <c r="Q185">
        <v>10</v>
      </c>
      <c r="R185" t="s">
        <v>1034</v>
      </c>
      <c r="S185">
        <v>10</v>
      </c>
      <c r="T185" t="s">
        <v>1034</v>
      </c>
      <c r="U185" t="str">
        <f t="shared" si="5"/>
        <v>Yes</v>
      </c>
    </row>
    <row r="186" spans="1:21" x14ac:dyDescent="0.3">
      <c r="A186" t="s">
        <v>244</v>
      </c>
      <c r="B186" t="s">
        <v>27</v>
      </c>
      <c r="C186" t="s">
        <v>16</v>
      </c>
      <c r="D186" s="1">
        <v>45949</v>
      </c>
      <c r="E186" s="1">
        <v>45953</v>
      </c>
      <c r="F186" s="1">
        <v>45958</v>
      </c>
      <c r="G186" s="1">
        <v>45961</v>
      </c>
      <c r="H186" t="s">
        <v>17</v>
      </c>
      <c r="I186">
        <v>0</v>
      </c>
      <c r="J186" t="s">
        <v>18</v>
      </c>
      <c r="K186" s="1">
        <v>45984</v>
      </c>
      <c r="L186">
        <v>4</v>
      </c>
      <c r="M186">
        <v>5</v>
      </c>
      <c r="N186">
        <v>3</v>
      </c>
      <c r="O186">
        <v>3</v>
      </c>
      <c r="P186" t="str">
        <f t="shared" si="4"/>
        <v>Detractor</v>
      </c>
      <c r="Q186">
        <v>10</v>
      </c>
      <c r="R186" t="s">
        <v>1034</v>
      </c>
      <c r="S186">
        <v>10</v>
      </c>
      <c r="T186" t="s">
        <v>1034</v>
      </c>
      <c r="U186" t="str">
        <f t="shared" si="5"/>
        <v>Yes</v>
      </c>
    </row>
    <row r="187" spans="1:21" x14ac:dyDescent="0.3">
      <c r="A187" t="s">
        <v>333</v>
      </c>
      <c r="B187" t="s">
        <v>15</v>
      </c>
      <c r="C187" t="s">
        <v>16</v>
      </c>
      <c r="D187" s="1">
        <v>45951</v>
      </c>
      <c r="E187" s="1">
        <v>45952</v>
      </c>
      <c r="F187" s="1">
        <v>45957</v>
      </c>
      <c r="G187" s="1">
        <v>45961</v>
      </c>
      <c r="H187" t="s">
        <v>17</v>
      </c>
      <c r="I187">
        <v>0</v>
      </c>
      <c r="J187" t="s">
        <v>18</v>
      </c>
      <c r="K187" s="1">
        <v>45991</v>
      </c>
      <c r="L187">
        <v>1</v>
      </c>
      <c r="M187">
        <v>5</v>
      </c>
      <c r="N187">
        <v>4</v>
      </c>
      <c r="O187">
        <v>2</v>
      </c>
      <c r="P187" t="str">
        <f t="shared" si="4"/>
        <v>Detractor</v>
      </c>
      <c r="Q187">
        <v>10</v>
      </c>
      <c r="R187" t="s">
        <v>1034</v>
      </c>
      <c r="S187">
        <v>10</v>
      </c>
      <c r="T187" t="s">
        <v>1034</v>
      </c>
      <c r="U187" t="str">
        <f t="shared" si="5"/>
        <v>Yes</v>
      </c>
    </row>
    <row r="188" spans="1:21" x14ac:dyDescent="0.3">
      <c r="A188" t="s">
        <v>43</v>
      </c>
      <c r="B188" t="s">
        <v>29</v>
      </c>
      <c r="C188" t="s">
        <v>16</v>
      </c>
      <c r="D188" s="1">
        <v>45952</v>
      </c>
      <c r="E188" s="1">
        <v>45955</v>
      </c>
      <c r="F188" s="1">
        <v>45956</v>
      </c>
      <c r="G188" s="1">
        <v>45958</v>
      </c>
      <c r="H188" t="s">
        <v>17</v>
      </c>
      <c r="I188">
        <v>0</v>
      </c>
      <c r="J188" t="s">
        <v>18</v>
      </c>
      <c r="K188" s="1">
        <v>45973</v>
      </c>
      <c r="L188">
        <v>3</v>
      </c>
      <c r="M188">
        <v>1</v>
      </c>
      <c r="N188">
        <v>2</v>
      </c>
      <c r="O188">
        <v>3</v>
      </c>
      <c r="P188" t="str">
        <f t="shared" si="4"/>
        <v>Detractor</v>
      </c>
      <c r="Q188">
        <v>10</v>
      </c>
      <c r="R188" t="s">
        <v>1034</v>
      </c>
      <c r="S188">
        <v>10</v>
      </c>
      <c r="T188" t="s">
        <v>1034</v>
      </c>
      <c r="U188" t="str">
        <f t="shared" si="5"/>
        <v>Yes</v>
      </c>
    </row>
    <row r="189" spans="1:21" x14ac:dyDescent="0.3">
      <c r="A189" t="s">
        <v>697</v>
      </c>
      <c r="B189" t="s">
        <v>29</v>
      </c>
      <c r="C189" t="s">
        <v>474</v>
      </c>
      <c r="D189" s="1">
        <v>45932</v>
      </c>
      <c r="E189" s="1">
        <v>45937</v>
      </c>
      <c r="F189" s="1">
        <v>45940</v>
      </c>
      <c r="G189" s="1">
        <v>45945</v>
      </c>
      <c r="H189" t="s">
        <v>17</v>
      </c>
      <c r="I189">
        <v>0</v>
      </c>
      <c r="J189" t="s">
        <v>18</v>
      </c>
      <c r="K189" s="1">
        <v>45974</v>
      </c>
      <c r="L189">
        <v>5</v>
      </c>
      <c r="M189">
        <v>3</v>
      </c>
      <c r="N189">
        <v>5</v>
      </c>
      <c r="O189">
        <v>7</v>
      </c>
      <c r="P189" t="str">
        <f t="shared" si="4"/>
        <v>Passive</v>
      </c>
      <c r="Q189">
        <v>10</v>
      </c>
      <c r="R189" t="s">
        <v>1034</v>
      </c>
      <c r="S189">
        <v>10</v>
      </c>
      <c r="T189" t="s">
        <v>1034</v>
      </c>
      <c r="U189" t="str">
        <f t="shared" si="5"/>
        <v>Yes</v>
      </c>
    </row>
    <row r="190" spans="1:21" x14ac:dyDescent="0.3">
      <c r="A190" t="s">
        <v>519</v>
      </c>
      <c r="B190" t="s">
        <v>27</v>
      </c>
      <c r="C190" t="s">
        <v>474</v>
      </c>
      <c r="D190" s="1">
        <v>45935</v>
      </c>
      <c r="E190" s="1">
        <v>45939</v>
      </c>
      <c r="F190" s="1">
        <v>45942</v>
      </c>
      <c r="G190" s="1">
        <v>45946</v>
      </c>
      <c r="H190" t="s">
        <v>17</v>
      </c>
      <c r="I190">
        <v>0</v>
      </c>
      <c r="J190" t="s">
        <v>18</v>
      </c>
      <c r="K190" s="1">
        <v>45969</v>
      </c>
      <c r="L190">
        <v>4</v>
      </c>
      <c r="M190">
        <v>3</v>
      </c>
      <c r="N190">
        <v>4</v>
      </c>
      <c r="O190">
        <v>9</v>
      </c>
      <c r="P190" t="str">
        <f t="shared" si="4"/>
        <v>Promoter</v>
      </c>
      <c r="Q190">
        <v>10</v>
      </c>
      <c r="R190" t="s">
        <v>1034</v>
      </c>
      <c r="S190">
        <v>10</v>
      </c>
      <c r="T190" t="s">
        <v>1034</v>
      </c>
      <c r="U190" t="str">
        <f t="shared" si="5"/>
        <v>Yes</v>
      </c>
    </row>
    <row r="191" spans="1:21" x14ac:dyDescent="0.3">
      <c r="A191" t="s">
        <v>883</v>
      </c>
      <c r="B191" t="s">
        <v>27</v>
      </c>
      <c r="C191" t="s">
        <v>841</v>
      </c>
      <c r="D191" s="1">
        <v>45935</v>
      </c>
      <c r="E191" s="1"/>
      <c r="F191" s="1"/>
      <c r="G191" s="1"/>
      <c r="H191" t="s">
        <v>752</v>
      </c>
      <c r="I191">
        <v>1</v>
      </c>
      <c r="J191" t="s">
        <v>777</v>
      </c>
      <c r="K191" s="1"/>
      <c r="P191" t="str">
        <f t="shared" si="4"/>
        <v>Not Applicable</v>
      </c>
      <c r="R191" t="s">
        <v>1036</v>
      </c>
      <c r="T191" t="s">
        <v>1036</v>
      </c>
      <c r="U191" t="str">
        <f t="shared" si="5"/>
        <v>No</v>
      </c>
    </row>
    <row r="192" spans="1:21" x14ac:dyDescent="0.3">
      <c r="A192" t="s">
        <v>884</v>
      </c>
      <c r="B192" t="s">
        <v>15</v>
      </c>
      <c r="C192" t="s">
        <v>841</v>
      </c>
      <c r="D192" s="1">
        <v>45956</v>
      </c>
      <c r="E192" s="1"/>
      <c r="F192" s="1"/>
      <c r="G192" s="1"/>
      <c r="H192" t="s">
        <v>752</v>
      </c>
      <c r="I192">
        <v>1</v>
      </c>
      <c r="J192" t="s">
        <v>758</v>
      </c>
      <c r="K192" s="1"/>
      <c r="P192" t="str">
        <f t="shared" si="4"/>
        <v>Not Applicable</v>
      </c>
      <c r="R192" t="s">
        <v>1036</v>
      </c>
      <c r="T192" t="s">
        <v>1036</v>
      </c>
      <c r="U192" t="str">
        <f t="shared" si="5"/>
        <v>No</v>
      </c>
    </row>
    <row r="193" spans="1:21" x14ac:dyDescent="0.3">
      <c r="A193" t="s">
        <v>148</v>
      </c>
      <c r="B193" t="s">
        <v>22</v>
      </c>
      <c r="C193" t="s">
        <v>16</v>
      </c>
      <c r="D193" s="1">
        <v>45949</v>
      </c>
      <c r="E193" s="1">
        <v>45954</v>
      </c>
      <c r="F193" s="1">
        <v>45958</v>
      </c>
      <c r="G193" s="1">
        <v>45962</v>
      </c>
      <c r="H193" t="s">
        <v>17</v>
      </c>
      <c r="I193">
        <v>0</v>
      </c>
      <c r="J193" t="s">
        <v>18</v>
      </c>
      <c r="K193" s="1">
        <v>45977</v>
      </c>
      <c r="L193">
        <v>5</v>
      </c>
      <c r="M193">
        <v>4</v>
      </c>
      <c r="N193">
        <v>4</v>
      </c>
      <c r="O193">
        <v>10</v>
      </c>
      <c r="P193" t="str">
        <f t="shared" si="4"/>
        <v>Promoter</v>
      </c>
      <c r="Q193">
        <v>10</v>
      </c>
      <c r="R193" t="s">
        <v>1034</v>
      </c>
      <c r="S193">
        <v>11</v>
      </c>
      <c r="T193" t="s">
        <v>1035</v>
      </c>
      <c r="U193" t="str">
        <f t="shared" si="5"/>
        <v>Yes</v>
      </c>
    </row>
    <row r="194" spans="1:21" x14ac:dyDescent="0.3">
      <c r="A194" t="s">
        <v>768</v>
      </c>
      <c r="B194" t="s">
        <v>15</v>
      </c>
      <c r="C194" t="s">
        <v>16</v>
      </c>
      <c r="D194" s="1">
        <v>45961</v>
      </c>
      <c r="E194" s="1">
        <v>45965</v>
      </c>
      <c r="F194" s="1">
        <v>45970</v>
      </c>
      <c r="G194" s="1">
        <v>45972</v>
      </c>
      <c r="H194" t="s">
        <v>752</v>
      </c>
      <c r="I194">
        <v>1</v>
      </c>
      <c r="J194" t="s">
        <v>753</v>
      </c>
      <c r="K194" s="1"/>
      <c r="L194">
        <v>4</v>
      </c>
      <c r="M194">
        <v>5</v>
      </c>
      <c r="N194">
        <v>2</v>
      </c>
      <c r="P194" t="str">
        <f t="shared" ref="P194:P257" si="6">IF(ISBLANK(O194), "Not Applicable", IF(O194&gt;=9, "Promoter", IF(O194&gt;=7, "Passive", "Detractor")))</f>
        <v>Not Applicable</v>
      </c>
      <c r="Q194">
        <v>11</v>
      </c>
      <c r="R194" t="s">
        <v>1035</v>
      </c>
      <c r="S194">
        <v>11</v>
      </c>
      <c r="T194" t="s">
        <v>1035</v>
      </c>
      <c r="U194" t="str">
        <f t="shared" ref="U194:U257" si="7">IF(
H194="Yes","No",
IF(
OR(
C194="Hot",
AND(C194="Warm",NOT(ISBLANK(E194)))
),
"Yes",
"No"
)
)</f>
        <v>No</v>
      </c>
    </row>
    <row r="195" spans="1:21" x14ac:dyDescent="0.3">
      <c r="A195" t="s">
        <v>245</v>
      </c>
      <c r="B195" t="s">
        <v>27</v>
      </c>
      <c r="C195" t="s">
        <v>16</v>
      </c>
      <c r="D195" s="1">
        <v>45940</v>
      </c>
      <c r="E195" s="1">
        <v>45944</v>
      </c>
      <c r="F195" s="1">
        <v>45949</v>
      </c>
      <c r="G195" s="1">
        <v>45954</v>
      </c>
      <c r="H195" t="s">
        <v>17</v>
      </c>
      <c r="I195">
        <v>0</v>
      </c>
      <c r="J195" t="s">
        <v>18</v>
      </c>
      <c r="K195" s="1">
        <v>45965</v>
      </c>
      <c r="L195">
        <v>4</v>
      </c>
      <c r="M195">
        <v>5</v>
      </c>
      <c r="N195">
        <v>5</v>
      </c>
      <c r="O195">
        <v>5</v>
      </c>
      <c r="P195" t="str">
        <f t="shared" si="6"/>
        <v>Detractor</v>
      </c>
      <c r="Q195">
        <v>10</v>
      </c>
      <c r="R195" t="s">
        <v>1034</v>
      </c>
      <c r="S195">
        <v>10</v>
      </c>
      <c r="T195" t="s">
        <v>1034</v>
      </c>
      <c r="U195" t="str">
        <f t="shared" si="7"/>
        <v>Yes</v>
      </c>
    </row>
    <row r="196" spans="1:21" x14ac:dyDescent="0.3">
      <c r="A196" t="s">
        <v>44</v>
      </c>
      <c r="B196" t="s">
        <v>15</v>
      </c>
      <c r="C196" t="s">
        <v>16</v>
      </c>
      <c r="D196" s="1">
        <v>45933</v>
      </c>
      <c r="E196" s="1">
        <v>45936</v>
      </c>
      <c r="F196" s="1">
        <v>45940</v>
      </c>
      <c r="G196" s="1">
        <v>45942</v>
      </c>
      <c r="H196" t="s">
        <v>17</v>
      </c>
      <c r="I196">
        <v>0</v>
      </c>
      <c r="J196" t="s">
        <v>18</v>
      </c>
      <c r="K196" s="1">
        <v>45955</v>
      </c>
      <c r="L196">
        <v>3</v>
      </c>
      <c r="M196">
        <v>4</v>
      </c>
      <c r="N196">
        <v>2</v>
      </c>
      <c r="O196">
        <v>3</v>
      </c>
      <c r="P196" t="str">
        <f t="shared" si="6"/>
        <v>Detractor</v>
      </c>
      <c r="Q196">
        <v>10</v>
      </c>
      <c r="R196" t="s">
        <v>1034</v>
      </c>
      <c r="S196">
        <v>10</v>
      </c>
      <c r="T196" t="s">
        <v>1034</v>
      </c>
      <c r="U196" t="str">
        <f t="shared" si="7"/>
        <v>Yes</v>
      </c>
    </row>
    <row r="197" spans="1:21" x14ac:dyDescent="0.3">
      <c r="A197" t="s">
        <v>334</v>
      </c>
      <c r="B197" t="s">
        <v>27</v>
      </c>
      <c r="C197" t="s">
        <v>16</v>
      </c>
      <c r="D197" s="1">
        <v>45938</v>
      </c>
      <c r="E197" s="1">
        <v>45939</v>
      </c>
      <c r="F197" s="1">
        <v>45941</v>
      </c>
      <c r="G197" s="1">
        <v>45944</v>
      </c>
      <c r="H197" t="s">
        <v>17</v>
      </c>
      <c r="I197">
        <v>0</v>
      </c>
      <c r="J197" t="s">
        <v>18</v>
      </c>
      <c r="K197" s="1">
        <v>45964</v>
      </c>
      <c r="L197">
        <v>1</v>
      </c>
      <c r="M197">
        <v>2</v>
      </c>
      <c r="N197">
        <v>3</v>
      </c>
      <c r="O197">
        <v>9</v>
      </c>
      <c r="P197" t="str">
        <f t="shared" si="6"/>
        <v>Promoter</v>
      </c>
      <c r="Q197">
        <v>10</v>
      </c>
      <c r="R197" t="s">
        <v>1034</v>
      </c>
      <c r="S197">
        <v>10</v>
      </c>
      <c r="T197" t="s">
        <v>1034</v>
      </c>
      <c r="U197" t="str">
        <f t="shared" si="7"/>
        <v>Yes</v>
      </c>
    </row>
    <row r="198" spans="1:21" x14ac:dyDescent="0.3">
      <c r="A198" t="s">
        <v>520</v>
      </c>
      <c r="B198" t="s">
        <v>15</v>
      </c>
      <c r="C198" t="s">
        <v>474</v>
      </c>
      <c r="D198" s="1">
        <v>45934</v>
      </c>
      <c r="E198" s="1">
        <v>45938</v>
      </c>
      <c r="F198" s="1">
        <v>45943</v>
      </c>
      <c r="G198" s="1">
        <v>45946</v>
      </c>
      <c r="H198" t="s">
        <v>17</v>
      </c>
      <c r="I198">
        <v>0</v>
      </c>
      <c r="J198" t="s">
        <v>18</v>
      </c>
      <c r="K198" s="1">
        <v>45962</v>
      </c>
      <c r="L198">
        <v>4</v>
      </c>
      <c r="M198">
        <v>5</v>
      </c>
      <c r="N198">
        <v>3</v>
      </c>
      <c r="O198">
        <v>10</v>
      </c>
      <c r="P198" t="str">
        <f t="shared" si="6"/>
        <v>Promoter</v>
      </c>
      <c r="Q198">
        <v>10</v>
      </c>
      <c r="R198" t="s">
        <v>1034</v>
      </c>
      <c r="S198">
        <v>10</v>
      </c>
      <c r="T198" t="s">
        <v>1034</v>
      </c>
      <c r="U198" t="str">
        <f t="shared" si="7"/>
        <v>Yes</v>
      </c>
    </row>
    <row r="199" spans="1:21" x14ac:dyDescent="0.3">
      <c r="A199" t="s">
        <v>885</v>
      </c>
      <c r="B199" t="s">
        <v>27</v>
      </c>
      <c r="C199" t="s">
        <v>841</v>
      </c>
      <c r="D199" s="1">
        <v>45948</v>
      </c>
      <c r="E199" s="1"/>
      <c r="F199" s="1"/>
      <c r="G199" s="1"/>
      <c r="H199" t="s">
        <v>752</v>
      </c>
      <c r="I199">
        <v>1</v>
      </c>
      <c r="J199" t="s">
        <v>753</v>
      </c>
      <c r="K199" s="1"/>
      <c r="P199" t="str">
        <f t="shared" si="6"/>
        <v>Not Applicable</v>
      </c>
      <c r="R199" t="s">
        <v>1036</v>
      </c>
      <c r="T199" t="s">
        <v>1036</v>
      </c>
      <c r="U199" t="str">
        <f t="shared" si="7"/>
        <v>No</v>
      </c>
    </row>
    <row r="200" spans="1:21" x14ac:dyDescent="0.3">
      <c r="A200" t="s">
        <v>335</v>
      </c>
      <c r="B200" t="s">
        <v>27</v>
      </c>
      <c r="C200" t="s">
        <v>16</v>
      </c>
      <c r="D200" s="1">
        <v>45955</v>
      </c>
      <c r="E200" s="1">
        <v>45956</v>
      </c>
      <c r="F200" s="1">
        <v>45960</v>
      </c>
      <c r="G200" s="1">
        <v>45967</v>
      </c>
      <c r="H200" t="s">
        <v>17</v>
      </c>
      <c r="I200">
        <v>0</v>
      </c>
      <c r="J200" t="s">
        <v>18</v>
      </c>
      <c r="K200" s="1">
        <v>45983</v>
      </c>
      <c r="L200">
        <v>1</v>
      </c>
      <c r="M200">
        <v>4</v>
      </c>
      <c r="N200">
        <v>7</v>
      </c>
      <c r="O200">
        <v>8</v>
      </c>
      <c r="P200" t="str">
        <f t="shared" si="6"/>
        <v>Passive</v>
      </c>
      <c r="Q200">
        <v>10</v>
      </c>
      <c r="R200" t="s">
        <v>1034</v>
      </c>
      <c r="S200">
        <v>11</v>
      </c>
      <c r="T200" t="s">
        <v>1035</v>
      </c>
      <c r="U200" t="str">
        <f t="shared" si="7"/>
        <v>Yes</v>
      </c>
    </row>
    <row r="201" spans="1:21" x14ac:dyDescent="0.3">
      <c r="A201" t="s">
        <v>886</v>
      </c>
      <c r="B201" t="s">
        <v>27</v>
      </c>
      <c r="C201" t="s">
        <v>841</v>
      </c>
      <c r="D201" s="1">
        <v>45944</v>
      </c>
      <c r="E201" s="1"/>
      <c r="F201" s="1"/>
      <c r="G201" s="1"/>
      <c r="H201" t="s">
        <v>752</v>
      </c>
      <c r="I201">
        <v>1</v>
      </c>
      <c r="J201" t="s">
        <v>777</v>
      </c>
      <c r="K201" s="1"/>
      <c r="P201" t="str">
        <f t="shared" si="6"/>
        <v>Not Applicable</v>
      </c>
      <c r="R201" t="s">
        <v>1036</v>
      </c>
      <c r="T201" t="s">
        <v>1036</v>
      </c>
      <c r="U201" t="str">
        <f t="shared" si="7"/>
        <v>No</v>
      </c>
    </row>
    <row r="202" spans="1:21" x14ac:dyDescent="0.3">
      <c r="A202" t="s">
        <v>521</v>
      </c>
      <c r="B202" t="s">
        <v>22</v>
      </c>
      <c r="C202" t="s">
        <v>474</v>
      </c>
      <c r="D202" s="1">
        <v>45950</v>
      </c>
      <c r="E202" s="1">
        <v>45953</v>
      </c>
      <c r="F202" s="1">
        <v>45956</v>
      </c>
      <c r="G202" s="1">
        <v>45962</v>
      </c>
      <c r="H202" t="s">
        <v>17</v>
      </c>
      <c r="I202">
        <v>0</v>
      </c>
      <c r="J202" t="s">
        <v>18</v>
      </c>
      <c r="K202" s="1">
        <v>45985</v>
      </c>
      <c r="L202">
        <v>3</v>
      </c>
      <c r="M202">
        <v>3</v>
      </c>
      <c r="N202">
        <v>6</v>
      </c>
      <c r="O202">
        <v>6</v>
      </c>
      <c r="P202" t="str">
        <f t="shared" si="6"/>
        <v>Detractor</v>
      </c>
      <c r="Q202">
        <v>10</v>
      </c>
      <c r="R202" t="s">
        <v>1034</v>
      </c>
      <c r="S202">
        <v>11</v>
      </c>
      <c r="T202" t="s">
        <v>1035</v>
      </c>
      <c r="U202" t="str">
        <f t="shared" si="7"/>
        <v>Yes</v>
      </c>
    </row>
    <row r="203" spans="1:21" x14ac:dyDescent="0.3">
      <c r="A203" t="s">
        <v>522</v>
      </c>
      <c r="B203" t="s">
        <v>15</v>
      </c>
      <c r="C203" t="s">
        <v>474</v>
      </c>
      <c r="D203" s="1">
        <v>45950</v>
      </c>
      <c r="E203" s="1">
        <v>45952</v>
      </c>
      <c r="F203" s="1">
        <v>45954</v>
      </c>
      <c r="G203" s="1">
        <v>45961</v>
      </c>
      <c r="H203" t="s">
        <v>17</v>
      </c>
      <c r="I203">
        <v>0</v>
      </c>
      <c r="J203" t="s">
        <v>18</v>
      </c>
      <c r="K203" s="1">
        <v>45988</v>
      </c>
      <c r="L203">
        <v>2</v>
      </c>
      <c r="M203">
        <v>2</v>
      </c>
      <c r="N203">
        <v>7</v>
      </c>
      <c r="O203">
        <v>2</v>
      </c>
      <c r="P203" t="str">
        <f t="shared" si="6"/>
        <v>Detractor</v>
      </c>
      <c r="Q203">
        <v>10</v>
      </c>
      <c r="R203" t="s">
        <v>1034</v>
      </c>
      <c r="S203">
        <v>10</v>
      </c>
      <c r="T203" t="s">
        <v>1034</v>
      </c>
      <c r="U203" t="str">
        <f t="shared" si="7"/>
        <v>Yes</v>
      </c>
    </row>
    <row r="204" spans="1:21" x14ac:dyDescent="0.3">
      <c r="A204" t="s">
        <v>698</v>
      </c>
      <c r="B204" t="s">
        <v>15</v>
      </c>
      <c r="C204" t="s">
        <v>474</v>
      </c>
      <c r="D204" s="1">
        <v>45956</v>
      </c>
      <c r="E204" s="1">
        <v>45961</v>
      </c>
      <c r="F204" s="1">
        <v>45962</v>
      </c>
      <c r="G204" s="1">
        <v>45966</v>
      </c>
      <c r="H204" t="s">
        <v>17</v>
      </c>
      <c r="I204">
        <v>0</v>
      </c>
      <c r="J204" t="s">
        <v>18</v>
      </c>
      <c r="K204" s="1">
        <v>45993</v>
      </c>
      <c r="L204">
        <v>5</v>
      </c>
      <c r="M204">
        <v>1</v>
      </c>
      <c r="N204">
        <v>4</v>
      </c>
      <c r="O204">
        <v>2</v>
      </c>
      <c r="P204" t="str">
        <f t="shared" si="6"/>
        <v>Detractor</v>
      </c>
      <c r="Q204">
        <v>10</v>
      </c>
      <c r="R204" t="s">
        <v>1034</v>
      </c>
      <c r="S204">
        <v>11</v>
      </c>
      <c r="T204" t="s">
        <v>1035</v>
      </c>
      <c r="U204" t="str">
        <f t="shared" si="7"/>
        <v>Yes</v>
      </c>
    </row>
    <row r="205" spans="1:21" x14ac:dyDescent="0.3">
      <c r="A205" t="s">
        <v>246</v>
      </c>
      <c r="B205" t="s">
        <v>15</v>
      </c>
      <c r="C205" t="s">
        <v>16</v>
      </c>
      <c r="D205" s="1">
        <v>45950</v>
      </c>
      <c r="E205" s="1">
        <v>45954</v>
      </c>
      <c r="F205" s="1">
        <v>45957</v>
      </c>
      <c r="G205" s="1">
        <v>45964</v>
      </c>
      <c r="H205" t="s">
        <v>17</v>
      </c>
      <c r="I205">
        <v>0</v>
      </c>
      <c r="J205" t="s">
        <v>18</v>
      </c>
      <c r="K205" s="1">
        <v>45982</v>
      </c>
      <c r="L205">
        <v>4</v>
      </c>
      <c r="M205">
        <v>3</v>
      </c>
      <c r="N205">
        <v>7</v>
      </c>
      <c r="O205">
        <v>9</v>
      </c>
      <c r="P205" t="str">
        <f t="shared" si="6"/>
        <v>Promoter</v>
      </c>
      <c r="Q205">
        <v>10</v>
      </c>
      <c r="R205" t="s">
        <v>1034</v>
      </c>
      <c r="S205">
        <v>11</v>
      </c>
      <c r="T205" t="s">
        <v>1035</v>
      </c>
      <c r="U205" t="str">
        <f t="shared" si="7"/>
        <v>Yes</v>
      </c>
    </row>
    <row r="206" spans="1:21" x14ac:dyDescent="0.3">
      <c r="A206" t="s">
        <v>887</v>
      </c>
      <c r="B206" t="s">
        <v>27</v>
      </c>
      <c r="C206" t="s">
        <v>841</v>
      </c>
      <c r="D206" s="1">
        <v>45938</v>
      </c>
      <c r="E206" s="1"/>
      <c r="F206" s="1"/>
      <c r="G206" s="1"/>
      <c r="H206" t="s">
        <v>752</v>
      </c>
      <c r="I206">
        <v>1</v>
      </c>
      <c r="J206" t="s">
        <v>756</v>
      </c>
      <c r="K206" s="1"/>
      <c r="P206" t="str">
        <f t="shared" si="6"/>
        <v>Not Applicable</v>
      </c>
      <c r="R206" t="s">
        <v>1036</v>
      </c>
      <c r="T206" t="s">
        <v>1036</v>
      </c>
      <c r="U206" t="str">
        <f t="shared" si="7"/>
        <v>No</v>
      </c>
    </row>
    <row r="207" spans="1:21" x14ac:dyDescent="0.3">
      <c r="A207" t="s">
        <v>523</v>
      </c>
      <c r="B207" t="s">
        <v>15</v>
      </c>
      <c r="C207" t="s">
        <v>474</v>
      </c>
      <c r="D207" s="1">
        <v>45955</v>
      </c>
      <c r="E207" s="1">
        <v>45958</v>
      </c>
      <c r="F207" s="1">
        <v>45960</v>
      </c>
      <c r="G207" s="1">
        <v>45966</v>
      </c>
      <c r="H207" t="s">
        <v>17</v>
      </c>
      <c r="I207">
        <v>0</v>
      </c>
      <c r="J207" t="s">
        <v>18</v>
      </c>
      <c r="K207" s="1">
        <v>45985</v>
      </c>
      <c r="L207">
        <v>3</v>
      </c>
      <c r="M207">
        <v>2</v>
      </c>
      <c r="N207">
        <v>6</v>
      </c>
      <c r="O207">
        <v>2</v>
      </c>
      <c r="P207" t="str">
        <f t="shared" si="6"/>
        <v>Detractor</v>
      </c>
      <c r="Q207">
        <v>10</v>
      </c>
      <c r="R207" t="s">
        <v>1034</v>
      </c>
      <c r="S207">
        <v>11</v>
      </c>
      <c r="T207" t="s">
        <v>1035</v>
      </c>
      <c r="U207" t="str">
        <f t="shared" si="7"/>
        <v>Yes</v>
      </c>
    </row>
    <row r="208" spans="1:21" x14ac:dyDescent="0.3">
      <c r="A208" t="s">
        <v>888</v>
      </c>
      <c r="B208" t="s">
        <v>15</v>
      </c>
      <c r="C208" t="s">
        <v>841</v>
      </c>
      <c r="D208" s="1">
        <v>45947</v>
      </c>
      <c r="E208" s="1"/>
      <c r="F208" s="1"/>
      <c r="G208" s="1"/>
      <c r="H208" t="s">
        <v>752</v>
      </c>
      <c r="I208">
        <v>1</v>
      </c>
      <c r="J208" t="s">
        <v>756</v>
      </c>
      <c r="K208" s="1"/>
      <c r="P208" t="str">
        <f t="shared" si="6"/>
        <v>Not Applicable</v>
      </c>
      <c r="R208" t="s">
        <v>1036</v>
      </c>
      <c r="T208" t="s">
        <v>1036</v>
      </c>
      <c r="U208" t="str">
        <f t="shared" si="7"/>
        <v>No</v>
      </c>
    </row>
    <row r="209" spans="1:21" x14ac:dyDescent="0.3">
      <c r="A209" t="s">
        <v>336</v>
      </c>
      <c r="B209" t="s">
        <v>27</v>
      </c>
      <c r="C209" t="s">
        <v>16</v>
      </c>
      <c r="D209" s="1">
        <v>45943</v>
      </c>
      <c r="E209" s="1">
        <v>45944</v>
      </c>
      <c r="F209" s="1">
        <v>45948</v>
      </c>
      <c r="G209" s="1">
        <v>45955</v>
      </c>
      <c r="H209" t="s">
        <v>17</v>
      </c>
      <c r="I209">
        <v>0</v>
      </c>
      <c r="J209" t="s">
        <v>18</v>
      </c>
      <c r="K209" s="1">
        <v>45974</v>
      </c>
      <c r="L209">
        <v>1</v>
      </c>
      <c r="M209">
        <v>4</v>
      </c>
      <c r="N209">
        <v>7</v>
      </c>
      <c r="O209">
        <v>7</v>
      </c>
      <c r="P209" t="str">
        <f t="shared" si="6"/>
        <v>Passive</v>
      </c>
      <c r="Q209">
        <v>10</v>
      </c>
      <c r="R209" t="s">
        <v>1034</v>
      </c>
      <c r="S209">
        <v>10</v>
      </c>
      <c r="T209" t="s">
        <v>1034</v>
      </c>
      <c r="U209" t="str">
        <f t="shared" si="7"/>
        <v>Yes</v>
      </c>
    </row>
    <row r="210" spans="1:21" x14ac:dyDescent="0.3">
      <c r="A210" t="s">
        <v>889</v>
      </c>
      <c r="B210" t="s">
        <v>29</v>
      </c>
      <c r="C210" t="s">
        <v>841</v>
      </c>
      <c r="D210" s="1">
        <v>45945</v>
      </c>
      <c r="E210" s="1"/>
      <c r="F210" s="1"/>
      <c r="G210" s="1"/>
      <c r="H210" t="s">
        <v>752</v>
      </c>
      <c r="I210">
        <v>1</v>
      </c>
      <c r="J210" t="s">
        <v>765</v>
      </c>
      <c r="K210" s="1"/>
      <c r="P210" t="str">
        <f t="shared" si="6"/>
        <v>Not Applicable</v>
      </c>
      <c r="R210" t="s">
        <v>1036</v>
      </c>
      <c r="T210" t="s">
        <v>1036</v>
      </c>
      <c r="U210" t="str">
        <f t="shared" si="7"/>
        <v>No</v>
      </c>
    </row>
    <row r="211" spans="1:21" x14ac:dyDescent="0.3">
      <c r="A211" t="s">
        <v>524</v>
      </c>
      <c r="B211" t="s">
        <v>27</v>
      </c>
      <c r="C211" t="s">
        <v>474</v>
      </c>
      <c r="D211" s="1">
        <v>45960</v>
      </c>
      <c r="E211" s="1">
        <v>45964</v>
      </c>
      <c r="F211" s="1">
        <v>45967</v>
      </c>
      <c r="G211" s="1">
        <v>45972</v>
      </c>
      <c r="H211" t="s">
        <v>17</v>
      </c>
      <c r="I211">
        <v>0</v>
      </c>
      <c r="J211" t="s">
        <v>18</v>
      </c>
      <c r="K211" s="1">
        <v>45989</v>
      </c>
      <c r="L211">
        <v>4</v>
      </c>
      <c r="M211">
        <v>3</v>
      </c>
      <c r="N211">
        <v>5</v>
      </c>
      <c r="O211">
        <v>9</v>
      </c>
      <c r="P211" t="str">
        <f t="shared" si="6"/>
        <v>Promoter</v>
      </c>
      <c r="Q211">
        <v>11</v>
      </c>
      <c r="R211" t="s">
        <v>1035</v>
      </c>
      <c r="S211">
        <v>11</v>
      </c>
      <c r="T211" t="s">
        <v>1035</v>
      </c>
      <c r="U211" t="str">
        <f t="shared" si="7"/>
        <v>Yes</v>
      </c>
    </row>
    <row r="212" spans="1:21" x14ac:dyDescent="0.3">
      <c r="A212" t="s">
        <v>890</v>
      </c>
      <c r="B212" t="s">
        <v>15</v>
      </c>
      <c r="C212" t="s">
        <v>841</v>
      </c>
      <c r="D212" s="1">
        <v>45945</v>
      </c>
      <c r="E212" s="1"/>
      <c r="F212" s="1"/>
      <c r="G212" s="1"/>
      <c r="H212" t="s">
        <v>752</v>
      </c>
      <c r="I212">
        <v>1</v>
      </c>
      <c r="J212" t="s">
        <v>765</v>
      </c>
      <c r="K212" s="1"/>
      <c r="P212" t="str">
        <f t="shared" si="6"/>
        <v>Not Applicable</v>
      </c>
      <c r="R212" t="s">
        <v>1036</v>
      </c>
      <c r="T212" t="s">
        <v>1036</v>
      </c>
      <c r="U212" t="str">
        <f t="shared" si="7"/>
        <v>No</v>
      </c>
    </row>
    <row r="213" spans="1:21" x14ac:dyDescent="0.3">
      <c r="A213" t="s">
        <v>769</v>
      </c>
      <c r="B213" t="s">
        <v>27</v>
      </c>
      <c r="C213" t="s">
        <v>16</v>
      </c>
      <c r="D213" s="1">
        <v>45940</v>
      </c>
      <c r="E213" s="1">
        <v>45941</v>
      </c>
      <c r="F213" s="1">
        <v>45943</v>
      </c>
      <c r="G213" s="1">
        <v>45946</v>
      </c>
      <c r="H213" t="s">
        <v>752</v>
      </c>
      <c r="I213">
        <v>1</v>
      </c>
      <c r="J213" t="s">
        <v>758</v>
      </c>
      <c r="K213" s="1"/>
      <c r="L213">
        <v>1</v>
      </c>
      <c r="M213">
        <v>2</v>
      </c>
      <c r="N213">
        <v>3</v>
      </c>
      <c r="P213" t="str">
        <f t="shared" si="6"/>
        <v>Not Applicable</v>
      </c>
      <c r="Q213">
        <v>10</v>
      </c>
      <c r="R213" t="s">
        <v>1034</v>
      </c>
      <c r="S213">
        <v>10</v>
      </c>
      <c r="T213" t="s">
        <v>1034</v>
      </c>
      <c r="U213" t="str">
        <f t="shared" si="7"/>
        <v>No</v>
      </c>
    </row>
    <row r="214" spans="1:21" x14ac:dyDescent="0.3">
      <c r="A214" t="s">
        <v>525</v>
      </c>
      <c r="B214" t="s">
        <v>29</v>
      </c>
      <c r="C214" t="s">
        <v>474</v>
      </c>
      <c r="D214" s="1">
        <v>45958</v>
      </c>
      <c r="E214" s="1">
        <v>45960</v>
      </c>
      <c r="F214" s="1">
        <v>45961</v>
      </c>
      <c r="G214" s="1">
        <v>45967</v>
      </c>
      <c r="H214" t="s">
        <v>17</v>
      </c>
      <c r="I214">
        <v>0</v>
      </c>
      <c r="J214" t="s">
        <v>18</v>
      </c>
      <c r="K214" s="1">
        <v>45980</v>
      </c>
      <c r="L214">
        <v>2</v>
      </c>
      <c r="M214">
        <v>1</v>
      </c>
      <c r="N214">
        <v>6</v>
      </c>
      <c r="O214">
        <v>4</v>
      </c>
      <c r="P214" t="str">
        <f t="shared" si="6"/>
        <v>Detractor</v>
      </c>
      <c r="Q214">
        <v>10</v>
      </c>
      <c r="R214" t="s">
        <v>1034</v>
      </c>
      <c r="S214">
        <v>11</v>
      </c>
      <c r="T214" t="s">
        <v>1035</v>
      </c>
      <c r="U214" t="str">
        <f t="shared" si="7"/>
        <v>Yes</v>
      </c>
    </row>
    <row r="215" spans="1:21" x14ac:dyDescent="0.3">
      <c r="A215" t="s">
        <v>526</v>
      </c>
      <c r="B215" t="s">
        <v>27</v>
      </c>
      <c r="C215" t="s">
        <v>474</v>
      </c>
      <c r="D215" s="1">
        <v>45949</v>
      </c>
      <c r="E215" s="1">
        <v>45953</v>
      </c>
      <c r="F215" s="1">
        <v>45956</v>
      </c>
      <c r="G215" s="1">
        <v>45959</v>
      </c>
      <c r="H215" t="s">
        <v>17</v>
      </c>
      <c r="I215">
        <v>0</v>
      </c>
      <c r="J215" t="s">
        <v>18</v>
      </c>
      <c r="K215" s="1">
        <v>45970</v>
      </c>
      <c r="L215">
        <v>4</v>
      </c>
      <c r="M215">
        <v>3</v>
      </c>
      <c r="N215">
        <v>3</v>
      </c>
      <c r="O215">
        <v>2</v>
      </c>
      <c r="P215" t="str">
        <f t="shared" si="6"/>
        <v>Detractor</v>
      </c>
      <c r="Q215">
        <v>10</v>
      </c>
      <c r="R215" t="s">
        <v>1034</v>
      </c>
      <c r="S215">
        <v>10</v>
      </c>
      <c r="T215" t="s">
        <v>1034</v>
      </c>
      <c r="U215" t="str">
        <f t="shared" si="7"/>
        <v>Yes</v>
      </c>
    </row>
    <row r="216" spans="1:21" x14ac:dyDescent="0.3">
      <c r="A216" t="s">
        <v>891</v>
      </c>
      <c r="B216" t="s">
        <v>15</v>
      </c>
      <c r="C216" t="s">
        <v>841</v>
      </c>
      <c r="D216" s="1">
        <v>45944</v>
      </c>
      <c r="E216" s="1"/>
      <c r="F216" s="1"/>
      <c r="G216" s="1"/>
      <c r="H216" t="s">
        <v>752</v>
      </c>
      <c r="I216">
        <v>1</v>
      </c>
      <c r="J216" t="s">
        <v>777</v>
      </c>
      <c r="K216" s="1"/>
      <c r="P216" t="str">
        <f t="shared" si="6"/>
        <v>Not Applicable</v>
      </c>
      <c r="R216" t="s">
        <v>1036</v>
      </c>
      <c r="T216" t="s">
        <v>1036</v>
      </c>
      <c r="U216" t="str">
        <f t="shared" si="7"/>
        <v>No</v>
      </c>
    </row>
    <row r="217" spans="1:21" x14ac:dyDescent="0.3">
      <c r="A217" t="s">
        <v>892</v>
      </c>
      <c r="B217" t="s">
        <v>29</v>
      </c>
      <c r="C217" t="s">
        <v>841</v>
      </c>
      <c r="D217" s="1">
        <v>45940</v>
      </c>
      <c r="E217" s="1"/>
      <c r="F217" s="1"/>
      <c r="G217" s="1"/>
      <c r="H217" t="s">
        <v>752</v>
      </c>
      <c r="I217">
        <v>1</v>
      </c>
      <c r="J217" t="s">
        <v>765</v>
      </c>
      <c r="K217" s="1"/>
      <c r="P217" t="str">
        <f t="shared" si="6"/>
        <v>Not Applicable</v>
      </c>
      <c r="R217" t="s">
        <v>1036</v>
      </c>
      <c r="T217" t="s">
        <v>1036</v>
      </c>
      <c r="U217" t="str">
        <f t="shared" si="7"/>
        <v>No</v>
      </c>
    </row>
    <row r="218" spans="1:21" x14ac:dyDescent="0.3">
      <c r="A218" t="s">
        <v>699</v>
      </c>
      <c r="B218" t="s">
        <v>22</v>
      </c>
      <c r="C218" t="s">
        <v>474</v>
      </c>
      <c r="D218" s="1">
        <v>45949</v>
      </c>
      <c r="E218" s="1">
        <v>45954</v>
      </c>
      <c r="F218" s="1">
        <v>45957</v>
      </c>
      <c r="G218" s="1">
        <v>45960</v>
      </c>
      <c r="H218" t="s">
        <v>17</v>
      </c>
      <c r="I218">
        <v>0</v>
      </c>
      <c r="J218" t="s">
        <v>18</v>
      </c>
      <c r="K218" s="1">
        <v>45982</v>
      </c>
      <c r="L218">
        <v>5</v>
      </c>
      <c r="M218">
        <v>3</v>
      </c>
      <c r="N218">
        <v>3</v>
      </c>
      <c r="O218">
        <v>0</v>
      </c>
      <c r="P218" t="str">
        <f t="shared" si="6"/>
        <v>Detractor</v>
      </c>
      <c r="Q218">
        <v>10</v>
      </c>
      <c r="R218" t="s">
        <v>1034</v>
      </c>
      <c r="S218">
        <v>10</v>
      </c>
      <c r="T218" t="s">
        <v>1034</v>
      </c>
      <c r="U218" t="str">
        <f t="shared" si="7"/>
        <v>Yes</v>
      </c>
    </row>
    <row r="219" spans="1:21" x14ac:dyDescent="0.3">
      <c r="A219" t="s">
        <v>770</v>
      </c>
      <c r="B219" t="s">
        <v>15</v>
      </c>
      <c r="C219" t="s">
        <v>16</v>
      </c>
      <c r="D219" s="1">
        <v>45950</v>
      </c>
      <c r="E219" s="1">
        <v>45954</v>
      </c>
      <c r="F219" s="1">
        <v>45959</v>
      </c>
      <c r="G219" s="1">
        <v>45962</v>
      </c>
      <c r="H219" t="s">
        <v>752</v>
      </c>
      <c r="I219">
        <v>1</v>
      </c>
      <c r="J219" t="s">
        <v>765</v>
      </c>
      <c r="K219" s="1"/>
      <c r="L219">
        <v>4</v>
      </c>
      <c r="M219">
        <v>5</v>
      </c>
      <c r="N219">
        <v>3</v>
      </c>
      <c r="P219" t="str">
        <f t="shared" si="6"/>
        <v>Not Applicable</v>
      </c>
      <c r="Q219">
        <v>10</v>
      </c>
      <c r="R219" t="s">
        <v>1034</v>
      </c>
      <c r="S219">
        <v>11</v>
      </c>
      <c r="T219" t="s">
        <v>1035</v>
      </c>
      <c r="U219" t="str">
        <f t="shared" si="7"/>
        <v>No</v>
      </c>
    </row>
    <row r="220" spans="1:21" x14ac:dyDescent="0.3">
      <c r="A220" t="s">
        <v>893</v>
      </c>
      <c r="B220" t="s">
        <v>29</v>
      </c>
      <c r="C220" t="s">
        <v>841</v>
      </c>
      <c r="D220" s="1">
        <v>45932</v>
      </c>
      <c r="E220" s="1"/>
      <c r="F220" s="1"/>
      <c r="G220" s="1"/>
      <c r="H220" t="s">
        <v>752</v>
      </c>
      <c r="I220">
        <v>1</v>
      </c>
      <c r="J220" t="s">
        <v>777</v>
      </c>
      <c r="K220" s="1"/>
      <c r="P220" t="str">
        <f t="shared" si="6"/>
        <v>Not Applicable</v>
      </c>
      <c r="R220" t="s">
        <v>1036</v>
      </c>
      <c r="T220" t="s">
        <v>1036</v>
      </c>
      <c r="U220" t="str">
        <f t="shared" si="7"/>
        <v>No</v>
      </c>
    </row>
    <row r="221" spans="1:21" x14ac:dyDescent="0.3">
      <c r="A221" t="s">
        <v>894</v>
      </c>
      <c r="B221" t="s">
        <v>29</v>
      </c>
      <c r="C221" t="s">
        <v>841</v>
      </c>
      <c r="D221" s="1">
        <v>45950</v>
      </c>
      <c r="E221" s="1"/>
      <c r="F221" s="1"/>
      <c r="G221" s="1"/>
      <c r="H221" t="s">
        <v>752</v>
      </c>
      <c r="I221">
        <v>1</v>
      </c>
      <c r="J221" t="s">
        <v>758</v>
      </c>
      <c r="K221" s="1"/>
      <c r="P221" t="str">
        <f t="shared" si="6"/>
        <v>Not Applicable</v>
      </c>
      <c r="R221" t="s">
        <v>1036</v>
      </c>
      <c r="T221" t="s">
        <v>1036</v>
      </c>
      <c r="U221" t="str">
        <f t="shared" si="7"/>
        <v>No</v>
      </c>
    </row>
    <row r="222" spans="1:21" x14ac:dyDescent="0.3">
      <c r="A222" t="s">
        <v>895</v>
      </c>
      <c r="B222" t="s">
        <v>22</v>
      </c>
      <c r="C222" t="s">
        <v>841</v>
      </c>
      <c r="D222" s="1">
        <v>45961</v>
      </c>
      <c r="E222" s="1"/>
      <c r="F222" s="1"/>
      <c r="G222" s="1"/>
      <c r="H222" t="s">
        <v>752</v>
      </c>
      <c r="I222">
        <v>1</v>
      </c>
      <c r="J222" t="s">
        <v>765</v>
      </c>
      <c r="K222" s="1"/>
      <c r="P222" t="str">
        <f t="shared" si="6"/>
        <v>Not Applicable</v>
      </c>
      <c r="R222" t="s">
        <v>1036</v>
      </c>
      <c r="T222" t="s">
        <v>1036</v>
      </c>
      <c r="U222" t="str">
        <f t="shared" si="7"/>
        <v>No</v>
      </c>
    </row>
    <row r="223" spans="1:21" x14ac:dyDescent="0.3">
      <c r="A223" t="s">
        <v>149</v>
      </c>
      <c r="B223" t="s">
        <v>27</v>
      </c>
      <c r="C223" t="s">
        <v>16</v>
      </c>
      <c r="D223" s="1">
        <v>45954</v>
      </c>
      <c r="E223" s="1">
        <v>45959</v>
      </c>
      <c r="F223" s="1">
        <v>45961</v>
      </c>
      <c r="G223" s="1">
        <v>45963</v>
      </c>
      <c r="H223" t="s">
        <v>17</v>
      </c>
      <c r="I223">
        <v>0</v>
      </c>
      <c r="J223" t="s">
        <v>18</v>
      </c>
      <c r="K223" s="1">
        <v>45991</v>
      </c>
      <c r="L223">
        <v>5</v>
      </c>
      <c r="M223">
        <v>2</v>
      </c>
      <c r="N223">
        <v>2</v>
      </c>
      <c r="O223">
        <v>3</v>
      </c>
      <c r="P223" t="str">
        <f t="shared" si="6"/>
        <v>Detractor</v>
      </c>
      <c r="Q223">
        <v>10</v>
      </c>
      <c r="R223" t="s">
        <v>1034</v>
      </c>
      <c r="S223">
        <v>11</v>
      </c>
      <c r="T223" t="s">
        <v>1035</v>
      </c>
      <c r="U223" t="str">
        <f t="shared" si="7"/>
        <v>Yes</v>
      </c>
    </row>
    <row r="224" spans="1:21" x14ac:dyDescent="0.3">
      <c r="A224" t="s">
        <v>337</v>
      </c>
      <c r="B224" t="s">
        <v>27</v>
      </c>
      <c r="C224" t="s">
        <v>16</v>
      </c>
      <c r="D224" s="1">
        <v>45934</v>
      </c>
      <c r="E224" s="1">
        <v>45935</v>
      </c>
      <c r="F224" s="1">
        <v>45937</v>
      </c>
      <c r="G224" s="1">
        <v>45943</v>
      </c>
      <c r="H224" t="s">
        <v>17</v>
      </c>
      <c r="I224">
        <v>0</v>
      </c>
      <c r="J224" t="s">
        <v>18</v>
      </c>
      <c r="K224" s="1">
        <v>45970</v>
      </c>
      <c r="L224">
        <v>1</v>
      </c>
      <c r="M224">
        <v>2</v>
      </c>
      <c r="N224">
        <v>6</v>
      </c>
      <c r="O224">
        <v>1</v>
      </c>
      <c r="P224" t="str">
        <f t="shared" si="6"/>
        <v>Detractor</v>
      </c>
      <c r="Q224">
        <v>10</v>
      </c>
      <c r="R224" t="s">
        <v>1034</v>
      </c>
      <c r="S224">
        <v>10</v>
      </c>
      <c r="T224" t="s">
        <v>1034</v>
      </c>
      <c r="U224" t="str">
        <f t="shared" si="7"/>
        <v>Yes</v>
      </c>
    </row>
    <row r="225" spans="1:21" x14ac:dyDescent="0.3">
      <c r="A225" t="s">
        <v>247</v>
      </c>
      <c r="B225" t="s">
        <v>15</v>
      </c>
      <c r="C225" t="s">
        <v>16</v>
      </c>
      <c r="D225" s="1">
        <v>45961</v>
      </c>
      <c r="E225" s="1">
        <v>45965</v>
      </c>
      <c r="F225" s="1">
        <v>45970</v>
      </c>
      <c r="G225" s="1">
        <v>45974</v>
      </c>
      <c r="H225" t="s">
        <v>17</v>
      </c>
      <c r="I225">
        <v>0</v>
      </c>
      <c r="J225" t="s">
        <v>18</v>
      </c>
      <c r="K225" s="1">
        <v>45999</v>
      </c>
      <c r="L225">
        <v>4</v>
      </c>
      <c r="M225">
        <v>5</v>
      </c>
      <c r="N225">
        <v>4</v>
      </c>
      <c r="O225">
        <v>7</v>
      </c>
      <c r="P225" t="str">
        <f t="shared" si="6"/>
        <v>Passive</v>
      </c>
      <c r="Q225">
        <v>11</v>
      </c>
      <c r="R225" t="s">
        <v>1035</v>
      </c>
      <c r="S225">
        <v>11</v>
      </c>
      <c r="T225" t="s">
        <v>1035</v>
      </c>
      <c r="U225" t="str">
        <f t="shared" si="7"/>
        <v>Yes</v>
      </c>
    </row>
    <row r="226" spans="1:21" x14ac:dyDescent="0.3">
      <c r="A226" t="s">
        <v>45</v>
      </c>
      <c r="B226" t="s">
        <v>22</v>
      </c>
      <c r="C226" t="s">
        <v>16</v>
      </c>
      <c r="D226" s="1">
        <v>45955</v>
      </c>
      <c r="E226" s="1">
        <v>45958</v>
      </c>
      <c r="F226" s="1">
        <v>45962</v>
      </c>
      <c r="G226" s="1">
        <v>45968</v>
      </c>
      <c r="H226" t="s">
        <v>17</v>
      </c>
      <c r="I226">
        <v>0</v>
      </c>
      <c r="J226" t="s">
        <v>18</v>
      </c>
      <c r="K226" s="1">
        <v>45982</v>
      </c>
      <c r="L226">
        <v>3</v>
      </c>
      <c r="M226">
        <v>4</v>
      </c>
      <c r="N226">
        <v>6</v>
      </c>
      <c r="O226">
        <v>3</v>
      </c>
      <c r="P226" t="str">
        <f t="shared" si="6"/>
        <v>Detractor</v>
      </c>
      <c r="Q226">
        <v>10</v>
      </c>
      <c r="R226" t="s">
        <v>1034</v>
      </c>
      <c r="S226">
        <v>11</v>
      </c>
      <c r="T226" t="s">
        <v>1035</v>
      </c>
      <c r="U226" t="str">
        <f t="shared" si="7"/>
        <v>Yes</v>
      </c>
    </row>
    <row r="227" spans="1:21" x14ac:dyDescent="0.3">
      <c r="A227" t="s">
        <v>771</v>
      </c>
      <c r="B227" t="s">
        <v>27</v>
      </c>
      <c r="C227" t="s">
        <v>16</v>
      </c>
      <c r="D227" s="1">
        <v>45937</v>
      </c>
      <c r="E227" s="1">
        <v>45940</v>
      </c>
      <c r="F227" s="1">
        <v>45944</v>
      </c>
      <c r="G227" s="1">
        <v>45948</v>
      </c>
      <c r="H227" t="s">
        <v>752</v>
      </c>
      <c r="I227">
        <v>1</v>
      </c>
      <c r="J227" t="s">
        <v>758</v>
      </c>
      <c r="K227" s="1"/>
      <c r="L227">
        <v>3</v>
      </c>
      <c r="M227">
        <v>4</v>
      </c>
      <c r="N227">
        <v>4</v>
      </c>
      <c r="P227" t="str">
        <f t="shared" si="6"/>
        <v>Not Applicable</v>
      </c>
      <c r="Q227">
        <v>10</v>
      </c>
      <c r="R227" t="s">
        <v>1034</v>
      </c>
      <c r="S227">
        <v>10</v>
      </c>
      <c r="T227" t="s">
        <v>1034</v>
      </c>
      <c r="U227" t="str">
        <f t="shared" si="7"/>
        <v>No</v>
      </c>
    </row>
    <row r="228" spans="1:21" x14ac:dyDescent="0.3">
      <c r="A228" t="s">
        <v>772</v>
      </c>
      <c r="B228" t="s">
        <v>22</v>
      </c>
      <c r="C228" t="s">
        <v>16</v>
      </c>
      <c r="D228" s="1">
        <v>45951</v>
      </c>
      <c r="E228" s="1">
        <v>45953</v>
      </c>
      <c r="F228" s="1">
        <v>45958</v>
      </c>
      <c r="G228" s="1">
        <v>45964</v>
      </c>
      <c r="H228" t="s">
        <v>752</v>
      </c>
      <c r="I228">
        <v>1</v>
      </c>
      <c r="J228" t="s">
        <v>753</v>
      </c>
      <c r="K228" s="1"/>
      <c r="L228">
        <v>2</v>
      </c>
      <c r="M228">
        <v>5</v>
      </c>
      <c r="N228">
        <v>6</v>
      </c>
      <c r="P228" t="str">
        <f t="shared" si="6"/>
        <v>Not Applicable</v>
      </c>
      <c r="Q228">
        <v>10</v>
      </c>
      <c r="R228" t="s">
        <v>1034</v>
      </c>
      <c r="S228">
        <v>11</v>
      </c>
      <c r="T228" t="s">
        <v>1035</v>
      </c>
      <c r="U228" t="str">
        <f t="shared" si="7"/>
        <v>No</v>
      </c>
    </row>
    <row r="229" spans="1:21" x14ac:dyDescent="0.3">
      <c r="A229" t="s">
        <v>527</v>
      </c>
      <c r="B229" t="s">
        <v>27</v>
      </c>
      <c r="C229" t="s">
        <v>474</v>
      </c>
      <c r="D229" s="1">
        <v>45937</v>
      </c>
      <c r="E229" s="1">
        <v>45940</v>
      </c>
      <c r="F229" s="1">
        <v>45943</v>
      </c>
      <c r="G229" s="1">
        <v>45949</v>
      </c>
      <c r="H229" t="s">
        <v>17</v>
      </c>
      <c r="I229">
        <v>0</v>
      </c>
      <c r="J229" t="s">
        <v>18</v>
      </c>
      <c r="K229" s="1">
        <v>45960</v>
      </c>
      <c r="L229">
        <v>3</v>
      </c>
      <c r="M229">
        <v>3</v>
      </c>
      <c r="N229">
        <v>6</v>
      </c>
      <c r="O229">
        <v>4</v>
      </c>
      <c r="P229" t="str">
        <f t="shared" si="6"/>
        <v>Detractor</v>
      </c>
      <c r="Q229">
        <v>10</v>
      </c>
      <c r="R229" t="s">
        <v>1034</v>
      </c>
      <c r="S229">
        <v>10</v>
      </c>
      <c r="T229" t="s">
        <v>1034</v>
      </c>
      <c r="U229" t="str">
        <f t="shared" si="7"/>
        <v>Yes</v>
      </c>
    </row>
    <row r="230" spans="1:21" x14ac:dyDescent="0.3">
      <c r="A230" t="s">
        <v>896</v>
      </c>
      <c r="B230" t="s">
        <v>29</v>
      </c>
      <c r="C230" t="s">
        <v>841</v>
      </c>
      <c r="D230" s="1">
        <v>45939</v>
      </c>
      <c r="E230" s="1"/>
      <c r="F230" s="1"/>
      <c r="G230" s="1"/>
      <c r="H230" t="s">
        <v>752</v>
      </c>
      <c r="I230">
        <v>1</v>
      </c>
      <c r="J230" t="s">
        <v>758</v>
      </c>
      <c r="K230" s="1"/>
      <c r="P230" t="str">
        <f t="shared" si="6"/>
        <v>Not Applicable</v>
      </c>
      <c r="R230" t="s">
        <v>1036</v>
      </c>
      <c r="T230" t="s">
        <v>1036</v>
      </c>
      <c r="U230" t="str">
        <f t="shared" si="7"/>
        <v>No</v>
      </c>
    </row>
    <row r="231" spans="1:21" x14ac:dyDescent="0.3">
      <c r="A231" t="s">
        <v>404</v>
      </c>
      <c r="B231" t="s">
        <v>27</v>
      </c>
      <c r="C231" t="s">
        <v>16</v>
      </c>
      <c r="D231" s="1">
        <v>45952</v>
      </c>
      <c r="E231" s="1">
        <v>45954</v>
      </c>
      <c r="F231" s="1">
        <v>45955</v>
      </c>
      <c r="G231" s="1">
        <v>45958</v>
      </c>
      <c r="H231" t="s">
        <v>17</v>
      </c>
      <c r="I231">
        <v>0</v>
      </c>
      <c r="J231" t="s">
        <v>18</v>
      </c>
      <c r="K231" s="1">
        <v>45979</v>
      </c>
      <c r="L231">
        <v>2</v>
      </c>
      <c r="M231">
        <v>1</v>
      </c>
      <c r="N231">
        <v>3</v>
      </c>
      <c r="O231">
        <v>2</v>
      </c>
      <c r="P231" t="str">
        <f t="shared" si="6"/>
        <v>Detractor</v>
      </c>
      <c r="Q231">
        <v>10</v>
      </c>
      <c r="R231" t="s">
        <v>1034</v>
      </c>
      <c r="S231">
        <v>10</v>
      </c>
      <c r="T231" t="s">
        <v>1034</v>
      </c>
      <c r="U231" t="str">
        <f t="shared" si="7"/>
        <v>Yes</v>
      </c>
    </row>
    <row r="232" spans="1:21" x14ac:dyDescent="0.3">
      <c r="A232" t="s">
        <v>338</v>
      </c>
      <c r="B232" t="s">
        <v>22</v>
      </c>
      <c r="C232" t="s">
        <v>16</v>
      </c>
      <c r="D232" s="1">
        <v>45933</v>
      </c>
      <c r="E232" s="1">
        <v>45934</v>
      </c>
      <c r="F232" s="1">
        <v>45938</v>
      </c>
      <c r="G232" s="1">
        <v>45942</v>
      </c>
      <c r="H232" t="s">
        <v>17</v>
      </c>
      <c r="I232">
        <v>0</v>
      </c>
      <c r="J232" t="s">
        <v>18</v>
      </c>
      <c r="K232" s="1">
        <v>45952</v>
      </c>
      <c r="L232">
        <v>1</v>
      </c>
      <c r="M232">
        <v>4</v>
      </c>
      <c r="N232">
        <v>4</v>
      </c>
      <c r="O232">
        <v>2</v>
      </c>
      <c r="P232" t="str">
        <f t="shared" si="6"/>
        <v>Detractor</v>
      </c>
      <c r="Q232">
        <v>10</v>
      </c>
      <c r="R232" t="s">
        <v>1034</v>
      </c>
      <c r="S232">
        <v>10</v>
      </c>
      <c r="T232" t="s">
        <v>1034</v>
      </c>
      <c r="U232" t="str">
        <f t="shared" si="7"/>
        <v>Yes</v>
      </c>
    </row>
    <row r="233" spans="1:21" x14ac:dyDescent="0.3">
      <c r="A233" t="s">
        <v>150</v>
      </c>
      <c r="B233" t="s">
        <v>29</v>
      </c>
      <c r="C233" t="s">
        <v>16</v>
      </c>
      <c r="D233" s="1">
        <v>45936</v>
      </c>
      <c r="E233" s="1">
        <v>45941</v>
      </c>
      <c r="F233" s="1">
        <v>45942</v>
      </c>
      <c r="G233" s="1">
        <v>45949</v>
      </c>
      <c r="H233" t="s">
        <v>17</v>
      </c>
      <c r="I233">
        <v>0</v>
      </c>
      <c r="J233" t="s">
        <v>18</v>
      </c>
      <c r="K233" s="1">
        <v>45972</v>
      </c>
      <c r="L233">
        <v>5</v>
      </c>
      <c r="M233">
        <v>1</v>
      </c>
      <c r="N233">
        <v>7</v>
      </c>
      <c r="O233">
        <v>8</v>
      </c>
      <c r="P233" t="str">
        <f t="shared" si="6"/>
        <v>Passive</v>
      </c>
      <c r="Q233">
        <v>10</v>
      </c>
      <c r="R233" t="s">
        <v>1034</v>
      </c>
      <c r="S233">
        <v>10</v>
      </c>
      <c r="T233" t="s">
        <v>1034</v>
      </c>
      <c r="U233" t="str">
        <f t="shared" si="7"/>
        <v>Yes</v>
      </c>
    </row>
    <row r="234" spans="1:21" x14ac:dyDescent="0.3">
      <c r="A234" t="s">
        <v>773</v>
      </c>
      <c r="B234" t="s">
        <v>29</v>
      </c>
      <c r="C234" t="s">
        <v>16</v>
      </c>
      <c r="D234" s="1">
        <v>45938</v>
      </c>
      <c r="E234" s="1">
        <v>45939</v>
      </c>
      <c r="F234" s="1">
        <v>45941</v>
      </c>
      <c r="G234" s="1">
        <v>45945</v>
      </c>
      <c r="H234" t="s">
        <v>752</v>
      </c>
      <c r="I234">
        <v>1</v>
      </c>
      <c r="J234" t="s">
        <v>756</v>
      </c>
      <c r="K234" s="1"/>
      <c r="L234">
        <v>1</v>
      </c>
      <c r="M234">
        <v>2</v>
      </c>
      <c r="N234">
        <v>4</v>
      </c>
      <c r="P234" t="str">
        <f t="shared" si="6"/>
        <v>Not Applicable</v>
      </c>
      <c r="Q234">
        <v>10</v>
      </c>
      <c r="R234" t="s">
        <v>1034</v>
      </c>
      <c r="S234">
        <v>10</v>
      </c>
      <c r="T234" t="s">
        <v>1034</v>
      </c>
      <c r="U234" t="str">
        <f t="shared" si="7"/>
        <v>No</v>
      </c>
    </row>
    <row r="235" spans="1:21" x14ac:dyDescent="0.3">
      <c r="A235" t="s">
        <v>700</v>
      </c>
      <c r="B235" t="s">
        <v>29</v>
      </c>
      <c r="C235" t="s">
        <v>474</v>
      </c>
      <c r="D235" s="1">
        <v>45936</v>
      </c>
      <c r="E235" s="1">
        <v>45941</v>
      </c>
      <c r="F235" s="1">
        <v>45943</v>
      </c>
      <c r="G235" s="1">
        <v>45947</v>
      </c>
      <c r="H235" t="s">
        <v>17</v>
      </c>
      <c r="I235">
        <v>0</v>
      </c>
      <c r="J235" t="s">
        <v>18</v>
      </c>
      <c r="K235" s="1">
        <v>45959</v>
      </c>
      <c r="L235">
        <v>5</v>
      </c>
      <c r="M235">
        <v>2</v>
      </c>
      <c r="N235">
        <v>4</v>
      </c>
      <c r="O235">
        <v>9</v>
      </c>
      <c r="P235" t="str">
        <f t="shared" si="6"/>
        <v>Promoter</v>
      </c>
      <c r="Q235">
        <v>10</v>
      </c>
      <c r="R235" t="s">
        <v>1034</v>
      </c>
      <c r="S235">
        <v>10</v>
      </c>
      <c r="T235" t="s">
        <v>1034</v>
      </c>
      <c r="U235" t="str">
        <f t="shared" si="7"/>
        <v>Yes</v>
      </c>
    </row>
    <row r="236" spans="1:21" x14ac:dyDescent="0.3">
      <c r="A236" t="s">
        <v>701</v>
      </c>
      <c r="B236" t="s">
        <v>22</v>
      </c>
      <c r="C236" t="s">
        <v>474</v>
      </c>
      <c r="D236" s="1">
        <v>45948</v>
      </c>
      <c r="E236" s="1">
        <v>45953</v>
      </c>
      <c r="F236" s="1">
        <v>45957</v>
      </c>
      <c r="G236" s="1">
        <v>45963</v>
      </c>
      <c r="H236" t="s">
        <v>17</v>
      </c>
      <c r="I236">
        <v>0</v>
      </c>
      <c r="J236" t="s">
        <v>18</v>
      </c>
      <c r="K236" s="1">
        <v>45982</v>
      </c>
      <c r="L236">
        <v>5</v>
      </c>
      <c r="M236">
        <v>4</v>
      </c>
      <c r="N236">
        <v>6</v>
      </c>
      <c r="O236">
        <v>4</v>
      </c>
      <c r="P236" t="str">
        <f t="shared" si="6"/>
        <v>Detractor</v>
      </c>
      <c r="Q236">
        <v>10</v>
      </c>
      <c r="R236" t="s">
        <v>1034</v>
      </c>
      <c r="S236">
        <v>11</v>
      </c>
      <c r="T236" t="s">
        <v>1035</v>
      </c>
      <c r="U236" t="str">
        <f t="shared" si="7"/>
        <v>Yes</v>
      </c>
    </row>
    <row r="237" spans="1:21" x14ac:dyDescent="0.3">
      <c r="A237" t="s">
        <v>528</v>
      </c>
      <c r="B237" t="s">
        <v>15</v>
      </c>
      <c r="C237" t="s">
        <v>474</v>
      </c>
      <c r="D237" s="1">
        <v>45933</v>
      </c>
      <c r="E237" s="1">
        <v>45935</v>
      </c>
      <c r="F237" s="1">
        <v>45938</v>
      </c>
      <c r="G237" s="1">
        <v>45942</v>
      </c>
      <c r="H237" t="s">
        <v>17</v>
      </c>
      <c r="I237">
        <v>0</v>
      </c>
      <c r="J237" t="s">
        <v>18</v>
      </c>
      <c r="K237" s="1">
        <v>45972</v>
      </c>
      <c r="L237">
        <v>2</v>
      </c>
      <c r="M237">
        <v>3</v>
      </c>
      <c r="N237">
        <v>4</v>
      </c>
      <c r="O237">
        <v>7</v>
      </c>
      <c r="P237" t="str">
        <f t="shared" si="6"/>
        <v>Passive</v>
      </c>
      <c r="Q237">
        <v>10</v>
      </c>
      <c r="R237" t="s">
        <v>1034</v>
      </c>
      <c r="S237">
        <v>10</v>
      </c>
      <c r="T237" t="s">
        <v>1034</v>
      </c>
      <c r="U237" t="str">
        <f t="shared" si="7"/>
        <v>Yes</v>
      </c>
    </row>
    <row r="238" spans="1:21" x14ac:dyDescent="0.3">
      <c r="A238" t="s">
        <v>529</v>
      </c>
      <c r="B238" t="s">
        <v>15</v>
      </c>
      <c r="C238" t="s">
        <v>474</v>
      </c>
      <c r="D238" s="1">
        <v>45936</v>
      </c>
      <c r="E238" s="1">
        <v>45939</v>
      </c>
      <c r="F238" s="1">
        <v>45941</v>
      </c>
      <c r="G238" s="1">
        <v>45947</v>
      </c>
      <c r="H238" t="s">
        <v>17</v>
      </c>
      <c r="I238">
        <v>0</v>
      </c>
      <c r="J238" t="s">
        <v>18</v>
      </c>
      <c r="K238" s="1">
        <v>45976</v>
      </c>
      <c r="L238">
        <v>3</v>
      </c>
      <c r="M238">
        <v>2</v>
      </c>
      <c r="N238">
        <v>6</v>
      </c>
      <c r="O238">
        <v>7</v>
      </c>
      <c r="P238" t="str">
        <f t="shared" si="6"/>
        <v>Passive</v>
      </c>
      <c r="Q238">
        <v>10</v>
      </c>
      <c r="R238" t="s">
        <v>1034</v>
      </c>
      <c r="S238">
        <v>10</v>
      </c>
      <c r="T238" t="s">
        <v>1034</v>
      </c>
      <c r="U238" t="str">
        <f t="shared" si="7"/>
        <v>Yes</v>
      </c>
    </row>
    <row r="239" spans="1:21" x14ac:dyDescent="0.3">
      <c r="A239" t="s">
        <v>46</v>
      </c>
      <c r="B239" t="s">
        <v>15</v>
      </c>
      <c r="C239" t="s">
        <v>16</v>
      </c>
      <c r="D239" s="1">
        <v>45931</v>
      </c>
      <c r="E239" s="1">
        <v>45934</v>
      </c>
      <c r="F239" s="1">
        <v>45935</v>
      </c>
      <c r="G239" s="1">
        <v>45942</v>
      </c>
      <c r="H239" t="s">
        <v>17</v>
      </c>
      <c r="I239">
        <v>0</v>
      </c>
      <c r="J239" t="s">
        <v>18</v>
      </c>
      <c r="K239" s="1">
        <v>45967</v>
      </c>
      <c r="L239">
        <v>3</v>
      </c>
      <c r="M239">
        <v>1</v>
      </c>
      <c r="N239">
        <v>7</v>
      </c>
      <c r="O239">
        <v>0</v>
      </c>
      <c r="P239" t="str">
        <f t="shared" si="6"/>
        <v>Detractor</v>
      </c>
      <c r="Q239">
        <v>10</v>
      </c>
      <c r="R239" t="s">
        <v>1034</v>
      </c>
      <c r="S239">
        <v>10</v>
      </c>
      <c r="T239" t="s">
        <v>1034</v>
      </c>
      <c r="U239" t="str">
        <f t="shared" si="7"/>
        <v>Yes</v>
      </c>
    </row>
    <row r="240" spans="1:21" x14ac:dyDescent="0.3">
      <c r="A240" t="s">
        <v>405</v>
      </c>
      <c r="B240" t="s">
        <v>22</v>
      </c>
      <c r="C240" t="s">
        <v>16</v>
      </c>
      <c r="D240" s="1">
        <v>45944</v>
      </c>
      <c r="E240" s="1">
        <v>45946</v>
      </c>
      <c r="F240" s="1">
        <v>45949</v>
      </c>
      <c r="G240" s="1">
        <v>45951</v>
      </c>
      <c r="H240" t="s">
        <v>17</v>
      </c>
      <c r="I240">
        <v>0</v>
      </c>
      <c r="J240" t="s">
        <v>18</v>
      </c>
      <c r="K240" s="1">
        <v>45967</v>
      </c>
      <c r="L240">
        <v>2</v>
      </c>
      <c r="M240">
        <v>3</v>
      </c>
      <c r="N240">
        <v>2</v>
      </c>
      <c r="O240">
        <v>1</v>
      </c>
      <c r="P240" t="str">
        <f t="shared" si="6"/>
        <v>Detractor</v>
      </c>
      <c r="Q240">
        <v>10</v>
      </c>
      <c r="R240" t="s">
        <v>1034</v>
      </c>
      <c r="S240">
        <v>10</v>
      </c>
      <c r="T240" t="s">
        <v>1034</v>
      </c>
      <c r="U240" t="str">
        <f t="shared" si="7"/>
        <v>Yes</v>
      </c>
    </row>
    <row r="241" spans="1:21" x14ac:dyDescent="0.3">
      <c r="A241" t="s">
        <v>774</v>
      </c>
      <c r="B241" t="s">
        <v>29</v>
      </c>
      <c r="C241" t="s">
        <v>474</v>
      </c>
      <c r="D241" s="1">
        <v>45945</v>
      </c>
      <c r="E241" s="1">
        <v>45947</v>
      </c>
      <c r="F241" s="1">
        <v>45951</v>
      </c>
      <c r="G241" s="1">
        <v>45954</v>
      </c>
      <c r="H241" t="s">
        <v>752</v>
      </c>
      <c r="I241">
        <v>1</v>
      </c>
      <c r="J241" t="s">
        <v>756</v>
      </c>
      <c r="K241" s="1"/>
      <c r="L241">
        <v>2</v>
      </c>
      <c r="M241">
        <v>4</v>
      </c>
      <c r="N241">
        <v>3</v>
      </c>
      <c r="P241" t="str">
        <f t="shared" si="6"/>
        <v>Not Applicable</v>
      </c>
      <c r="Q241">
        <v>10</v>
      </c>
      <c r="R241" t="s">
        <v>1034</v>
      </c>
      <c r="S241">
        <v>10</v>
      </c>
      <c r="T241" t="s">
        <v>1034</v>
      </c>
      <c r="U241" t="str">
        <f t="shared" si="7"/>
        <v>No</v>
      </c>
    </row>
    <row r="242" spans="1:21" x14ac:dyDescent="0.3">
      <c r="A242" t="s">
        <v>339</v>
      </c>
      <c r="B242" t="s">
        <v>15</v>
      </c>
      <c r="C242" t="s">
        <v>16</v>
      </c>
      <c r="D242" s="1">
        <v>45953</v>
      </c>
      <c r="E242" s="1">
        <v>45954</v>
      </c>
      <c r="F242" s="1">
        <v>45956</v>
      </c>
      <c r="G242" s="1">
        <v>45961</v>
      </c>
      <c r="H242" t="s">
        <v>17</v>
      </c>
      <c r="I242">
        <v>0</v>
      </c>
      <c r="J242" t="s">
        <v>18</v>
      </c>
      <c r="K242" s="1">
        <v>45974</v>
      </c>
      <c r="L242">
        <v>1</v>
      </c>
      <c r="M242">
        <v>2</v>
      </c>
      <c r="N242">
        <v>5</v>
      </c>
      <c r="O242">
        <v>9</v>
      </c>
      <c r="P242" t="str">
        <f t="shared" si="6"/>
        <v>Promoter</v>
      </c>
      <c r="Q242">
        <v>10</v>
      </c>
      <c r="R242" t="s">
        <v>1034</v>
      </c>
      <c r="S242">
        <v>10</v>
      </c>
      <c r="T242" t="s">
        <v>1034</v>
      </c>
      <c r="U242" t="str">
        <f t="shared" si="7"/>
        <v>Yes</v>
      </c>
    </row>
    <row r="243" spans="1:21" x14ac:dyDescent="0.3">
      <c r="A243" t="s">
        <v>530</v>
      </c>
      <c r="B243" t="s">
        <v>22</v>
      </c>
      <c r="C243" t="s">
        <v>474</v>
      </c>
      <c r="D243" s="1">
        <v>45950</v>
      </c>
      <c r="E243" s="1">
        <v>45952</v>
      </c>
      <c r="F243" s="1">
        <v>45956</v>
      </c>
      <c r="G243" s="1">
        <v>45958</v>
      </c>
      <c r="H243" t="s">
        <v>17</v>
      </c>
      <c r="I243">
        <v>0</v>
      </c>
      <c r="J243" t="s">
        <v>18</v>
      </c>
      <c r="K243" s="1">
        <v>45968</v>
      </c>
      <c r="L243">
        <v>2</v>
      </c>
      <c r="M243">
        <v>4</v>
      </c>
      <c r="N243">
        <v>2</v>
      </c>
      <c r="O243">
        <v>1</v>
      </c>
      <c r="P243" t="str">
        <f t="shared" si="6"/>
        <v>Detractor</v>
      </c>
      <c r="Q243">
        <v>10</v>
      </c>
      <c r="R243" t="s">
        <v>1034</v>
      </c>
      <c r="S243">
        <v>10</v>
      </c>
      <c r="T243" t="s">
        <v>1034</v>
      </c>
      <c r="U243" t="str">
        <f t="shared" si="7"/>
        <v>Yes</v>
      </c>
    </row>
    <row r="244" spans="1:21" x14ac:dyDescent="0.3">
      <c r="A244" t="s">
        <v>897</v>
      </c>
      <c r="B244" t="s">
        <v>15</v>
      </c>
      <c r="C244" t="s">
        <v>841</v>
      </c>
      <c r="D244" s="1">
        <v>45946</v>
      </c>
      <c r="E244" s="1"/>
      <c r="F244" s="1"/>
      <c r="G244" s="1"/>
      <c r="H244" t="s">
        <v>752</v>
      </c>
      <c r="I244">
        <v>1</v>
      </c>
      <c r="J244" t="s">
        <v>758</v>
      </c>
      <c r="K244" s="1"/>
      <c r="P244" t="str">
        <f t="shared" si="6"/>
        <v>Not Applicable</v>
      </c>
      <c r="R244" t="s">
        <v>1036</v>
      </c>
      <c r="T244" t="s">
        <v>1036</v>
      </c>
      <c r="U244" t="str">
        <f t="shared" si="7"/>
        <v>No</v>
      </c>
    </row>
    <row r="245" spans="1:21" x14ac:dyDescent="0.3">
      <c r="A245" t="s">
        <v>898</v>
      </c>
      <c r="B245" t="s">
        <v>27</v>
      </c>
      <c r="C245" t="s">
        <v>841</v>
      </c>
      <c r="D245" s="1">
        <v>45940</v>
      </c>
      <c r="E245" s="1"/>
      <c r="F245" s="1"/>
      <c r="G245" s="1"/>
      <c r="H245" t="s">
        <v>752</v>
      </c>
      <c r="I245">
        <v>1</v>
      </c>
      <c r="J245" t="s">
        <v>756</v>
      </c>
      <c r="K245" s="1"/>
      <c r="P245" t="str">
        <f t="shared" si="6"/>
        <v>Not Applicable</v>
      </c>
      <c r="R245" t="s">
        <v>1036</v>
      </c>
      <c r="T245" t="s">
        <v>1036</v>
      </c>
      <c r="U245" t="str">
        <f t="shared" si="7"/>
        <v>No</v>
      </c>
    </row>
    <row r="246" spans="1:21" x14ac:dyDescent="0.3">
      <c r="A246" t="s">
        <v>531</v>
      </c>
      <c r="B246" t="s">
        <v>15</v>
      </c>
      <c r="C246" t="s">
        <v>474</v>
      </c>
      <c r="D246" s="1">
        <v>45932</v>
      </c>
      <c r="E246" s="1">
        <v>45935</v>
      </c>
      <c r="F246" s="1">
        <v>45938</v>
      </c>
      <c r="G246" s="1">
        <v>45942</v>
      </c>
      <c r="H246" t="s">
        <v>17</v>
      </c>
      <c r="I246">
        <v>0</v>
      </c>
      <c r="J246" t="s">
        <v>18</v>
      </c>
      <c r="K246" s="1">
        <v>45958</v>
      </c>
      <c r="L246">
        <v>3</v>
      </c>
      <c r="M246">
        <v>3</v>
      </c>
      <c r="N246">
        <v>4</v>
      </c>
      <c r="O246">
        <v>6</v>
      </c>
      <c r="P246" t="str">
        <f t="shared" si="6"/>
        <v>Detractor</v>
      </c>
      <c r="Q246">
        <v>10</v>
      </c>
      <c r="R246" t="s">
        <v>1034</v>
      </c>
      <c r="S246">
        <v>10</v>
      </c>
      <c r="T246" t="s">
        <v>1034</v>
      </c>
      <c r="U246" t="str">
        <f t="shared" si="7"/>
        <v>Yes</v>
      </c>
    </row>
    <row r="247" spans="1:21" x14ac:dyDescent="0.3">
      <c r="A247" t="s">
        <v>775</v>
      </c>
      <c r="B247" t="s">
        <v>15</v>
      </c>
      <c r="C247" t="s">
        <v>16</v>
      </c>
      <c r="D247" s="1">
        <v>45938</v>
      </c>
      <c r="E247" s="1">
        <v>45940</v>
      </c>
      <c r="F247" s="1">
        <v>45943</v>
      </c>
      <c r="G247" s="1">
        <v>45950</v>
      </c>
      <c r="H247" t="s">
        <v>752</v>
      </c>
      <c r="I247">
        <v>1</v>
      </c>
      <c r="J247" t="s">
        <v>753</v>
      </c>
      <c r="K247" s="1"/>
      <c r="L247">
        <v>2</v>
      </c>
      <c r="M247">
        <v>3</v>
      </c>
      <c r="N247">
        <v>7</v>
      </c>
      <c r="P247" t="str">
        <f t="shared" si="6"/>
        <v>Not Applicable</v>
      </c>
      <c r="Q247">
        <v>10</v>
      </c>
      <c r="R247" t="s">
        <v>1034</v>
      </c>
      <c r="S247">
        <v>10</v>
      </c>
      <c r="T247" t="s">
        <v>1034</v>
      </c>
      <c r="U247" t="str">
        <f t="shared" si="7"/>
        <v>No</v>
      </c>
    </row>
    <row r="248" spans="1:21" x14ac:dyDescent="0.3">
      <c r="A248" t="s">
        <v>532</v>
      </c>
      <c r="B248" t="s">
        <v>29</v>
      </c>
      <c r="C248" t="s">
        <v>474</v>
      </c>
      <c r="D248" s="1">
        <v>45940</v>
      </c>
      <c r="E248" s="1">
        <v>45942</v>
      </c>
      <c r="F248" s="1">
        <v>45945</v>
      </c>
      <c r="G248" s="1">
        <v>45948</v>
      </c>
      <c r="H248" t="s">
        <v>17</v>
      </c>
      <c r="I248">
        <v>0</v>
      </c>
      <c r="J248" t="s">
        <v>18</v>
      </c>
      <c r="K248" s="1">
        <v>45963</v>
      </c>
      <c r="L248">
        <v>2</v>
      </c>
      <c r="M248">
        <v>3</v>
      </c>
      <c r="N248">
        <v>3</v>
      </c>
      <c r="O248">
        <v>6</v>
      </c>
      <c r="P248" t="str">
        <f t="shared" si="6"/>
        <v>Detractor</v>
      </c>
      <c r="Q248">
        <v>10</v>
      </c>
      <c r="R248" t="s">
        <v>1034</v>
      </c>
      <c r="S248">
        <v>10</v>
      </c>
      <c r="T248" t="s">
        <v>1034</v>
      </c>
      <c r="U248" t="str">
        <f t="shared" si="7"/>
        <v>Yes</v>
      </c>
    </row>
    <row r="249" spans="1:21" x14ac:dyDescent="0.3">
      <c r="A249" t="s">
        <v>151</v>
      </c>
      <c r="B249" t="s">
        <v>22</v>
      </c>
      <c r="C249" t="s">
        <v>16</v>
      </c>
      <c r="D249" s="1">
        <v>45953</v>
      </c>
      <c r="E249" s="1">
        <v>45958</v>
      </c>
      <c r="F249" s="1">
        <v>45963</v>
      </c>
      <c r="G249" s="1">
        <v>45970</v>
      </c>
      <c r="H249" t="s">
        <v>17</v>
      </c>
      <c r="I249">
        <v>0</v>
      </c>
      <c r="J249" t="s">
        <v>18</v>
      </c>
      <c r="K249" s="1">
        <v>46000</v>
      </c>
      <c r="L249">
        <v>5</v>
      </c>
      <c r="M249">
        <v>5</v>
      </c>
      <c r="N249">
        <v>7</v>
      </c>
      <c r="O249">
        <v>4</v>
      </c>
      <c r="P249" t="str">
        <f t="shared" si="6"/>
        <v>Detractor</v>
      </c>
      <c r="Q249">
        <v>10</v>
      </c>
      <c r="R249" t="s">
        <v>1034</v>
      </c>
      <c r="S249">
        <v>11</v>
      </c>
      <c r="T249" t="s">
        <v>1035</v>
      </c>
      <c r="U249" t="str">
        <f t="shared" si="7"/>
        <v>Yes</v>
      </c>
    </row>
    <row r="250" spans="1:21" x14ac:dyDescent="0.3">
      <c r="A250" t="s">
        <v>406</v>
      </c>
      <c r="B250" t="s">
        <v>29</v>
      </c>
      <c r="C250" t="s">
        <v>16</v>
      </c>
      <c r="D250" s="1">
        <v>45940</v>
      </c>
      <c r="E250" s="1">
        <v>45942</v>
      </c>
      <c r="F250" s="1">
        <v>45947</v>
      </c>
      <c r="G250" s="1">
        <v>45950</v>
      </c>
      <c r="H250" t="s">
        <v>17</v>
      </c>
      <c r="I250">
        <v>0</v>
      </c>
      <c r="J250" t="s">
        <v>18</v>
      </c>
      <c r="K250" s="1">
        <v>45969</v>
      </c>
      <c r="L250">
        <v>2</v>
      </c>
      <c r="M250">
        <v>5</v>
      </c>
      <c r="N250">
        <v>3</v>
      </c>
      <c r="O250">
        <v>7</v>
      </c>
      <c r="P250" t="str">
        <f t="shared" si="6"/>
        <v>Passive</v>
      </c>
      <c r="Q250">
        <v>10</v>
      </c>
      <c r="R250" t="s">
        <v>1034</v>
      </c>
      <c r="S250">
        <v>10</v>
      </c>
      <c r="T250" t="s">
        <v>1034</v>
      </c>
      <c r="U250" t="str">
        <f t="shared" si="7"/>
        <v>Yes</v>
      </c>
    </row>
    <row r="251" spans="1:21" x14ac:dyDescent="0.3">
      <c r="A251" t="s">
        <v>533</v>
      </c>
      <c r="B251" t="s">
        <v>29</v>
      </c>
      <c r="C251" t="s">
        <v>474</v>
      </c>
      <c r="D251" s="1">
        <v>45953</v>
      </c>
      <c r="E251" s="1">
        <v>45954</v>
      </c>
      <c r="F251" s="1">
        <v>45955</v>
      </c>
      <c r="G251" s="1">
        <v>45958</v>
      </c>
      <c r="H251" t="s">
        <v>17</v>
      </c>
      <c r="I251">
        <v>0</v>
      </c>
      <c r="J251" t="s">
        <v>18</v>
      </c>
      <c r="K251" s="1">
        <v>45970</v>
      </c>
      <c r="L251">
        <v>1</v>
      </c>
      <c r="M251">
        <v>1</v>
      </c>
      <c r="N251">
        <v>3</v>
      </c>
      <c r="O251">
        <v>3</v>
      </c>
      <c r="P251" t="str">
        <f t="shared" si="6"/>
        <v>Detractor</v>
      </c>
      <c r="Q251">
        <v>10</v>
      </c>
      <c r="R251" t="s">
        <v>1034</v>
      </c>
      <c r="S251">
        <v>10</v>
      </c>
      <c r="T251" t="s">
        <v>1034</v>
      </c>
      <c r="U251" t="str">
        <f t="shared" si="7"/>
        <v>Yes</v>
      </c>
    </row>
    <row r="252" spans="1:21" x14ac:dyDescent="0.3">
      <c r="A252" t="s">
        <v>407</v>
      </c>
      <c r="B252" t="s">
        <v>29</v>
      </c>
      <c r="C252" t="s">
        <v>16</v>
      </c>
      <c r="D252" s="1">
        <v>45958</v>
      </c>
      <c r="E252" s="1">
        <v>45960</v>
      </c>
      <c r="F252" s="1">
        <v>45963</v>
      </c>
      <c r="G252" s="1">
        <v>45966</v>
      </c>
      <c r="H252" t="s">
        <v>17</v>
      </c>
      <c r="I252">
        <v>0</v>
      </c>
      <c r="J252" t="s">
        <v>18</v>
      </c>
      <c r="K252" s="1">
        <v>45991</v>
      </c>
      <c r="L252">
        <v>2</v>
      </c>
      <c r="M252">
        <v>3</v>
      </c>
      <c r="N252">
        <v>3</v>
      </c>
      <c r="O252">
        <v>2</v>
      </c>
      <c r="P252" t="str">
        <f t="shared" si="6"/>
        <v>Detractor</v>
      </c>
      <c r="Q252">
        <v>10</v>
      </c>
      <c r="R252" t="s">
        <v>1034</v>
      </c>
      <c r="S252">
        <v>11</v>
      </c>
      <c r="T252" t="s">
        <v>1035</v>
      </c>
      <c r="U252" t="str">
        <f t="shared" si="7"/>
        <v>Yes</v>
      </c>
    </row>
    <row r="253" spans="1:21" x14ac:dyDescent="0.3">
      <c r="A253" t="s">
        <v>534</v>
      </c>
      <c r="B253" t="s">
        <v>29</v>
      </c>
      <c r="C253" t="s">
        <v>474</v>
      </c>
      <c r="D253" s="1">
        <v>45945</v>
      </c>
      <c r="E253" s="1">
        <v>45949</v>
      </c>
      <c r="F253" s="1">
        <v>45952</v>
      </c>
      <c r="G253" s="1">
        <v>45959</v>
      </c>
      <c r="H253" t="s">
        <v>17</v>
      </c>
      <c r="I253">
        <v>0</v>
      </c>
      <c r="J253" t="s">
        <v>18</v>
      </c>
      <c r="K253" s="1">
        <v>45972</v>
      </c>
      <c r="L253">
        <v>4</v>
      </c>
      <c r="M253">
        <v>3</v>
      </c>
      <c r="N253">
        <v>7</v>
      </c>
      <c r="O253">
        <v>6</v>
      </c>
      <c r="P253" t="str">
        <f t="shared" si="6"/>
        <v>Detractor</v>
      </c>
      <c r="Q253">
        <v>10</v>
      </c>
      <c r="R253" t="s">
        <v>1034</v>
      </c>
      <c r="S253">
        <v>10</v>
      </c>
      <c r="T253" t="s">
        <v>1034</v>
      </c>
      <c r="U253" t="str">
        <f t="shared" si="7"/>
        <v>Yes</v>
      </c>
    </row>
    <row r="254" spans="1:21" x14ac:dyDescent="0.3">
      <c r="A254" t="s">
        <v>535</v>
      </c>
      <c r="B254" t="s">
        <v>29</v>
      </c>
      <c r="C254" t="s">
        <v>474</v>
      </c>
      <c r="D254" s="1">
        <v>45933</v>
      </c>
      <c r="E254" s="1">
        <v>45937</v>
      </c>
      <c r="F254" s="1">
        <v>45939</v>
      </c>
      <c r="G254" s="1">
        <v>45943</v>
      </c>
      <c r="H254" t="s">
        <v>17</v>
      </c>
      <c r="I254">
        <v>0</v>
      </c>
      <c r="J254" t="s">
        <v>18</v>
      </c>
      <c r="K254" s="1">
        <v>45962</v>
      </c>
      <c r="L254">
        <v>4</v>
      </c>
      <c r="M254">
        <v>2</v>
      </c>
      <c r="N254">
        <v>4</v>
      </c>
      <c r="O254">
        <v>10</v>
      </c>
      <c r="P254" t="str">
        <f t="shared" si="6"/>
        <v>Promoter</v>
      </c>
      <c r="Q254">
        <v>10</v>
      </c>
      <c r="R254" t="s">
        <v>1034</v>
      </c>
      <c r="S254">
        <v>10</v>
      </c>
      <c r="T254" t="s">
        <v>1034</v>
      </c>
      <c r="U254" t="str">
        <f t="shared" si="7"/>
        <v>Yes</v>
      </c>
    </row>
    <row r="255" spans="1:21" x14ac:dyDescent="0.3">
      <c r="A255" t="s">
        <v>152</v>
      </c>
      <c r="B255" t="s">
        <v>15</v>
      </c>
      <c r="C255" t="s">
        <v>16</v>
      </c>
      <c r="D255" s="1">
        <v>45952</v>
      </c>
      <c r="E255" s="1">
        <v>45957</v>
      </c>
      <c r="F255" s="1">
        <v>45958</v>
      </c>
      <c r="G255" s="1">
        <v>45961</v>
      </c>
      <c r="H255" t="s">
        <v>17</v>
      </c>
      <c r="I255">
        <v>0</v>
      </c>
      <c r="J255" t="s">
        <v>18</v>
      </c>
      <c r="K255" s="1">
        <v>45983</v>
      </c>
      <c r="L255">
        <v>5</v>
      </c>
      <c r="M255">
        <v>1</v>
      </c>
      <c r="N255">
        <v>3</v>
      </c>
      <c r="O255">
        <v>4</v>
      </c>
      <c r="P255" t="str">
        <f t="shared" si="6"/>
        <v>Detractor</v>
      </c>
      <c r="Q255">
        <v>10</v>
      </c>
      <c r="R255" t="s">
        <v>1034</v>
      </c>
      <c r="S255">
        <v>10</v>
      </c>
      <c r="T255" t="s">
        <v>1034</v>
      </c>
      <c r="U255" t="str">
        <f t="shared" si="7"/>
        <v>Yes</v>
      </c>
    </row>
    <row r="256" spans="1:21" x14ac:dyDescent="0.3">
      <c r="A256" t="s">
        <v>153</v>
      </c>
      <c r="B256" t="s">
        <v>29</v>
      </c>
      <c r="C256" t="s">
        <v>16</v>
      </c>
      <c r="D256" s="1">
        <v>45938</v>
      </c>
      <c r="E256" s="1">
        <v>45943</v>
      </c>
      <c r="F256" s="1">
        <v>45944</v>
      </c>
      <c r="G256" s="1">
        <v>45951</v>
      </c>
      <c r="H256" t="s">
        <v>17</v>
      </c>
      <c r="I256">
        <v>0</v>
      </c>
      <c r="J256" t="s">
        <v>18</v>
      </c>
      <c r="K256" s="1">
        <v>45976</v>
      </c>
      <c r="L256">
        <v>5</v>
      </c>
      <c r="M256">
        <v>1</v>
      </c>
      <c r="N256">
        <v>7</v>
      </c>
      <c r="O256">
        <v>5</v>
      </c>
      <c r="P256" t="str">
        <f t="shared" si="6"/>
        <v>Detractor</v>
      </c>
      <c r="Q256">
        <v>10</v>
      </c>
      <c r="R256" t="s">
        <v>1034</v>
      </c>
      <c r="S256">
        <v>10</v>
      </c>
      <c r="T256" t="s">
        <v>1034</v>
      </c>
      <c r="U256" t="str">
        <f t="shared" si="7"/>
        <v>Yes</v>
      </c>
    </row>
    <row r="257" spans="1:21" x14ac:dyDescent="0.3">
      <c r="A257" t="s">
        <v>776</v>
      </c>
      <c r="B257" t="s">
        <v>29</v>
      </c>
      <c r="C257" t="s">
        <v>16</v>
      </c>
      <c r="D257" s="1">
        <v>45960</v>
      </c>
      <c r="E257" s="1">
        <v>45964</v>
      </c>
      <c r="F257" s="1">
        <v>45968</v>
      </c>
      <c r="G257" s="1">
        <v>45973</v>
      </c>
      <c r="H257" t="s">
        <v>752</v>
      </c>
      <c r="I257">
        <v>1</v>
      </c>
      <c r="J257" t="s">
        <v>777</v>
      </c>
      <c r="K257" s="1"/>
      <c r="L257">
        <v>4</v>
      </c>
      <c r="M257">
        <v>4</v>
      </c>
      <c r="N257">
        <v>5</v>
      </c>
      <c r="P257" t="str">
        <f t="shared" si="6"/>
        <v>Not Applicable</v>
      </c>
      <c r="Q257">
        <v>11</v>
      </c>
      <c r="R257" t="s">
        <v>1035</v>
      </c>
      <c r="S257">
        <v>11</v>
      </c>
      <c r="T257" t="s">
        <v>1035</v>
      </c>
      <c r="U257" t="str">
        <f t="shared" si="7"/>
        <v>No</v>
      </c>
    </row>
    <row r="258" spans="1:21" x14ac:dyDescent="0.3">
      <c r="A258" t="s">
        <v>154</v>
      </c>
      <c r="B258" t="s">
        <v>22</v>
      </c>
      <c r="C258" t="s">
        <v>16</v>
      </c>
      <c r="D258" s="1">
        <v>45939</v>
      </c>
      <c r="E258" s="1">
        <v>45944</v>
      </c>
      <c r="F258" s="1">
        <v>45947</v>
      </c>
      <c r="G258" s="1">
        <v>45952</v>
      </c>
      <c r="H258" t="s">
        <v>17</v>
      </c>
      <c r="I258">
        <v>0</v>
      </c>
      <c r="J258" t="s">
        <v>18</v>
      </c>
      <c r="K258" s="1">
        <v>45977</v>
      </c>
      <c r="L258">
        <v>5</v>
      </c>
      <c r="M258">
        <v>3</v>
      </c>
      <c r="N258">
        <v>5</v>
      </c>
      <c r="O258">
        <v>3</v>
      </c>
      <c r="P258" t="str">
        <f t="shared" ref="P258:P321" si="8">IF(ISBLANK(O258), "Not Applicable", IF(O258&gt;=9, "Promoter", IF(O258&gt;=7, "Passive", "Detractor")))</f>
        <v>Detractor</v>
      </c>
      <c r="Q258">
        <v>10</v>
      </c>
      <c r="R258" t="s">
        <v>1034</v>
      </c>
      <c r="S258">
        <v>10</v>
      </c>
      <c r="T258" t="s">
        <v>1034</v>
      </c>
      <c r="U258" t="str">
        <f t="shared" ref="U258:U321" si="9">IF(
H258="Yes","No",
IF(
OR(
C258="Hot",
AND(C258="Warm",NOT(ISBLANK(E258)))
),
"Yes",
"No"
)
)</f>
        <v>Yes</v>
      </c>
    </row>
    <row r="259" spans="1:21" x14ac:dyDescent="0.3">
      <c r="A259" t="s">
        <v>899</v>
      </c>
      <c r="B259" t="s">
        <v>27</v>
      </c>
      <c r="C259" t="s">
        <v>841</v>
      </c>
      <c r="D259" s="1">
        <v>45956</v>
      </c>
      <c r="E259" s="1"/>
      <c r="F259" s="1"/>
      <c r="G259" s="1"/>
      <c r="H259" t="s">
        <v>752</v>
      </c>
      <c r="I259">
        <v>1</v>
      </c>
      <c r="J259" t="s">
        <v>756</v>
      </c>
      <c r="K259" s="1"/>
      <c r="P259" t="str">
        <f t="shared" si="8"/>
        <v>Not Applicable</v>
      </c>
      <c r="R259" t="s">
        <v>1036</v>
      </c>
      <c r="T259" t="s">
        <v>1036</v>
      </c>
      <c r="U259" t="str">
        <f t="shared" si="9"/>
        <v>No</v>
      </c>
    </row>
    <row r="260" spans="1:21" x14ac:dyDescent="0.3">
      <c r="A260" t="s">
        <v>778</v>
      </c>
      <c r="B260" t="s">
        <v>15</v>
      </c>
      <c r="C260" t="s">
        <v>474</v>
      </c>
      <c r="D260" s="1">
        <v>45956</v>
      </c>
      <c r="E260" s="1">
        <v>45961</v>
      </c>
      <c r="F260" s="1">
        <v>45963</v>
      </c>
      <c r="G260" s="1">
        <v>45966</v>
      </c>
      <c r="H260" t="s">
        <v>752</v>
      </c>
      <c r="I260">
        <v>1</v>
      </c>
      <c r="J260" t="s">
        <v>756</v>
      </c>
      <c r="K260" s="1"/>
      <c r="L260">
        <v>5</v>
      </c>
      <c r="M260">
        <v>2</v>
      </c>
      <c r="N260">
        <v>3</v>
      </c>
      <c r="P260" t="str">
        <f t="shared" si="8"/>
        <v>Not Applicable</v>
      </c>
      <c r="Q260">
        <v>10</v>
      </c>
      <c r="R260" t="s">
        <v>1034</v>
      </c>
      <c r="S260">
        <v>11</v>
      </c>
      <c r="T260" t="s">
        <v>1035</v>
      </c>
      <c r="U260" t="str">
        <f t="shared" si="9"/>
        <v>No</v>
      </c>
    </row>
    <row r="261" spans="1:21" x14ac:dyDescent="0.3">
      <c r="A261" t="s">
        <v>47</v>
      </c>
      <c r="B261" t="s">
        <v>15</v>
      </c>
      <c r="C261" t="s">
        <v>16</v>
      </c>
      <c r="D261" s="1">
        <v>45951</v>
      </c>
      <c r="E261" s="1">
        <v>45954</v>
      </c>
      <c r="F261" s="1">
        <v>45958</v>
      </c>
      <c r="G261" s="1">
        <v>45964</v>
      </c>
      <c r="H261" t="s">
        <v>17</v>
      </c>
      <c r="I261">
        <v>0</v>
      </c>
      <c r="J261" t="s">
        <v>18</v>
      </c>
      <c r="K261" s="1">
        <v>45982</v>
      </c>
      <c r="L261">
        <v>3</v>
      </c>
      <c r="M261">
        <v>4</v>
      </c>
      <c r="N261">
        <v>6</v>
      </c>
      <c r="O261">
        <v>4</v>
      </c>
      <c r="P261" t="str">
        <f t="shared" si="8"/>
        <v>Detractor</v>
      </c>
      <c r="Q261">
        <v>10</v>
      </c>
      <c r="R261" t="s">
        <v>1034</v>
      </c>
      <c r="S261">
        <v>11</v>
      </c>
      <c r="T261" t="s">
        <v>1035</v>
      </c>
      <c r="U261" t="str">
        <f t="shared" si="9"/>
        <v>Yes</v>
      </c>
    </row>
    <row r="262" spans="1:21" x14ac:dyDescent="0.3">
      <c r="A262" t="s">
        <v>48</v>
      </c>
      <c r="B262" t="s">
        <v>15</v>
      </c>
      <c r="C262" t="s">
        <v>16</v>
      </c>
      <c r="D262" s="1">
        <v>45949</v>
      </c>
      <c r="E262" s="1">
        <v>45952</v>
      </c>
      <c r="F262" s="1">
        <v>45957</v>
      </c>
      <c r="G262" s="1">
        <v>45964</v>
      </c>
      <c r="H262" t="s">
        <v>17</v>
      </c>
      <c r="I262">
        <v>0</v>
      </c>
      <c r="J262" t="s">
        <v>18</v>
      </c>
      <c r="K262" s="1">
        <v>45976</v>
      </c>
      <c r="L262">
        <v>3</v>
      </c>
      <c r="M262">
        <v>5</v>
      </c>
      <c r="N262">
        <v>7</v>
      </c>
      <c r="O262">
        <v>2</v>
      </c>
      <c r="P262" t="str">
        <f t="shared" si="8"/>
        <v>Detractor</v>
      </c>
      <c r="Q262">
        <v>10</v>
      </c>
      <c r="R262" t="s">
        <v>1034</v>
      </c>
      <c r="S262">
        <v>11</v>
      </c>
      <c r="T262" t="s">
        <v>1035</v>
      </c>
      <c r="U262" t="str">
        <f t="shared" si="9"/>
        <v>Yes</v>
      </c>
    </row>
    <row r="263" spans="1:21" x14ac:dyDescent="0.3">
      <c r="A263" t="s">
        <v>408</v>
      </c>
      <c r="B263" t="s">
        <v>29</v>
      </c>
      <c r="C263" t="s">
        <v>16</v>
      </c>
      <c r="D263" s="1">
        <v>45952</v>
      </c>
      <c r="E263" s="1">
        <v>45954</v>
      </c>
      <c r="F263" s="1">
        <v>45957</v>
      </c>
      <c r="G263" s="1">
        <v>45961</v>
      </c>
      <c r="H263" t="s">
        <v>17</v>
      </c>
      <c r="I263">
        <v>0</v>
      </c>
      <c r="J263" t="s">
        <v>18</v>
      </c>
      <c r="K263" s="1">
        <v>45991</v>
      </c>
      <c r="L263">
        <v>2</v>
      </c>
      <c r="M263">
        <v>3</v>
      </c>
      <c r="N263">
        <v>4</v>
      </c>
      <c r="O263">
        <v>9</v>
      </c>
      <c r="P263" t="str">
        <f t="shared" si="8"/>
        <v>Promoter</v>
      </c>
      <c r="Q263">
        <v>10</v>
      </c>
      <c r="R263" t="s">
        <v>1034</v>
      </c>
      <c r="S263">
        <v>10</v>
      </c>
      <c r="T263" t="s">
        <v>1034</v>
      </c>
      <c r="U263" t="str">
        <f t="shared" si="9"/>
        <v>Yes</v>
      </c>
    </row>
    <row r="264" spans="1:21" x14ac:dyDescent="0.3">
      <c r="A264" t="s">
        <v>900</v>
      </c>
      <c r="B264" t="s">
        <v>29</v>
      </c>
      <c r="C264" t="s">
        <v>841</v>
      </c>
      <c r="D264" s="1">
        <v>45956</v>
      </c>
      <c r="E264" s="1"/>
      <c r="F264" s="1"/>
      <c r="G264" s="1"/>
      <c r="H264" t="s">
        <v>752</v>
      </c>
      <c r="I264">
        <v>1</v>
      </c>
      <c r="J264" t="s">
        <v>758</v>
      </c>
      <c r="K264" s="1"/>
      <c r="P264" t="str">
        <f t="shared" si="8"/>
        <v>Not Applicable</v>
      </c>
      <c r="R264" t="s">
        <v>1036</v>
      </c>
      <c r="T264" t="s">
        <v>1036</v>
      </c>
      <c r="U264" t="str">
        <f t="shared" si="9"/>
        <v>No</v>
      </c>
    </row>
    <row r="265" spans="1:21" x14ac:dyDescent="0.3">
      <c r="A265" t="s">
        <v>248</v>
      </c>
      <c r="B265" t="s">
        <v>29</v>
      </c>
      <c r="C265" t="s">
        <v>16</v>
      </c>
      <c r="D265" s="1">
        <v>45960</v>
      </c>
      <c r="E265" s="1">
        <v>45964</v>
      </c>
      <c r="F265" s="1">
        <v>45965</v>
      </c>
      <c r="G265" s="1">
        <v>45972</v>
      </c>
      <c r="H265" t="s">
        <v>17</v>
      </c>
      <c r="I265">
        <v>0</v>
      </c>
      <c r="J265" t="s">
        <v>18</v>
      </c>
      <c r="K265" s="1">
        <v>45999</v>
      </c>
      <c r="L265">
        <v>4</v>
      </c>
      <c r="M265">
        <v>1</v>
      </c>
      <c r="N265">
        <v>7</v>
      </c>
      <c r="O265">
        <v>5</v>
      </c>
      <c r="P265" t="str">
        <f t="shared" si="8"/>
        <v>Detractor</v>
      </c>
      <c r="Q265">
        <v>11</v>
      </c>
      <c r="R265" t="s">
        <v>1035</v>
      </c>
      <c r="S265">
        <v>11</v>
      </c>
      <c r="T265" t="s">
        <v>1035</v>
      </c>
      <c r="U265" t="str">
        <f t="shared" si="9"/>
        <v>Yes</v>
      </c>
    </row>
    <row r="266" spans="1:21" x14ac:dyDescent="0.3">
      <c r="A266" t="s">
        <v>340</v>
      </c>
      <c r="B266" t="s">
        <v>22</v>
      </c>
      <c r="C266" t="s">
        <v>16</v>
      </c>
      <c r="D266" s="1">
        <v>45937</v>
      </c>
      <c r="E266" s="1">
        <v>45938</v>
      </c>
      <c r="F266" s="1">
        <v>45941</v>
      </c>
      <c r="G266" s="1">
        <v>45946</v>
      </c>
      <c r="H266" t="s">
        <v>17</v>
      </c>
      <c r="I266">
        <v>0</v>
      </c>
      <c r="J266" t="s">
        <v>18</v>
      </c>
      <c r="K266" s="1">
        <v>45968</v>
      </c>
      <c r="L266">
        <v>1</v>
      </c>
      <c r="M266">
        <v>3</v>
      </c>
      <c r="N266">
        <v>5</v>
      </c>
      <c r="O266">
        <v>7</v>
      </c>
      <c r="P266" t="str">
        <f t="shared" si="8"/>
        <v>Passive</v>
      </c>
      <c r="Q266">
        <v>10</v>
      </c>
      <c r="R266" t="s">
        <v>1034</v>
      </c>
      <c r="S266">
        <v>10</v>
      </c>
      <c r="T266" t="s">
        <v>1034</v>
      </c>
      <c r="U266" t="str">
        <f t="shared" si="9"/>
        <v>Yes</v>
      </c>
    </row>
    <row r="267" spans="1:21" x14ac:dyDescent="0.3">
      <c r="A267" t="s">
        <v>249</v>
      </c>
      <c r="B267" t="s">
        <v>27</v>
      </c>
      <c r="C267" t="s">
        <v>16</v>
      </c>
      <c r="D267" s="1">
        <v>45944</v>
      </c>
      <c r="E267" s="1">
        <v>45948</v>
      </c>
      <c r="F267" s="1">
        <v>45951</v>
      </c>
      <c r="G267" s="1">
        <v>45956</v>
      </c>
      <c r="H267" t="s">
        <v>17</v>
      </c>
      <c r="I267">
        <v>0</v>
      </c>
      <c r="J267" t="s">
        <v>18</v>
      </c>
      <c r="K267" s="1">
        <v>45971</v>
      </c>
      <c r="L267">
        <v>4</v>
      </c>
      <c r="M267">
        <v>3</v>
      </c>
      <c r="N267">
        <v>5</v>
      </c>
      <c r="O267">
        <v>5</v>
      </c>
      <c r="P267" t="str">
        <f t="shared" si="8"/>
        <v>Detractor</v>
      </c>
      <c r="Q267">
        <v>10</v>
      </c>
      <c r="R267" t="s">
        <v>1034</v>
      </c>
      <c r="S267">
        <v>10</v>
      </c>
      <c r="T267" t="s">
        <v>1034</v>
      </c>
      <c r="U267" t="str">
        <f t="shared" si="9"/>
        <v>Yes</v>
      </c>
    </row>
    <row r="268" spans="1:21" x14ac:dyDescent="0.3">
      <c r="A268" t="s">
        <v>901</v>
      </c>
      <c r="B268" t="s">
        <v>29</v>
      </c>
      <c r="C268" t="s">
        <v>841</v>
      </c>
      <c r="D268" s="1">
        <v>45934</v>
      </c>
      <c r="E268" s="1"/>
      <c r="F268" s="1"/>
      <c r="G268" s="1"/>
      <c r="H268" t="s">
        <v>752</v>
      </c>
      <c r="I268">
        <v>1</v>
      </c>
      <c r="J268" t="s">
        <v>753</v>
      </c>
      <c r="K268" s="1"/>
      <c r="P268" t="str">
        <f t="shared" si="8"/>
        <v>Not Applicable</v>
      </c>
      <c r="R268" t="s">
        <v>1036</v>
      </c>
      <c r="T268" t="s">
        <v>1036</v>
      </c>
      <c r="U268" t="str">
        <f t="shared" si="9"/>
        <v>No</v>
      </c>
    </row>
    <row r="269" spans="1:21" x14ac:dyDescent="0.3">
      <c r="A269" t="s">
        <v>902</v>
      </c>
      <c r="B269" t="s">
        <v>27</v>
      </c>
      <c r="C269" t="s">
        <v>841</v>
      </c>
      <c r="D269" s="1">
        <v>45948</v>
      </c>
      <c r="E269" s="1"/>
      <c r="F269" s="1"/>
      <c r="G269" s="1"/>
      <c r="H269" t="s">
        <v>752</v>
      </c>
      <c r="I269">
        <v>1</v>
      </c>
      <c r="J269" t="s">
        <v>777</v>
      </c>
      <c r="K269" s="1"/>
      <c r="P269" t="str">
        <f t="shared" si="8"/>
        <v>Not Applicable</v>
      </c>
      <c r="R269" t="s">
        <v>1036</v>
      </c>
      <c r="T269" t="s">
        <v>1036</v>
      </c>
      <c r="U269" t="str">
        <f t="shared" si="9"/>
        <v>No</v>
      </c>
    </row>
    <row r="270" spans="1:21" x14ac:dyDescent="0.3">
      <c r="A270" t="s">
        <v>250</v>
      </c>
      <c r="B270" t="s">
        <v>22</v>
      </c>
      <c r="C270" t="s">
        <v>16</v>
      </c>
      <c r="D270" s="1">
        <v>45938</v>
      </c>
      <c r="E270" s="1">
        <v>45942</v>
      </c>
      <c r="F270" s="1">
        <v>45947</v>
      </c>
      <c r="G270" s="1">
        <v>45952</v>
      </c>
      <c r="H270" t="s">
        <v>17</v>
      </c>
      <c r="I270">
        <v>0</v>
      </c>
      <c r="J270" t="s">
        <v>18</v>
      </c>
      <c r="K270" s="1">
        <v>45973</v>
      </c>
      <c r="L270">
        <v>4</v>
      </c>
      <c r="M270">
        <v>5</v>
      </c>
      <c r="N270">
        <v>5</v>
      </c>
      <c r="O270">
        <v>6</v>
      </c>
      <c r="P270" t="str">
        <f t="shared" si="8"/>
        <v>Detractor</v>
      </c>
      <c r="Q270">
        <v>10</v>
      </c>
      <c r="R270" t="s">
        <v>1034</v>
      </c>
      <c r="S270">
        <v>10</v>
      </c>
      <c r="T270" t="s">
        <v>1034</v>
      </c>
      <c r="U270" t="str">
        <f t="shared" si="9"/>
        <v>Yes</v>
      </c>
    </row>
    <row r="271" spans="1:21" x14ac:dyDescent="0.3">
      <c r="A271" t="s">
        <v>49</v>
      </c>
      <c r="B271" t="s">
        <v>15</v>
      </c>
      <c r="C271" t="s">
        <v>16</v>
      </c>
      <c r="D271" s="1">
        <v>45951</v>
      </c>
      <c r="E271" s="1">
        <v>45954</v>
      </c>
      <c r="F271" s="1">
        <v>45956</v>
      </c>
      <c r="G271" s="1">
        <v>45958</v>
      </c>
      <c r="H271" t="s">
        <v>17</v>
      </c>
      <c r="I271">
        <v>0</v>
      </c>
      <c r="J271" t="s">
        <v>18</v>
      </c>
      <c r="K271" s="1">
        <v>45980</v>
      </c>
      <c r="L271">
        <v>3</v>
      </c>
      <c r="M271">
        <v>2</v>
      </c>
      <c r="N271">
        <v>2</v>
      </c>
      <c r="O271">
        <v>1</v>
      </c>
      <c r="P271" t="str">
        <f t="shared" si="8"/>
        <v>Detractor</v>
      </c>
      <c r="Q271">
        <v>10</v>
      </c>
      <c r="R271" t="s">
        <v>1034</v>
      </c>
      <c r="S271">
        <v>10</v>
      </c>
      <c r="T271" t="s">
        <v>1034</v>
      </c>
      <c r="U271" t="str">
        <f t="shared" si="9"/>
        <v>Yes</v>
      </c>
    </row>
    <row r="272" spans="1:21" x14ac:dyDescent="0.3">
      <c r="A272" t="s">
        <v>536</v>
      </c>
      <c r="B272" t="s">
        <v>29</v>
      </c>
      <c r="C272" t="s">
        <v>474</v>
      </c>
      <c r="D272" s="1">
        <v>45935</v>
      </c>
      <c r="E272" s="1">
        <v>45938</v>
      </c>
      <c r="F272" s="1">
        <v>45940</v>
      </c>
      <c r="G272" s="1">
        <v>45947</v>
      </c>
      <c r="H272" t="s">
        <v>17</v>
      </c>
      <c r="I272">
        <v>0</v>
      </c>
      <c r="J272" t="s">
        <v>18</v>
      </c>
      <c r="K272" s="1">
        <v>45968</v>
      </c>
      <c r="L272">
        <v>3</v>
      </c>
      <c r="M272">
        <v>2</v>
      </c>
      <c r="N272">
        <v>7</v>
      </c>
      <c r="O272">
        <v>5</v>
      </c>
      <c r="P272" t="str">
        <f t="shared" si="8"/>
        <v>Detractor</v>
      </c>
      <c r="Q272">
        <v>10</v>
      </c>
      <c r="R272" t="s">
        <v>1034</v>
      </c>
      <c r="S272">
        <v>10</v>
      </c>
      <c r="T272" t="s">
        <v>1034</v>
      </c>
      <c r="U272" t="str">
        <f t="shared" si="9"/>
        <v>Yes</v>
      </c>
    </row>
    <row r="273" spans="1:21" x14ac:dyDescent="0.3">
      <c r="A273" t="s">
        <v>702</v>
      </c>
      <c r="B273" t="s">
        <v>27</v>
      </c>
      <c r="C273" t="s">
        <v>474</v>
      </c>
      <c r="D273" s="1">
        <v>45960</v>
      </c>
      <c r="E273" s="1">
        <v>45965</v>
      </c>
      <c r="F273" s="1">
        <v>45967</v>
      </c>
      <c r="G273" s="1">
        <v>45969</v>
      </c>
      <c r="H273" t="s">
        <v>17</v>
      </c>
      <c r="I273">
        <v>0</v>
      </c>
      <c r="J273" t="s">
        <v>18</v>
      </c>
      <c r="K273" s="1">
        <v>45984</v>
      </c>
      <c r="L273">
        <v>5</v>
      </c>
      <c r="M273">
        <v>2</v>
      </c>
      <c r="N273">
        <v>2</v>
      </c>
      <c r="O273">
        <v>6</v>
      </c>
      <c r="P273" t="str">
        <f t="shared" si="8"/>
        <v>Detractor</v>
      </c>
      <c r="Q273">
        <v>11</v>
      </c>
      <c r="R273" t="s">
        <v>1035</v>
      </c>
      <c r="S273">
        <v>11</v>
      </c>
      <c r="T273" t="s">
        <v>1035</v>
      </c>
      <c r="U273" t="str">
        <f t="shared" si="9"/>
        <v>Yes</v>
      </c>
    </row>
    <row r="274" spans="1:21" x14ac:dyDescent="0.3">
      <c r="A274" t="s">
        <v>341</v>
      </c>
      <c r="B274" t="s">
        <v>27</v>
      </c>
      <c r="C274" t="s">
        <v>16</v>
      </c>
      <c r="D274" s="1">
        <v>45939</v>
      </c>
      <c r="E274" s="1">
        <v>45940</v>
      </c>
      <c r="F274" s="1">
        <v>45944</v>
      </c>
      <c r="G274" s="1">
        <v>45949</v>
      </c>
      <c r="H274" t="s">
        <v>17</v>
      </c>
      <c r="I274">
        <v>0</v>
      </c>
      <c r="J274" t="s">
        <v>18</v>
      </c>
      <c r="K274" s="1">
        <v>45973</v>
      </c>
      <c r="L274">
        <v>1</v>
      </c>
      <c r="M274">
        <v>4</v>
      </c>
      <c r="N274">
        <v>5</v>
      </c>
      <c r="O274">
        <v>9</v>
      </c>
      <c r="P274" t="str">
        <f t="shared" si="8"/>
        <v>Promoter</v>
      </c>
      <c r="Q274">
        <v>10</v>
      </c>
      <c r="R274" t="s">
        <v>1034</v>
      </c>
      <c r="S274">
        <v>10</v>
      </c>
      <c r="T274" t="s">
        <v>1034</v>
      </c>
      <c r="U274" t="str">
        <f t="shared" si="9"/>
        <v>Yes</v>
      </c>
    </row>
    <row r="275" spans="1:21" x14ac:dyDescent="0.3">
      <c r="A275" t="s">
        <v>537</v>
      </c>
      <c r="B275" t="s">
        <v>29</v>
      </c>
      <c r="C275" t="s">
        <v>474</v>
      </c>
      <c r="D275" s="1">
        <v>45957</v>
      </c>
      <c r="E275" s="1">
        <v>45960</v>
      </c>
      <c r="F275" s="1">
        <v>45962</v>
      </c>
      <c r="G275" s="1">
        <v>45968</v>
      </c>
      <c r="H275" t="s">
        <v>17</v>
      </c>
      <c r="I275">
        <v>0</v>
      </c>
      <c r="J275" t="s">
        <v>18</v>
      </c>
      <c r="K275" s="1">
        <v>45979</v>
      </c>
      <c r="L275">
        <v>3</v>
      </c>
      <c r="M275">
        <v>2</v>
      </c>
      <c r="N275">
        <v>6</v>
      </c>
      <c r="O275">
        <v>2</v>
      </c>
      <c r="P275" t="str">
        <f t="shared" si="8"/>
        <v>Detractor</v>
      </c>
      <c r="Q275">
        <v>10</v>
      </c>
      <c r="R275" t="s">
        <v>1034</v>
      </c>
      <c r="S275">
        <v>11</v>
      </c>
      <c r="T275" t="s">
        <v>1035</v>
      </c>
      <c r="U275" t="str">
        <f t="shared" si="9"/>
        <v>Yes</v>
      </c>
    </row>
    <row r="276" spans="1:21" x14ac:dyDescent="0.3">
      <c r="A276" t="s">
        <v>155</v>
      </c>
      <c r="B276" t="s">
        <v>15</v>
      </c>
      <c r="C276" t="s">
        <v>16</v>
      </c>
      <c r="D276" s="1">
        <v>45935</v>
      </c>
      <c r="E276" s="1">
        <v>45940</v>
      </c>
      <c r="F276" s="1">
        <v>45944</v>
      </c>
      <c r="G276" s="1">
        <v>45951</v>
      </c>
      <c r="H276" t="s">
        <v>17</v>
      </c>
      <c r="I276">
        <v>0</v>
      </c>
      <c r="J276" t="s">
        <v>18</v>
      </c>
      <c r="K276" s="1">
        <v>45969</v>
      </c>
      <c r="L276">
        <v>5</v>
      </c>
      <c r="M276">
        <v>4</v>
      </c>
      <c r="N276">
        <v>7</v>
      </c>
      <c r="O276">
        <v>3</v>
      </c>
      <c r="P276" t="str">
        <f t="shared" si="8"/>
        <v>Detractor</v>
      </c>
      <c r="Q276">
        <v>10</v>
      </c>
      <c r="R276" t="s">
        <v>1034</v>
      </c>
      <c r="S276">
        <v>10</v>
      </c>
      <c r="T276" t="s">
        <v>1034</v>
      </c>
      <c r="U276" t="str">
        <f t="shared" si="9"/>
        <v>Yes</v>
      </c>
    </row>
    <row r="277" spans="1:21" x14ac:dyDescent="0.3">
      <c r="A277" t="s">
        <v>538</v>
      </c>
      <c r="B277" t="s">
        <v>15</v>
      </c>
      <c r="C277" t="s">
        <v>474</v>
      </c>
      <c r="D277" s="1">
        <v>45933</v>
      </c>
      <c r="E277" s="1">
        <v>45934</v>
      </c>
      <c r="F277" s="1">
        <v>45939</v>
      </c>
      <c r="G277" s="1">
        <v>45943</v>
      </c>
      <c r="H277" t="s">
        <v>17</v>
      </c>
      <c r="I277">
        <v>0</v>
      </c>
      <c r="J277" t="s">
        <v>18</v>
      </c>
      <c r="K277" s="1">
        <v>45967</v>
      </c>
      <c r="L277">
        <v>1</v>
      </c>
      <c r="M277">
        <v>5</v>
      </c>
      <c r="N277">
        <v>4</v>
      </c>
      <c r="O277">
        <v>10</v>
      </c>
      <c r="P277" t="str">
        <f t="shared" si="8"/>
        <v>Promoter</v>
      </c>
      <c r="Q277">
        <v>10</v>
      </c>
      <c r="R277" t="s">
        <v>1034</v>
      </c>
      <c r="S277">
        <v>10</v>
      </c>
      <c r="T277" t="s">
        <v>1034</v>
      </c>
      <c r="U277" t="str">
        <f t="shared" si="9"/>
        <v>Yes</v>
      </c>
    </row>
    <row r="278" spans="1:21" x14ac:dyDescent="0.3">
      <c r="A278" t="s">
        <v>50</v>
      </c>
      <c r="B278" t="s">
        <v>15</v>
      </c>
      <c r="C278" t="s">
        <v>16</v>
      </c>
      <c r="D278" s="1">
        <v>45932</v>
      </c>
      <c r="E278" s="1">
        <v>45935</v>
      </c>
      <c r="F278" s="1">
        <v>45938</v>
      </c>
      <c r="G278" s="1">
        <v>45945</v>
      </c>
      <c r="H278" t="s">
        <v>17</v>
      </c>
      <c r="I278">
        <v>0</v>
      </c>
      <c r="J278" t="s">
        <v>18</v>
      </c>
      <c r="K278" s="1">
        <v>45969</v>
      </c>
      <c r="L278">
        <v>3</v>
      </c>
      <c r="M278">
        <v>3</v>
      </c>
      <c r="N278">
        <v>7</v>
      </c>
      <c r="O278">
        <v>8</v>
      </c>
      <c r="P278" t="str">
        <f t="shared" si="8"/>
        <v>Passive</v>
      </c>
      <c r="Q278">
        <v>10</v>
      </c>
      <c r="R278" t="s">
        <v>1034</v>
      </c>
      <c r="S278">
        <v>10</v>
      </c>
      <c r="T278" t="s">
        <v>1034</v>
      </c>
      <c r="U278" t="str">
        <f t="shared" si="9"/>
        <v>Yes</v>
      </c>
    </row>
    <row r="279" spans="1:21" x14ac:dyDescent="0.3">
      <c r="A279" t="s">
        <v>251</v>
      </c>
      <c r="B279" t="s">
        <v>22</v>
      </c>
      <c r="C279" t="s">
        <v>16</v>
      </c>
      <c r="D279" s="1">
        <v>45936</v>
      </c>
      <c r="E279" s="1">
        <v>45940</v>
      </c>
      <c r="F279" s="1">
        <v>45944</v>
      </c>
      <c r="G279" s="1">
        <v>45948</v>
      </c>
      <c r="H279" t="s">
        <v>17</v>
      </c>
      <c r="I279">
        <v>0</v>
      </c>
      <c r="J279" t="s">
        <v>18</v>
      </c>
      <c r="K279" s="1">
        <v>45966</v>
      </c>
      <c r="L279">
        <v>4</v>
      </c>
      <c r="M279">
        <v>4</v>
      </c>
      <c r="N279">
        <v>4</v>
      </c>
      <c r="O279">
        <v>1</v>
      </c>
      <c r="P279" t="str">
        <f t="shared" si="8"/>
        <v>Detractor</v>
      </c>
      <c r="Q279">
        <v>10</v>
      </c>
      <c r="R279" t="s">
        <v>1034</v>
      </c>
      <c r="S279">
        <v>10</v>
      </c>
      <c r="T279" t="s">
        <v>1034</v>
      </c>
      <c r="U279" t="str">
        <f t="shared" si="9"/>
        <v>Yes</v>
      </c>
    </row>
    <row r="280" spans="1:21" x14ac:dyDescent="0.3">
      <c r="A280" t="s">
        <v>903</v>
      </c>
      <c r="B280" t="s">
        <v>27</v>
      </c>
      <c r="C280" t="s">
        <v>841</v>
      </c>
      <c r="D280" s="1">
        <v>45956</v>
      </c>
      <c r="E280" s="1"/>
      <c r="F280" s="1"/>
      <c r="G280" s="1"/>
      <c r="H280" t="s">
        <v>752</v>
      </c>
      <c r="I280">
        <v>1</v>
      </c>
      <c r="J280" t="s">
        <v>758</v>
      </c>
      <c r="K280" s="1"/>
      <c r="P280" t="str">
        <f t="shared" si="8"/>
        <v>Not Applicable</v>
      </c>
      <c r="R280" t="s">
        <v>1036</v>
      </c>
      <c r="T280" t="s">
        <v>1036</v>
      </c>
      <c r="U280" t="str">
        <f t="shared" si="9"/>
        <v>No</v>
      </c>
    </row>
    <row r="281" spans="1:21" x14ac:dyDescent="0.3">
      <c r="A281" t="s">
        <v>779</v>
      </c>
      <c r="B281" t="s">
        <v>27</v>
      </c>
      <c r="C281" t="s">
        <v>474</v>
      </c>
      <c r="D281" s="1">
        <v>45940</v>
      </c>
      <c r="E281" s="1">
        <v>45944</v>
      </c>
      <c r="F281" s="1">
        <v>45949</v>
      </c>
      <c r="G281" s="1">
        <v>45954</v>
      </c>
      <c r="H281" t="s">
        <v>752</v>
      </c>
      <c r="I281">
        <v>1</v>
      </c>
      <c r="J281" t="s">
        <v>758</v>
      </c>
      <c r="K281" s="1"/>
      <c r="L281">
        <v>4</v>
      </c>
      <c r="M281">
        <v>5</v>
      </c>
      <c r="N281">
        <v>5</v>
      </c>
      <c r="P281" t="str">
        <f t="shared" si="8"/>
        <v>Not Applicable</v>
      </c>
      <c r="Q281">
        <v>10</v>
      </c>
      <c r="R281" t="s">
        <v>1034</v>
      </c>
      <c r="S281">
        <v>10</v>
      </c>
      <c r="T281" t="s">
        <v>1034</v>
      </c>
      <c r="U281" t="str">
        <f t="shared" si="9"/>
        <v>No</v>
      </c>
    </row>
    <row r="282" spans="1:21" x14ac:dyDescent="0.3">
      <c r="A282" t="s">
        <v>342</v>
      </c>
      <c r="B282" t="s">
        <v>27</v>
      </c>
      <c r="C282" t="s">
        <v>16</v>
      </c>
      <c r="D282" s="1">
        <v>45950</v>
      </c>
      <c r="E282" s="1">
        <v>45951</v>
      </c>
      <c r="F282" s="1">
        <v>45955</v>
      </c>
      <c r="G282" s="1">
        <v>45960</v>
      </c>
      <c r="H282" t="s">
        <v>17</v>
      </c>
      <c r="I282">
        <v>0</v>
      </c>
      <c r="J282" t="s">
        <v>18</v>
      </c>
      <c r="K282" s="1">
        <v>45977</v>
      </c>
      <c r="L282">
        <v>1</v>
      </c>
      <c r="M282">
        <v>4</v>
      </c>
      <c r="N282">
        <v>5</v>
      </c>
      <c r="O282">
        <v>8</v>
      </c>
      <c r="P282" t="str">
        <f t="shared" si="8"/>
        <v>Passive</v>
      </c>
      <c r="Q282">
        <v>10</v>
      </c>
      <c r="R282" t="s">
        <v>1034</v>
      </c>
      <c r="S282">
        <v>10</v>
      </c>
      <c r="T282" t="s">
        <v>1034</v>
      </c>
      <c r="U282" t="str">
        <f t="shared" si="9"/>
        <v>Yes</v>
      </c>
    </row>
    <row r="283" spans="1:21" x14ac:dyDescent="0.3">
      <c r="A283" t="s">
        <v>904</v>
      </c>
      <c r="B283" t="s">
        <v>22</v>
      </c>
      <c r="C283" t="s">
        <v>841</v>
      </c>
      <c r="D283" s="1">
        <v>45954</v>
      </c>
      <c r="E283" s="1"/>
      <c r="F283" s="1"/>
      <c r="G283" s="1"/>
      <c r="H283" t="s">
        <v>752</v>
      </c>
      <c r="I283">
        <v>1</v>
      </c>
      <c r="J283" t="s">
        <v>753</v>
      </c>
      <c r="K283" s="1"/>
      <c r="P283" t="str">
        <f t="shared" si="8"/>
        <v>Not Applicable</v>
      </c>
      <c r="R283" t="s">
        <v>1036</v>
      </c>
      <c r="T283" t="s">
        <v>1036</v>
      </c>
      <c r="U283" t="str">
        <f t="shared" si="9"/>
        <v>No</v>
      </c>
    </row>
    <row r="284" spans="1:21" x14ac:dyDescent="0.3">
      <c r="A284" t="s">
        <v>780</v>
      </c>
      <c r="B284" t="s">
        <v>27</v>
      </c>
      <c r="C284" t="s">
        <v>474</v>
      </c>
      <c r="D284" s="1">
        <v>45957</v>
      </c>
      <c r="E284" s="1">
        <v>45958</v>
      </c>
      <c r="F284" s="1">
        <v>45963</v>
      </c>
      <c r="G284" s="1">
        <v>45967</v>
      </c>
      <c r="H284" t="s">
        <v>752</v>
      </c>
      <c r="I284">
        <v>1</v>
      </c>
      <c r="J284" t="s">
        <v>777</v>
      </c>
      <c r="K284" s="1"/>
      <c r="L284">
        <v>1</v>
      </c>
      <c r="M284">
        <v>5</v>
      </c>
      <c r="N284">
        <v>4</v>
      </c>
      <c r="P284" t="str">
        <f t="shared" si="8"/>
        <v>Not Applicable</v>
      </c>
      <c r="Q284">
        <v>10</v>
      </c>
      <c r="R284" t="s">
        <v>1034</v>
      </c>
      <c r="S284">
        <v>11</v>
      </c>
      <c r="T284" t="s">
        <v>1035</v>
      </c>
      <c r="U284" t="str">
        <f t="shared" si="9"/>
        <v>No</v>
      </c>
    </row>
    <row r="285" spans="1:21" x14ac:dyDescent="0.3">
      <c r="A285" t="s">
        <v>905</v>
      </c>
      <c r="B285" t="s">
        <v>22</v>
      </c>
      <c r="C285" t="s">
        <v>841</v>
      </c>
      <c r="D285" s="1">
        <v>45949</v>
      </c>
      <c r="E285" s="1"/>
      <c r="F285" s="1"/>
      <c r="G285" s="1"/>
      <c r="H285" t="s">
        <v>752</v>
      </c>
      <c r="I285">
        <v>1</v>
      </c>
      <c r="J285" t="s">
        <v>753</v>
      </c>
      <c r="K285" s="1"/>
      <c r="P285" t="str">
        <f t="shared" si="8"/>
        <v>Not Applicable</v>
      </c>
      <c r="R285" t="s">
        <v>1036</v>
      </c>
      <c r="T285" t="s">
        <v>1036</v>
      </c>
      <c r="U285" t="str">
        <f t="shared" si="9"/>
        <v>No</v>
      </c>
    </row>
    <row r="286" spans="1:21" x14ac:dyDescent="0.3">
      <c r="A286" t="s">
        <v>51</v>
      </c>
      <c r="B286" t="s">
        <v>15</v>
      </c>
      <c r="C286" t="s">
        <v>16</v>
      </c>
      <c r="D286" s="1">
        <v>45960</v>
      </c>
      <c r="E286" s="1">
        <v>45963</v>
      </c>
      <c r="F286" s="1">
        <v>45965</v>
      </c>
      <c r="G286" s="1">
        <v>45971</v>
      </c>
      <c r="H286" t="s">
        <v>17</v>
      </c>
      <c r="I286">
        <v>0</v>
      </c>
      <c r="J286" t="s">
        <v>18</v>
      </c>
      <c r="K286" s="1">
        <v>45989</v>
      </c>
      <c r="L286">
        <v>3</v>
      </c>
      <c r="M286">
        <v>2</v>
      </c>
      <c r="N286">
        <v>6</v>
      </c>
      <c r="O286">
        <v>4</v>
      </c>
      <c r="P286" t="str">
        <f t="shared" si="8"/>
        <v>Detractor</v>
      </c>
      <c r="Q286">
        <v>11</v>
      </c>
      <c r="R286" t="s">
        <v>1035</v>
      </c>
      <c r="S286">
        <v>11</v>
      </c>
      <c r="T286" t="s">
        <v>1035</v>
      </c>
      <c r="U286" t="str">
        <f t="shared" si="9"/>
        <v>Yes</v>
      </c>
    </row>
    <row r="287" spans="1:21" x14ac:dyDescent="0.3">
      <c r="A287" t="s">
        <v>52</v>
      </c>
      <c r="B287" t="s">
        <v>29</v>
      </c>
      <c r="C287" t="s">
        <v>16</v>
      </c>
      <c r="D287" s="1">
        <v>45940</v>
      </c>
      <c r="E287" s="1">
        <v>45943</v>
      </c>
      <c r="F287" s="1">
        <v>45945</v>
      </c>
      <c r="G287" s="1">
        <v>45947</v>
      </c>
      <c r="H287" t="s">
        <v>17</v>
      </c>
      <c r="I287">
        <v>0</v>
      </c>
      <c r="J287" t="s">
        <v>18</v>
      </c>
      <c r="K287" s="1">
        <v>45975</v>
      </c>
      <c r="L287">
        <v>3</v>
      </c>
      <c r="M287">
        <v>2</v>
      </c>
      <c r="N287">
        <v>2</v>
      </c>
      <c r="O287">
        <v>9</v>
      </c>
      <c r="P287" t="str">
        <f t="shared" si="8"/>
        <v>Promoter</v>
      </c>
      <c r="Q287">
        <v>10</v>
      </c>
      <c r="R287" t="s">
        <v>1034</v>
      </c>
      <c r="S287">
        <v>10</v>
      </c>
      <c r="T287" t="s">
        <v>1034</v>
      </c>
      <c r="U287" t="str">
        <f t="shared" si="9"/>
        <v>Yes</v>
      </c>
    </row>
    <row r="288" spans="1:21" x14ac:dyDescent="0.3">
      <c r="A288" t="s">
        <v>906</v>
      </c>
      <c r="B288" t="s">
        <v>27</v>
      </c>
      <c r="C288" t="s">
        <v>841</v>
      </c>
      <c r="D288" s="1">
        <v>45945</v>
      </c>
      <c r="E288" s="1"/>
      <c r="F288" s="1"/>
      <c r="G288" s="1"/>
      <c r="H288" t="s">
        <v>752</v>
      </c>
      <c r="I288">
        <v>1</v>
      </c>
      <c r="J288" t="s">
        <v>777</v>
      </c>
      <c r="K288" s="1"/>
      <c r="P288" t="str">
        <f t="shared" si="8"/>
        <v>Not Applicable</v>
      </c>
      <c r="R288" t="s">
        <v>1036</v>
      </c>
      <c r="T288" t="s">
        <v>1036</v>
      </c>
      <c r="U288" t="str">
        <f t="shared" si="9"/>
        <v>No</v>
      </c>
    </row>
    <row r="289" spans="1:21" x14ac:dyDescent="0.3">
      <c r="A289" t="s">
        <v>539</v>
      </c>
      <c r="B289" t="s">
        <v>27</v>
      </c>
      <c r="C289" t="s">
        <v>474</v>
      </c>
      <c r="D289" s="1">
        <v>45934</v>
      </c>
      <c r="E289" s="1">
        <v>45935</v>
      </c>
      <c r="F289" s="1">
        <v>45940</v>
      </c>
      <c r="G289" s="1">
        <v>45947</v>
      </c>
      <c r="H289" t="s">
        <v>17</v>
      </c>
      <c r="I289">
        <v>0</v>
      </c>
      <c r="J289" t="s">
        <v>18</v>
      </c>
      <c r="K289" s="1">
        <v>45958</v>
      </c>
      <c r="L289">
        <v>1</v>
      </c>
      <c r="M289">
        <v>5</v>
      </c>
      <c r="N289">
        <v>7</v>
      </c>
      <c r="O289">
        <v>2</v>
      </c>
      <c r="P289" t="str">
        <f t="shared" si="8"/>
        <v>Detractor</v>
      </c>
      <c r="Q289">
        <v>10</v>
      </c>
      <c r="R289" t="s">
        <v>1034</v>
      </c>
      <c r="S289">
        <v>10</v>
      </c>
      <c r="T289" t="s">
        <v>1034</v>
      </c>
      <c r="U289" t="str">
        <f t="shared" si="9"/>
        <v>Yes</v>
      </c>
    </row>
    <row r="290" spans="1:21" x14ac:dyDescent="0.3">
      <c r="A290" t="s">
        <v>781</v>
      </c>
      <c r="B290" t="s">
        <v>15</v>
      </c>
      <c r="C290" t="s">
        <v>16</v>
      </c>
      <c r="D290" s="1">
        <v>45945</v>
      </c>
      <c r="E290" s="1">
        <v>45946</v>
      </c>
      <c r="F290" s="1">
        <v>45947</v>
      </c>
      <c r="G290" s="1">
        <v>45949</v>
      </c>
      <c r="H290" t="s">
        <v>752</v>
      </c>
      <c r="I290">
        <v>1</v>
      </c>
      <c r="J290" t="s">
        <v>753</v>
      </c>
      <c r="K290" s="1"/>
      <c r="L290">
        <v>1</v>
      </c>
      <c r="M290">
        <v>1</v>
      </c>
      <c r="N290">
        <v>2</v>
      </c>
      <c r="P290" t="str">
        <f t="shared" si="8"/>
        <v>Not Applicable</v>
      </c>
      <c r="Q290">
        <v>10</v>
      </c>
      <c r="R290" t="s">
        <v>1034</v>
      </c>
      <c r="S290">
        <v>10</v>
      </c>
      <c r="T290" t="s">
        <v>1034</v>
      </c>
      <c r="U290" t="str">
        <f t="shared" si="9"/>
        <v>No</v>
      </c>
    </row>
    <row r="291" spans="1:21" x14ac:dyDescent="0.3">
      <c r="A291" t="s">
        <v>907</v>
      </c>
      <c r="B291" t="s">
        <v>29</v>
      </c>
      <c r="C291" t="s">
        <v>841</v>
      </c>
      <c r="D291" s="1">
        <v>45953</v>
      </c>
      <c r="E291" s="1"/>
      <c r="F291" s="1"/>
      <c r="G291" s="1"/>
      <c r="H291" t="s">
        <v>752</v>
      </c>
      <c r="I291">
        <v>1</v>
      </c>
      <c r="J291" t="s">
        <v>758</v>
      </c>
      <c r="K291" s="1"/>
      <c r="P291" t="str">
        <f t="shared" si="8"/>
        <v>Not Applicable</v>
      </c>
      <c r="R291" t="s">
        <v>1036</v>
      </c>
      <c r="T291" t="s">
        <v>1036</v>
      </c>
      <c r="U291" t="str">
        <f t="shared" si="9"/>
        <v>No</v>
      </c>
    </row>
    <row r="292" spans="1:21" x14ac:dyDescent="0.3">
      <c r="A292" t="s">
        <v>703</v>
      </c>
      <c r="B292" t="s">
        <v>22</v>
      </c>
      <c r="C292" t="s">
        <v>474</v>
      </c>
      <c r="D292" s="1">
        <v>45940</v>
      </c>
      <c r="E292" s="1">
        <v>45945</v>
      </c>
      <c r="F292" s="1">
        <v>45950</v>
      </c>
      <c r="G292" s="1">
        <v>45957</v>
      </c>
      <c r="H292" t="s">
        <v>17</v>
      </c>
      <c r="I292">
        <v>0</v>
      </c>
      <c r="J292" t="s">
        <v>18</v>
      </c>
      <c r="K292" s="1">
        <v>45971</v>
      </c>
      <c r="L292">
        <v>5</v>
      </c>
      <c r="M292">
        <v>5</v>
      </c>
      <c r="N292">
        <v>7</v>
      </c>
      <c r="O292">
        <v>4</v>
      </c>
      <c r="P292" t="str">
        <f t="shared" si="8"/>
        <v>Detractor</v>
      </c>
      <c r="Q292">
        <v>10</v>
      </c>
      <c r="R292" t="s">
        <v>1034</v>
      </c>
      <c r="S292">
        <v>10</v>
      </c>
      <c r="T292" t="s">
        <v>1034</v>
      </c>
      <c r="U292" t="str">
        <f t="shared" si="9"/>
        <v>Yes</v>
      </c>
    </row>
    <row r="293" spans="1:21" x14ac:dyDescent="0.3">
      <c r="A293" t="s">
        <v>156</v>
      </c>
      <c r="B293" t="s">
        <v>29</v>
      </c>
      <c r="C293" t="s">
        <v>16</v>
      </c>
      <c r="D293" s="1">
        <v>45953</v>
      </c>
      <c r="E293" s="1">
        <v>45958</v>
      </c>
      <c r="F293" s="1">
        <v>45962</v>
      </c>
      <c r="G293" s="1">
        <v>45967</v>
      </c>
      <c r="H293" t="s">
        <v>17</v>
      </c>
      <c r="I293">
        <v>0</v>
      </c>
      <c r="J293" t="s">
        <v>18</v>
      </c>
      <c r="K293" s="1">
        <v>45980</v>
      </c>
      <c r="L293">
        <v>5</v>
      </c>
      <c r="M293">
        <v>4</v>
      </c>
      <c r="N293">
        <v>5</v>
      </c>
      <c r="O293">
        <v>1</v>
      </c>
      <c r="P293" t="str">
        <f t="shared" si="8"/>
        <v>Detractor</v>
      </c>
      <c r="Q293">
        <v>10</v>
      </c>
      <c r="R293" t="s">
        <v>1034</v>
      </c>
      <c r="S293">
        <v>11</v>
      </c>
      <c r="T293" t="s">
        <v>1035</v>
      </c>
      <c r="U293" t="str">
        <f t="shared" si="9"/>
        <v>Yes</v>
      </c>
    </row>
    <row r="294" spans="1:21" x14ac:dyDescent="0.3">
      <c r="A294" t="s">
        <v>908</v>
      </c>
      <c r="B294" t="s">
        <v>15</v>
      </c>
      <c r="C294" t="s">
        <v>841</v>
      </c>
      <c r="D294" s="1">
        <v>45943</v>
      </c>
      <c r="E294" s="1"/>
      <c r="F294" s="1"/>
      <c r="G294" s="1"/>
      <c r="H294" t="s">
        <v>752</v>
      </c>
      <c r="I294">
        <v>1</v>
      </c>
      <c r="J294" t="s">
        <v>758</v>
      </c>
      <c r="K294" s="1"/>
      <c r="P294" t="str">
        <f t="shared" si="8"/>
        <v>Not Applicable</v>
      </c>
      <c r="R294" t="s">
        <v>1036</v>
      </c>
      <c r="T294" t="s">
        <v>1036</v>
      </c>
      <c r="U294" t="str">
        <f t="shared" si="9"/>
        <v>No</v>
      </c>
    </row>
    <row r="295" spans="1:21" x14ac:dyDescent="0.3">
      <c r="A295" t="s">
        <v>704</v>
      </c>
      <c r="B295" t="s">
        <v>15</v>
      </c>
      <c r="C295" t="s">
        <v>474</v>
      </c>
      <c r="D295" s="1">
        <v>45961</v>
      </c>
      <c r="E295" s="1">
        <v>45966</v>
      </c>
      <c r="F295" s="1">
        <v>45971</v>
      </c>
      <c r="G295" s="1">
        <v>45978</v>
      </c>
      <c r="H295" t="s">
        <v>17</v>
      </c>
      <c r="I295">
        <v>0</v>
      </c>
      <c r="J295" t="s">
        <v>18</v>
      </c>
      <c r="K295" s="1">
        <v>45990</v>
      </c>
      <c r="L295">
        <v>5</v>
      </c>
      <c r="M295">
        <v>5</v>
      </c>
      <c r="N295">
        <v>7</v>
      </c>
      <c r="O295">
        <v>6</v>
      </c>
      <c r="P295" t="str">
        <f t="shared" si="8"/>
        <v>Detractor</v>
      </c>
      <c r="Q295">
        <v>11</v>
      </c>
      <c r="R295" t="s">
        <v>1035</v>
      </c>
      <c r="S295">
        <v>11</v>
      </c>
      <c r="T295" t="s">
        <v>1035</v>
      </c>
      <c r="U295" t="str">
        <f t="shared" si="9"/>
        <v>Yes</v>
      </c>
    </row>
    <row r="296" spans="1:21" x14ac:dyDescent="0.3">
      <c r="A296" t="s">
        <v>909</v>
      </c>
      <c r="B296" t="s">
        <v>29</v>
      </c>
      <c r="C296" t="s">
        <v>841</v>
      </c>
      <c r="D296" s="1">
        <v>45939</v>
      </c>
      <c r="E296" s="1"/>
      <c r="F296" s="1"/>
      <c r="G296" s="1"/>
      <c r="H296" t="s">
        <v>752</v>
      </c>
      <c r="I296">
        <v>1</v>
      </c>
      <c r="J296" t="s">
        <v>765</v>
      </c>
      <c r="K296" s="1"/>
      <c r="P296" t="str">
        <f t="shared" si="8"/>
        <v>Not Applicable</v>
      </c>
      <c r="R296" t="s">
        <v>1036</v>
      </c>
      <c r="T296" t="s">
        <v>1036</v>
      </c>
      <c r="U296" t="str">
        <f t="shared" si="9"/>
        <v>No</v>
      </c>
    </row>
    <row r="297" spans="1:21" x14ac:dyDescent="0.3">
      <c r="A297" t="s">
        <v>782</v>
      </c>
      <c r="B297" t="s">
        <v>22</v>
      </c>
      <c r="C297" t="s">
        <v>16</v>
      </c>
      <c r="D297" s="1">
        <v>45947</v>
      </c>
      <c r="E297" s="1">
        <v>45951</v>
      </c>
      <c r="F297" s="1">
        <v>45954</v>
      </c>
      <c r="G297" s="1">
        <v>45961</v>
      </c>
      <c r="H297" t="s">
        <v>752</v>
      </c>
      <c r="I297">
        <v>1</v>
      </c>
      <c r="J297" t="s">
        <v>756</v>
      </c>
      <c r="K297" s="1"/>
      <c r="L297">
        <v>4</v>
      </c>
      <c r="M297">
        <v>3</v>
      </c>
      <c r="N297">
        <v>7</v>
      </c>
      <c r="P297" t="str">
        <f t="shared" si="8"/>
        <v>Not Applicable</v>
      </c>
      <c r="Q297">
        <v>10</v>
      </c>
      <c r="R297" t="s">
        <v>1034</v>
      </c>
      <c r="S297">
        <v>10</v>
      </c>
      <c r="T297" t="s">
        <v>1034</v>
      </c>
      <c r="U297" t="str">
        <f t="shared" si="9"/>
        <v>No</v>
      </c>
    </row>
    <row r="298" spans="1:21" x14ac:dyDescent="0.3">
      <c r="A298" t="s">
        <v>252</v>
      </c>
      <c r="B298" t="s">
        <v>22</v>
      </c>
      <c r="C298" t="s">
        <v>16</v>
      </c>
      <c r="D298" s="1">
        <v>45948</v>
      </c>
      <c r="E298" s="1">
        <v>45952</v>
      </c>
      <c r="F298" s="1">
        <v>45953</v>
      </c>
      <c r="G298" s="1">
        <v>45960</v>
      </c>
      <c r="H298" t="s">
        <v>17</v>
      </c>
      <c r="I298">
        <v>0</v>
      </c>
      <c r="J298" t="s">
        <v>18</v>
      </c>
      <c r="K298" s="1">
        <v>45981</v>
      </c>
      <c r="L298">
        <v>4</v>
      </c>
      <c r="M298">
        <v>1</v>
      </c>
      <c r="N298">
        <v>7</v>
      </c>
      <c r="O298">
        <v>6</v>
      </c>
      <c r="P298" t="str">
        <f t="shared" si="8"/>
        <v>Detractor</v>
      </c>
      <c r="Q298">
        <v>10</v>
      </c>
      <c r="R298" t="s">
        <v>1034</v>
      </c>
      <c r="S298">
        <v>10</v>
      </c>
      <c r="T298" t="s">
        <v>1034</v>
      </c>
      <c r="U298" t="str">
        <f t="shared" si="9"/>
        <v>Yes</v>
      </c>
    </row>
    <row r="299" spans="1:21" x14ac:dyDescent="0.3">
      <c r="A299" t="s">
        <v>157</v>
      </c>
      <c r="B299" t="s">
        <v>27</v>
      </c>
      <c r="C299" t="s">
        <v>16</v>
      </c>
      <c r="D299" s="1">
        <v>45946</v>
      </c>
      <c r="E299" s="1">
        <v>45951</v>
      </c>
      <c r="F299" s="1">
        <v>45956</v>
      </c>
      <c r="G299" s="1">
        <v>45960</v>
      </c>
      <c r="H299" t="s">
        <v>17</v>
      </c>
      <c r="I299">
        <v>0</v>
      </c>
      <c r="J299" t="s">
        <v>18</v>
      </c>
      <c r="K299" s="1">
        <v>45987</v>
      </c>
      <c r="L299">
        <v>5</v>
      </c>
      <c r="M299">
        <v>5</v>
      </c>
      <c r="N299">
        <v>4</v>
      </c>
      <c r="O299">
        <v>10</v>
      </c>
      <c r="P299" t="str">
        <f t="shared" si="8"/>
        <v>Promoter</v>
      </c>
      <c r="Q299">
        <v>10</v>
      </c>
      <c r="R299" t="s">
        <v>1034</v>
      </c>
      <c r="S299">
        <v>10</v>
      </c>
      <c r="T299" t="s">
        <v>1034</v>
      </c>
      <c r="U299" t="str">
        <f t="shared" si="9"/>
        <v>Yes</v>
      </c>
    </row>
    <row r="300" spans="1:21" x14ac:dyDescent="0.3">
      <c r="A300" t="s">
        <v>705</v>
      </c>
      <c r="B300" t="s">
        <v>22</v>
      </c>
      <c r="C300" t="s">
        <v>474</v>
      </c>
      <c r="D300" s="1">
        <v>45945</v>
      </c>
      <c r="E300" s="1">
        <v>45950</v>
      </c>
      <c r="F300" s="1">
        <v>45951</v>
      </c>
      <c r="G300" s="1">
        <v>45953</v>
      </c>
      <c r="H300" t="s">
        <v>17</v>
      </c>
      <c r="I300">
        <v>0</v>
      </c>
      <c r="J300" t="s">
        <v>18</v>
      </c>
      <c r="K300" s="1">
        <v>45976</v>
      </c>
      <c r="L300">
        <v>5</v>
      </c>
      <c r="M300">
        <v>1</v>
      </c>
      <c r="N300">
        <v>2</v>
      </c>
      <c r="O300">
        <v>10</v>
      </c>
      <c r="P300" t="str">
        <f t="shared" si="8"/>
        <v>Promoter</v>
      </c>
      <c r="Q300">
        <v>10</v>
      </c>
      <c r="R300" t="s">
        <v>1034</v>
      </c>
      <c r="S300">
        <v>10</v>
      </c>
      <c r="T300" t="s">
        <v>1034</v>
      </c>
      <c r="U300" t="str">
        <f t="shared" si="9"/>
        <v>Yes</v>
      </c>
    </row>
    <row r="301" spans="1:21" x14ac:dyDescent="0.3">
      <c r="A301" t="s">
        <v>910</v>
      </c>
      <c r="B301" t="s">
        <v>29</v>
      </c>
      <c r="C301" t="s">
        <v>841</v>
      </c>
      <c r="D301" s="1">
        <v>45933</v>
      </c>
      <c r="E301" s="1"/>
      <c r="F301" s="1"/>
      <c r="G301" s="1"/>
      <c r="H301" t="s">
        <v>752</v>
      </c>
      <c r="I301">
        <v>1</v>
      </c>
      <c r="J301" t="s">
        <v>753</v>
      </c>
      <c r="K301" s="1"/>
      <c r="P301" t="str">
        <f t="shared" si="8"/>
        <v>Not Applicable</v>
      </c>
      <c r="R301" t="s">
        <v>1036</v>
      </c>
      <c r="T301" t="s">
        <v>1036</v>
      </c>
      <c r="U301" t="str">
        <f t="shared" si="9"/>
        <v>No</v>
      </c>
    </row>
    <row r="302" spans="1:21" x14ac:dyDescent="0.3">
      <c r="A302" t="s">
        <v>911</v>
      </c>
      <c r="B302" t="s">
        <v>15</v>
      </c>
      <c r="C302" t="s">
        <v>841</v>
      </c>
      <c r="D302" s="1">
        <v>45950</v>
      </c>
      <c r="E302" s="1"/>
      <c r="F302" s="1"/>
      <c r="G302" s="1"/>
      <c r="H302" t="s">
        <v>752</v>
      </c>
      <c r="I302">
        <v>1</v>
      </c>
      <c r="J302" t="s">
        <v>765</v>
      </c>
      <c r="K302" s="1"/>
      <c r="P302" t="str">
        <f t="shared" si="8"/>
        <v>Not Applicable</v>
      </c>
      <c r="R302" t="s">
        <v>1036</v>
      </c>
      <c r="T302" t="s">
        <v>1036</v>
      </c>
      <c r="U302" t="str">
        <f t="shared" si="9"/>
        <v>No</v>
      </c>
    </row>
    <row r="303" spans="1:21" x14ac:dyDescent="0.3">
      <c r="A303" t="s">
        <v>343</v>
      </c>
      <c r="B303" t="s">
        <v>27</v>
      </c>
      <c r="C303" t="s">
        <v>16</v>
      </c>
      <c r="D303" s="1">
        <v>45932</v>
      </c>
      <c r="E303" s="1">
        <v>45933</v>
      </c>
      <c r="F303" s="1">
        <v>45934</v>
      </c>
      <c r="G303" s="1">
        <v>45940</v>
      </c>
      <c r="H303" t="s">
        <v>17</v>
      </c>
      <c r="I303">
        <v>0</v>
      </c>
      <c r="J303" t="s">
        <v>18</v>
      </c>
      <c r="K303" s="1">
        <v>45968</v>
      </c>
      <c r="L303">
        <v>1</v>
      </c>
      <c r="M303">
        <v>1</v>
      </c>
      <c r="N303">
        <v>6</v>
      </c>
      <c r="O303">
        <v>8</v>
      </c>
      <c r="P303" t="str">
        <f t="shared" si="8"/>
        <v>Passive</v>
      </c>
      <c r="Q303">
        <v>10</v>
      </c>
      <c r="R303" t="s">
        <v>1034</v>
      </c>
      <c r="S303">
        <v>10</v>
      </c>
      <c r="T303" t="s">
        <v>1034</v>
      </c>
      <c r="U303" t="str">
        <f t="shared" si="9"/>
        <v>Yes</v>
      </c>
    </row>
    <row r="304" spans="1:21" x14ac:dyDescent="0.3">
      <c r="A304" t="s">
        <v>253</v>
      </c>
      <c r="B304" t="s">
        <v>27</v>
      </c>
      <c r="C304" t="s">
        <v>16</v>
      </c>
      <c r="D304" s="1">
        <v>45959</v>
      </c>
      <c r="E304" s="1">
        <v>45963</v>
      </c>
      <c r="F304" s="1">
        <v>45968</v>
      </c>
      <c r="G304" s="1">
        <v>45973</v>
      </c>
      <c r="H304" t="s">
        <v>17</v>
      </c>
      <c r="I304">
        <v>0</v>
      </c>
      <c r="J304" t="s">
        <v>18</v>
      </c>
      <c r="K304" s="1">
        <v>45990</v>
      </c>
      <c r="L304">
        <v>4</v>
      </c>
      <c r="M304">
        <v>5</v>
      </c>
      <c r="N304">
        <v>5</v>
      </c>
      <c r="O304">
        <v>5</v>
      </c>
      <c r="P304" t="str">
        <f t="shared" si="8"/>
        <v>Detractor</v>
      </c>
      <c r="Q304">
        <v>11</v>
      </c>
      <c r="R304" t="s">
        <v>1035</v>
      </c>
      <c r="S304">
        <v>11</v>
      </c>
      <c r="T304" t="s">
        <v>1035</v>
      </c>
      <c r="U304" t="str">
        <f t="shared" si="9"/>
        <v>Yes</v>
      </c>
    </row>
    <row r="305" spans="1:21" x14ac:dyDescent="0.3">
      <c r="A305" t="s">
        <v>158</v>
      </c>
      <c r="B305" t="s">
        <v>15</v>
      </c>
      <c r="C305" t="s">
        <v>16</v>
      </c>
      <c r="D305" s="1">
        <v>45944</v>
      </c>
      <c r="E305" s="1">
        <v>45949</v>
      </c>
      <c r="F305" s="1">
        <v>45954</v>
      </c>
      <c r="G305" s="1">
        <v>45957</v>
      </c>
      <c r="H305" t="s">
        <v>17</v>
      </c>
      <c r="I305">
        <v>0</v>
      </c>
      <c r="J305" t="s">
        <v>18</v>
      </c>
      <c r="K305" s="1">
        <v>45984</v>
      </c>
      <c r="L305">
        <v>5</v>
      </c>
      <c r="M305">
        <v>5</v>
      </c>
      <c r="N305">
        <v>3</v>
      </c>
      <c r="O305">
        <v>6</v>
      </c>
      <c r="P305" t="str">
        <f t="shared" si="8"/>
        <v>Detractor</v>
      </c>
      <c r="Q305">
        <v>10</v>
      </c>
      <c r="R305" t="s">
        <v>1034</v>
      </c>
      <c r="S305">
        <v>10</v>
      </c>
      <c r="T305" t="s">
        <v>1034</v>
      </c>
      <c r="U305" t="str">
        <f t="shared" si="9"/>
        <v>Yes</v>
      </c>
    </row>
    <row r="306" spans="1:21" x14ac:dyDescent="0.3">
      <c r="A306" t="s">
        <v>409</v>
      </c>
      <c r="B306" t="s">
        <v>22</v>
      </c>
      <c r="C306" t="s">
        <v>16</v>
      </c>
      <c r="D306" s="1">
        <v>45954</v>
      </c>
      <c r="E306" s="1">
        <v>45956</v>
      </c>
      <c r="F306" s="1">
        <v>45958</v>
      </c>
      <c r="G306" s="1">
        <v>45963</v>
      </c>
      <c r="H306" t="s">
        <v>17</v>
      </c>
      <c r="I306">
        <v>0</v>
      </c>
      <c r="J306" t="s">
        <v>18</v>
      </c>
      <c r="K306" s="1">
        <v>45974</v>
      </c>
      <c r="L306">
        <v>2</v>
      </c>
      <c r="M306">
        <v>2</v>
      </c>
      <c r="N306">
        <v>5</v>
      </c>
      <c r="O306">
        <v>1</v>
      </c>
      <c r="P306" t="str">
        <f t="shared" si="8"/>
        <v>Detractor</v>
      </c>
      <c r="Q306">
        <v>10</v>
      </c>
      <c r="R306" t="s">
        <v>1034</v>
      </c>
      <c r="S306">
        <v>11</v>
      </c>
      <c r="T306" t="s">
        <v>1035</v>
      </c>
      <c r="U306" t="str">
        <f t="shared" si="9"/>
        <v>Yes</v>
      </c>
    </row>
    <row r="307" spans="1:21" x14ac:dyDescent="0.3">
      <c r="A307" t="s">
        <v>53</v>
      </c>
      <c r="B307" t="s">
        <v>15</v>
      </c>
      <c r="C307" t="s">
        <v>16</v>
      </c>
      <c r="D307" s="1">
        <v>45941</v>
      </c>
      <c r="E307" s="1">
        <v>45944</v>
      </c>
      <c r="F307" s="1">
        <v>45949</v>
      </c>
      <c r="G307" s="1">
        <v>45952</v>
      </c>
      <c r="H307" t="s">
        <v>17</v>
      </c>
      <c r="I307">
        <v>0</v>
      </c>
      <c r="J307" t="s">
        <v>18</v>
      </c>
      <c r="K307" s="1">
        <v>45974</v>
      </c>
      <c r="L307">
        <v>3</v>
      </c>
      <c r="M307">
        <v>5</v>
      </c>
      <c r="N307">
        <v>3</v>
      </c>
      <c r="O307">
        <v>1</v>
      </c>
      <c r="P307" t="str">
        <f t="shared" si="8"/>
        <v>Detractor</v>
      </c>
      <c r="Q307">
        <v>10</v>
      </c>
      <c r="R307" t="s">
        <v>1034</v>
      </c>
      <c r="S307">
        <v>10</v>
      </c>
      <c r="T307" t="s">
        <v>1034</v>
      </c>
      <c r="U307" t="str">
        <f t="shared" si="9"/>
        <v>Yes</v>
      </c>
    </row>
    <row r="308" spans="1:21" x14ac:dyDescent="0.3">
      <c r="A308" t="s">
        <v>159</v>
      </c>
      <c r="B308" t="s">
        <v>22</v>
      </c>
      <c r="C308" t="s">
        <v>16</v>
      </c>
      <c r="D308" s="1">
        <v>45950</v>
      </c>
      <c r="E308" s="1">
        <v>45955</v>
      </c>
      <c r="F308" s="1">
        <v>45960</v>
      </c>
      <c r="G308" s="1">
        <v>45965</v>
      </c>
      <c r="H308" t="s">
        <v>17</v>
      </c>
      <c r="I308">
        <v>0</v>
      </c>
      <c r="J308" t="s">
        <v>18</v>
      </c>
      <c r="K308" s="1">
        <v>45991</v>
      </c>
      <c r="L308">
        <v>5</v>
      </c>
      <c r="M308">
        <v>5</v>
      </c>
      <c r="N308">
        <v>5</v>
      </c>
      <c r="O308">
        <v>8</v>
      </c>
      <c r="P308" t="str">
        <f t="shared" si="8"/>
        <v>Passive</v>
      </c>
      <c r="Q308">
        <v>10</v>
      </c>
      <c r="R308" t="s">
        <v>1034</v>
      </c>
      <c r="S308">
        <v>11</v>
      </c>
      <c r="T308" t="s">
        <v>1035</v>
      </c>
      <c r="U308" t="str">
        <f t="shared" si="9"/>
        <v>Yes</v>
      </c>
    </row>
    <row r="309" spans="1:21" x14ac:dyDescent="0.3">
      <c r="A309" t="s">
        <v>254</v>
      </c>
      <c r="B309" t="s">
        <v>15</v>
      </c>
      <c r="C309" t="s">
        <v>16</v>
      </c>
      <c r="D309" s="1">
        <v>45939</v>
      </c>
      <c r="E309" s="1">
        <v>45943</v>
      </c>
      <c r="F309" s="1">
        <v>45945</v>
      </c>
      <c r="G309" s="1">
        <v>45949</v>
      </c>
      <c r="H309" t="s">
        <v>17</v>
      </c>
      <c r="I309">
        <v>0</v>
      </c>
      <c r="J309" t="s">
        <v>18</v>
      </c>
      <c r="K309" s="1">
        <v>45972</v>
      </c>
      <c r="L309">
        <v>4</v>
      </c>
      <c r="M309">
        <v>2</v>
      </c>
      <c r="N309">
        <v>4</v>
      </c>
      <c r="O309">
        <v>9</v>
      </c>
      <c r="P309" t="str">
        <f t="shared" si="8"/>
        <v>Promoter</v>
      </c>
      <c r="Q309">
        <v>10</v>
      </c>
      <c r="R309" t="s">
        <v>1034</v>
      </c>
      <c r="S309">
        <v>10</v>
      </c>
      <c r="T309" t="s">
        <v>1034</v>
      </c>
      <c r="U309" t="str">
        <f t="shared" si="9"/>
        <v>Yes</v>
      </c>
    </row>
    <row r="310" spans="1:21" x14ac:dyDescent="0.3">
      <c r="A310" t="s">
        <v>160</v>
      </c>
      <c r="B310" t="s">
        <v>29</v>
      </c>
      <c r="C310" t="s">
        <v>16</v>
      </c>
      <c r="D310" s="1">
        <v>45931</v>
      </c>
      <c r="E310" s="1">
        <v>45936</v>
      </c>
      <c r="F310" s="1">
        <v>45938</v>
      </c>
      <c r="G310" s="1">
        <v>45942</v>
      </c>
      <c r="H310" t="s">
        <v>17</v>
      </c>
      <c r="I310">
        <v>0</v>
      </c>
      <c r="J310" t="s">
        <v>18</v>
      </c>
      <c r="K310" s="1">
        <v>45969</v>
      </c>
      <c r="L310">
        <v>5</v>
      </c>
      <c r="M310">
        <v>2</v>
      </c>
      <c r="N310">
        <v>4</v>
      </c>
      <c r="O310">
        <v>6</v>
      </c>
      <c r="P310" t="str">
        <f t="shared" si="8"/>
        <v>Detractor</v>
      </c>
      <c r="Q310">
        <v>10</v>
      </c>
      <c r="R310" t="s">
        <v>1034</v>
      </c>
      <c r="S310">
        <v>10</v>
      </c>
      <c r="T310" t="s">
        <v>1034</v>
      </c>
      <c r="U310" t="str">
        <f t="shared" si="9"/>
        <v>Yes</v>
      </c>
    </row>
    <row r="311" spans="1:21" x14ac:dyDescent="0.3">
      <c r="A311" t="s">
        <v>410</v>
      </c>
      <c r="B311" t="s">
        <v>22</v>
      </c>
      <c r="C311" t="s">
        <v>16</v>
      </c>
      <c r="D311" s="1">
        <v>45933</v>
      </c>
      <c r="E311" s="1">
        <v>45935</v>
      </c>
      <c r="F311" s="1">
        <v>45938</v>
      </c>
      <c r="G311" s="1">
        <v>45942</v>
      </c>
      <c r="H311" t="s">
        <v>17</v>
      </c>
      <c r="I311">
        <v>0</v>
      </c>
      <c r="J311" t="s">
        <v>18</v>
      </c>
      <c r="K311" s="1">
        <v>45967</v>
      </c>
      <c r="L311">
        <v>2</v>
      </c>
      <c r="M311">
        <v>3</v>
      </c>
      <c r="N311">
        <v>4</v>
      </c>
      <c r="O311">
        <v>5</v>
      </c>
      <c r="P311" t="str">
        <f t="shared" si="8"/>
        <v>Detractor</v>
      </c>
      <c r="Q311">
        <v>10</v>
      </c>
      <c r="R311" t="s">
        <v>1034</v>
      </c>
      <c r="S311">
        <v>10</v>
      </c>
      <c r="T311" t="s">
        <v>1034</v>
      </c>
      <c r="U311" t="str">
        <f t="shared" si="9"/>
        <v>Yes</v>
      </c>
    </row>
    <row r="312" spans="1:21" x14ac:dyDescent="0.3">
      <c r="A312" t="s">
        <v>540</v>
      </c>
      <c r="B312" t="s">
        <v>29</v>
      </c>
      <c r="C312" t="s">
        <v>474</v>
      </c>
      <c r="D312" s="1">
        <v>45938</v>
      </c>
      <c r="E312" s="1">
        <v>45939</v>
      </c>
      <c r="F312" s="1">
        <v>45944</v>
      </c>
      <c r="G312" s="1">
        <v>45948</v>
      </c>
      <c r="H312" t="s">
        <v>17</v>
      </c>
      <c r="I312">
        <v>0</v>
      </c>
      <c r="J312" t="s">
        <v>18</v>
      </c>
      <c r="K312" s="1">
        <v>45976</v>
      </c>
      <c r="L312">
        <v>1</v>
      </c>
      <c r="M312">
        <v>5</v>
      </c>
      <c r="N312">
        <v>4</v>
      </c>
      <c r="O312">
        <v>3</v>
      </c>
      <c r="P312" t="str">
        <f t="shared" si="8"/>
        <v>Detractor</v>
      </c>
      <c r="Q312">
        <v>10</v>
      </c>
      <c r="R312" t="s">
        <v>1034</v>
      </c>
      <c r="S312">
        <v>10</v>
      </c>
      <c r="T312" t="s">
        <v>1034</v>
      </c>
      <c r="U312" t="str">
        <f t="shared" si="9"/>
        <v>Yes</v>
      </c>
    </row>
    <row r="313" spans="1:21" x14ac:dyDescent="0.3">
      <c r="A313" t="s">
        <v>541</v>
      </c>
      <c r="B313" t="s">
        <v>27</v>
      </c>
      <c r="C313" t="s">
        <v>474</v>
      </c>
      <c r="D313" s="1">
        <v>45961</v>
      </c>
      <c r="E313" s="1">
        <v>45965</v>
      </c>
      <c r="F313" s="1">
        <v>45969</v>
      </c>
      <c r="G313" s="1">
        <v>45975</v>
      </c>
      <c r="H313" t="s">
        <v>17</v>
      </c>
      <c r="I313">
        <v>0</v>
      </c>
      <c r="J313" t="s">
        <v>18</v>
      </c>
      <c r="K313" s="1">
        <v>45992</v>
      </c>
      <c r="L313">
        <v>4</v>
      </c>
      <c r="M313">
        <v>4</v>
      </c>
      <c r="N313">
        <v>6</v>
      </c>
      <c r="O313">
        <v>6</v>
      </c>
      <c r="P313" t="str">
        <f t="shared" si="8"/>
        <v>Detractor</v>
      </c>
      <c r="Q313">
        <v>11</v>
      </c>
      <c r="R313" t="s">
        <v>1035</v>
      </c>
      <c r="S313">
        <v>11</v>
      </c>
      <c r="T313" t="s">
        <v>1035</v>
      </c>
      <c r="U313" t="str">
        <f t="shared" si="9"/>
        <v>Yes</v>
      </c>
    </row>
    <row r="314" spans="1:21" x14ac:dyDescent="0.3">
      <c r="A314" t="s">
        <v>344</v>
      </c>
      <c r="B314" t="s">
        <v>15</v>
      </c>
      <c r="C314" t="s">
        <v>16</v>
      </c>
      <c r="D314" s="1">
        <v>45952</v>
      </c>
      <c r="E314" s="1">
        <v>45953</v>
      </c>
      <c r="F314" s="1">
        <v>45954</v>
      </c>
      <c r="G314" s="1">
        <v>45960</v>
      </c>
      <c r="H314" t="s">
        <v>17</v>
      </c>
      <c r="I314">
        <v>0</v>
      </c>
      <c r="J314" t="s">
        <v>18</v>
      </c>
      <c r="K314" s="1">
        <v>45985</v>
      </c>
      <c r="L314">
        <v>1</v>
      </c>
      <c r="M314">
        <v>1</v>
      </c>
      <c r="N314">
        <v>6</v>
      </c>
      <c r="O314">
        <v>6</v>
      </c>
      <c r="P314" t="str">
        <f t="shared" si="8"/>
        <v>Detractor</v>
      </c>
      <c r="Q314">
        <v>10</v>
      </c>
      <c r="R314" t="s">
        <v>1034</v>
      </c>
      <c r="S314">
        <v>10</v>
      </c>
      <c r="T314" t="s">
        <v>1034</v>
      </c>
      <c r="U314" t="str">
        <f t="shared" si="9"/>
        <v>Yes</v>
      </c>
    </row>
    <row r="315" spans="1:21" x14ac:dyDescent="0.3">
      <c r="A315" t="s">
        <v>54</v>
      </c>
      <c r="B315" t="s">
        <v>27</v>
      </c>
      <c r="C315" t="s">
        <v>16</v>
      </c>
      <c r="D315" s="1">
        <v>45957</v>
      </c>
      <c r="E315" s="1">
        <v>45960</v>
      </c>
      <c r="F315" s="1">
        <v>45962</v>
      </c>
      <c r="G315" s="1">
        <v>45965</v>
      </c>
      <c r="H315" t="s">
        <v>17</v>
      </c>
      <c r="I315">
        <v>0</v>
      </c>
      <c r="J315" t="s">
        <v>18</v>
      </c>
      <c r="K315" s="1">
        <v>45984</v>
      </c>
      <c r="L315">
        <v>3</v>
      </c>
      <c r="M315">
        <v>2</v>
      </c>
      <c r="N315">
        <v>3</v>
      </c>
      <c r="O315">
        <v>6</v>
      </c>
      <c r="P315" t="str">
        <f t="shared" si="8"/>
        <v>Detractor</v>
      </c>
      <c r="Q315">
        <v>10</v>
      </c>
      <c r="R315" t="s">
        <v>1034</v>
      </c>
      <c r="S315">
        <v>11</v>
      </c>
      <c r="T315" t="s">
        <v>1035</v>
      </c>
      <c r="U315" t="str">
        <f t="shared" si="9"/>
        <v>Yes</v>
      </c>
    </row>
    <row r="316" spans="1:21" x14ac:dyDescent="0.3">
      <c r="A316" t="s">
        <v>345</v>
      </c>
      <c r="B316" t="s">
        <v>27</v>
      </c>
      <c r="C316" t="s">
        <v>16</v>
      </c>
      <c r="D316" s="1">
        <v>45958</v>
      </c>
      <c r="E316" s="1">
        <v>45959</v>
      </c>
      <c r="F316" s="1">
        <v>45964</v>
      </c>
      <c r="G316" s="1">
        <v>45970</v>
      </c>
      <c r="H316" t="s">
        <v>17</v>
      </c>
      <c r="I316">
        <v>0</v>
      </c>
      <c r="J316" t="s">
        <v>18</v>
      </c>
      <c r="K316" s="1">
        <v>45982</v>
      </c>
      <c r="L316">
        <v>1</v>
      </c>
      <c r="M316">
        <v>5</v>
      </c>
      <c r="N316">
        <v>6</v>
      </c>
      <c r="O316">
        <v>4</v>
      </c>
      <c r="P316" t="str">
        <f t="shared" si="8"/>
        <v>Detractor</v>
      </c>
      <c r="Q316">
        <v>10</v>
      </c>
      <c r="R316" t="s">
        <v>1034</v>
      </c>
      <c r="S316">
        <v>11</v>
      </c>
      <c r="T316" t="s">
        <v>1035</v>
      </c>
      <c r="U316" t="str">
        <f t="shared" si="9"/>
        <v>Yes</v>
      </c>
    </row>
    <row r="317" spans="1:21" x14ac:dyDescent="0.3">
      <c r="A317" t="s">
        <v>161</v>
      </c>
      <c r="B317" t="s">
        <v>27</v>
      </c>
      <c r="C317" t="s">
        <v>16</v>
      </c>
      <c r="D317" s="1">
        <v>45949</v>
      </c>
      <c r="E317" s="1">
        <v>45954</v>
      </c>
      <c r="F317" s="1">
        <v>45958</v>
      </c>
      <c r="G317" s="1">
        <v>45963</v>
      </c>
      <c r="H317" t="s">
        <v>17</v>
      </c>
      <c r="I317">
        <v>0</v>
      </c>
      <c r="J317" t="s">
        <v>18</v>
      </c>
      <c r="K317" s="1">
        <v>45985</v>
      </c>
      <c r="L317">
        <v>5</v>
      </c>
      <c r="M317">
        <v>4</v>
      </c>
      <c r="N317">
        <v>5</v>
      </c>
      <c r="O317">
        <v>5</v>
      </c>
      <c r="P317" t="str">
        <f t="shared" si="8"/>
        <v>Detractor</v>
      </c>
      <c r="Q317">
        <v>10</v>
      </c>
      <c r="R317" t="s">
        <v>1034</v>
      </c>
      <c r="S317">
        <v>11</v>
      </c>
      <c r="T317" t="s">
        <v>1035</v>
      </c>
      <c r="U317" t="str">
        <f t="shared" si="9"/>
        <v>Yes</v>
      </c>
    </row>
    <row r="318" spans="1:21" x14ac:dyDescent="0.3">
      <c r="A318" t="s">
        <v>411</v>
      </c>
      <c r="B318" t="s">
        <v>27</v>
      </c>
      <c r="C318" t="s">
        <v>16</v>
      </c>
      <c r="D318" s="1">
        <v>45949</v>
      </c>
      <c r="E318" s="1">
        <v>45951</v>
      </c>
      <c r="F318" s="1">
        <v>45952</v>
      </c>
      <c r="G318" s="1">
        <v>45956</v>
      </c>
      <c r="H318" t="s">
        <v>17</v>
      </c>
      <c r="I318">
        <v>0</v>
      </c>
      <c r="J318" t="s">
        <v>18</v>
      </c>
      <c r="K318" s="1">
        <v>45967</v>
      </c>
      <c r="L318">
        <v>2</v>
      </c>
      <c r="M318">
        <v>1</v>
      </c>
      <c r="N318">
        <v>4</v>
      </c>
      <c r="O318">
        <v>9</v>
      </c>
      <c r="P318" t="str">
        <f t="shared" si="8"/>
        <v>Promoter</v>
      </c>
      <c r="Q318">
        <v>10</v>
      </c>
      <c r="R318" t="s">
        <v>1034</v>
      </c>
      <c r="S318">
        <v>10</v>
      </c>
      <c r="T318" t="s">
        <v>1034</v>
      </c>
      <c r="U318" t="str">
        <f t="shared" si="9"/>
        <v>Yes</v>
      </c>
    </row>
    <row r="319" spans="1:21" x14ac:dyDescent="0.3">
      <c r="A319" t="s">
        <v>783</v>
      </c>
      <c r="B319" t="s">
        <v>15</v>
      </c>
      <c r="C319" t="s">
        <v>16</v>
      </c>
      <c r="D319" s="1">
        <v>45961</v>
      </c>
      <c r="E319" s="1">
        <v>45962</v>
      </c>
      <c r="F319" s="1">
        <v>45967</v>
      </c>
      <c r="G319" s="1">
        <v>45974</v>
      </c>
      <c r="H319" t="s">
        <v>752</v>
      </c>
      <c r="I319">
        <v>1</v>
      </c>
      <c r="J319" t="s">
        <v>756</v>
      </c>
      <c r="K319" s="1"/>
      <c r="L319">
        <v>1</v>
      </c>
      <c r="M319">
        <v>5</v>
      </c>
      <c r="N319">
        <v>7</v>
      </c>
      <c r="P319" t="str">
        <f t="shared" si="8"/>
        <v>Not Applicable</v>
      </c>
      <c r="Q319">
        <v>11</v>
      </c>
      <c r="R319" t="s">
        <v>1035</v>
      </c>
      <c r="S319">
        <v>11</v>
      </c>
      <c r="T319" t="s">
        <v>1035</v>
      </c>
      <c r="U319" t="str">
        <f t="shared" si="9"/>
        <v>No</v>
      </c>
    </row>
    <row r="320" spans="1:21" x14ac:dyDescent="0.3">
      <c r="A320" t="s">
        <v>412</v>
      </c>
      <c r="B320" t="s">
        <v>27</v>
      </c>
      <c r="C320" t="s">
        <v>16</v>
      </c>
      <c r="D320" s="1">
        <v>45931</v>
      </c>
      <c r="E320" s="1">
        <v>45933</v>
      </c>
      <c r="F320" s="1">
        <v>45937</v>
      </c>
      <c r="G320" s="1">
        <v>45939</v>
      </c>
      <c r="H320" t="s">
        <v>17</v>
      </c>
      <c r="I320">
        <v>0</v>
      </c>
      <c r="J320" t="s">
        <v>18</v>
      </c>
      <c r="K320" s="1">
        <v>45965</v>
      </c>
      <c r="L320">
        <v>2</v>
      </c>
      <c r="M320">
        <v>4</v>
      </c>
      <c r="N320">
        <v>2</v>
      </c>
      <c r="O320">
        <v>6</v>
      </c>
      <c r="P320" t="str">
        <f t="shared" si="8"/>
        <v>Detractor</v>
      </c>
      <c r="Q320">
        <v>10</v>
      </c>
      <c r="R320" t="s">
        <v>1034</v>
      </c>
      <c r="S320">
        <v>10</v>
      </c>
      <c r="T320" t="s">
        <v>1034</v>
      </c>
      <c r="U320" t="str">
        <f t="shared" si="9"/>
        <v>Yes</v>
      </c>
    </row>
    <row r="321" spans="1:21" x14ac:dyDescent="0.3">
      <c r="A321" t="s">
        <v>784</v>
      </c>
      <c r="B321" t="s">
        <v>15</v>
      </c>
      <c r="C321" t="s">
        <v>16</v>
      </c>
      <c r="D321" s="1">
        <v>45955</v>
      </c>
      <c r="E321" s="1">
        <v>45959</v>
      </c>
      <c r="F321" s="1">
        <v>45960</v>
      </c>
      <c r="G321" s="1">
        <v>45962</v>
      </c>
      <c r="H321" t="s">
        <v>752</v>
      </c>
      <c r="I321">
        <v>1</v>
      </c>
      <c r="J321" t="s">
        <v>753</v>
      </c>
      <c r="K321" s="1"/>
      <c r="L321">
        <v>4</v>
      </c>
      <c r="M321">
        <v>1</v>
      </c>
      <c r="N321">
        <v>2</v>
      </c>
      <c r="P321" t="str">
        <f t="shared" si="8"/>
        <v>Not Applicable</v>
      </c>
      <c r="Q321">
        <v>10</v>
      </c>
      <c r="R321" t="s">
        <v>1034</v>
      </c>
      <c r="S321">
        <v>11</v>
      </c>
      <c r="T321" t="s">
        <v>1035</v>
      </c>
      <c r="U321" t="str">
        <f t="shared" si="9"/>
        <v>No</v>
      </c>
    </row>
    <row r="322" spans="1:21" x14ac:dyDescent="0.3">
      <c r="A322" t="s">
        <v>255</v>
      </c>
      <c r="B322" t="s">
        <v>15</v>
      </c>
      <c r="C322" t="s">
        <v>16</v>
      </c>
      <c r="D322" s="1">
        <v>45952</v>
      </c>
      <c r="E322" s="1">
        <v>45956</v>
      </c>
      <c r="F322" s="1">
        <v>45960</v>
      </c>
      <c r="G322" s="1">
        <v>45962</v>
      </c>
      <c r="H322" t="s">
        <v>17</v>
      </c>
      <c r="I322">
        <v>0</v>
      </c>
      <c r="J322" t="s">
        <v>18</v>
      </c>
      <c r="K322" s="1">
        <v>45990</v>
      </c>
      <c r="L322">
        <v>4</v>
      </c>
      <c r="M322">
        <v>4</v>
      </c>
      <c r="N322">
        <v>2</v>
      </c>
      <c r="O322">
        <v>4</v>
      </c>
      <c r="P322" t="str">
        <f t="shared" ref="P322:P385" si="10">IF(ISBLANK(O322), "Not Applicable", IF(O322&gt;=9, "Promoter", IF(O322&gt;=7, "Passive", "Detractor")))</f>
        <v>Detractor</v>
      </c>
      <c r="Q322">
        <v>10</v>
      </c>
      <c r="R322" t="s">
        <v>1034</v>
      </c>
      <c r="S322">
        <v>11</v>
      </c>
      <c r="T322" t="s">
        <v>1035</v>
      </c>
      <c r="U322" t="str">
        <f t="shared" ref="U322:U385" si="11">IF(
H322="Yes","No",
IF(
OR(
C322="Hot",
AND(C322="Warm",NOT(ISBLANK(E322)))
),
"Yes",
"No"
)
)</f>
        <v>Yes</v>
      </c>
    </row>
    <row r="323" spans="1:21" x14ac:dyDescent="0.3">
      <c r="A323" t="s">
        <v>912</v>
      </c>
      <c r="B323" t="s">
        <v>29</v>
      </c>
      <c r="C323" t="s">
        <v>841</v>
      </c>
      <c r="D323" s="1">
        <v>45957</v>
      </c>
      <c r="E323" s="1"/>
      <c r="F323" s="1"/>
      <c r="G323" s="1"/>
      <c r="H323" t="s">
        <v>752</v>
      </c>
      <c r="I323">
        <v>1</v>
      </c>
      <c r="J323" t="s">
        <v>777</v>
      </c>
      <c r="K323" s="1"/>
      <c r="P323" t="str">
        <f t="shared" si="10"/>
        <v>Not Applicable</v>
      </c>
      <c r="R323" t="s">
        <v>1036</v>
      </c>
      <c r="T323" t="s">
        <v>1036</v>
      </c>
      <c r="U323" t="str">
        <f t="shared" si="11"/>
        <v>No</v>
      </c>
    </row>
    <row r="324" spans="1:21" x14ac:dyDescent="0.3">
      <c r="A324" t="s">
        <v>785</v>
      </c>
      <c r="B324" t="s">
        <v>22</v>
      </c>
      <c r="C324" t="s">
        <v>16</v>
      </c>
      <c r="D324" s="1">
        <v>45939</v>
      </c>
      <c r="E324" s="1">
        <v>45944</v>
      </c>
      <c r="F324" s="1">
        <v>45946</v>
      </c>
      <c r="G324" s="1">
        <v>45953</v>
      </c>
      <c r="H324" t="s">
        <v>752</v>
      </c>
      <c r="I324">
        <v>1</v>
      </c>
      <c r="J324" t="s">
        <v>756</v>
      </c>
      <c r="K324" s="1"/>
      <c r="L324">
        <v>5</v>
      </c>
      <c r="M324">
        <v>2</v>
      </c>
      <c r="N324">
        <v>7</v>
      </c>
      <c r="P324" t="str">
        <f t="shared" si="10"/>
        <v>Not Applicable</v>
      </c>
      <c r="Q324">
        <v>10</v>
      </c>
      <c r="R324" t="s">
        <v>1034</v>
      </c>
      <c r="S324">
        <v>10</v>
      </c>
      <c r="T324" t="s">
        <v>1034</v>
      </c>
      <c r="U324" t="str">
        <f t="shared" si="11"/>
        <v>No</v>
      </c>
    </row>
    <row r="325" spans="1:21" x14ac:dyDescent="0.3">
      <c r="A325" t="s">
        <v>706</v>
      </c>
      <c r="B325" t="s">
        <v>22</v>
      </c>
      <c r="C325" t="s">
        <v>474</v>
      </c>
      <c r="D325" s="1">
        <v>45949</v>
      </c>
      <c r="E325" s="1">
        <v>45954</v>
      </c>
      <c r="F325" s="1">
        <v>45959</v>
      </c>
      <c r="G325" s="1">
        <v>45964</v>
      </c>
      <c r="H325" t="s">
        <v>17</v>
      </c>
      <c r="I325">
        <v>0</v>
      </c>
      <c r="J325" t="s">
        <v>18</v>
      </c>
      <c r="K325" s="1">
        <v>45990</v>
      </c>
      <c r="L325">
        <v>5</v>
      </c>
      <c r="M325">
        <v>5</v>
      </c>
      <c r="N325">
        <v>5</v>
      </c>
      <c r="O325">
        <v>2</v>
      </c>
      <c r="P325" t="str">
        <f t="shared" si="10"/>
        <v>Detractor</v>
      </c>
      <c r="Q325">
        <v>10</v>
      </c>
      <c r="R325" t="s">
        <v>1034</v>
      </c>
      <c r="S325">
        <v>11</v>
      </c>
      <c r="T325" t="s">
        <v>1035</v>
      </c>
      <c r="U325" t="str">
        <f t="shared" si="11"/>
        <v>Yes</v>
      </c>
    </row>
    <row r="326" spans="1:21" x14ac:dyDescent="0.3">
      <c r="A326" t="s">
        <v>786</v>
      </c>
      <c r="B326" t="s">
        <v>15</v>
      </c>
      <c r="C326" t="s">
        <v>474</v>
      </c>
      <c r="D326" s="1">
        <v>45932</v>
      </c>
      <c r="E326" s="1">
        <v>45937</v>
      </c>
      <c r="F326" s="1">
        <v>45941</v>
      </c>
      <c r="G326" s="1">
        <v>45943</v>
      </c>
      <c r="H326" t="s">
        <v>752</v>
      </c>
      <c r="I326">
        <v>1</v>
      </c>
      <c r="J326" t="s">
        <v>758</v>
      </c>
      <c r="K326" s="1"/>
      <c r="L326">
        <v>5</v>
      </c>
      <c r="M326">
        <v>4</v>
      </c>
      <c r="N326">
        <v>2</v>
      </c>
      <c r="P326" t="str">
        <f t="shared" si="10"/>
        <v>Not Applicable</v>
      </c>
      <c r="Q326">
        <v>10</v>
      </c>
      <c r="R326" t="s">
        <v>1034</v>
      </c>
      <c r="S326">
        <v>10</v>
      </c>
      <c r="T326" t="s">
        <v>1034</v>
      </c>
      <c r="U326" t="str">
        <f t="shared" si="11"/>
        <v>No</v>
      </c>
    </row>
    <row r="327" spans="1:21" x14ac:dyDescent="0.3">
      <c r="A327" t="s">
        <v>542</v>
      </c>
      <c r="B327" t="s">
        <v>29</v>
      </c>
      <c r="C327" t="s">
        <v>474</v>
      </c>
      <c r="D327" s="1">
        <v>45955</v>
      </c>
      <c r="E327" s="1">
        <v>45957</v>
      </c>
      <c r="F327" s="1">
        <v>45961</v>
      </c>
      <c r="G327" s="1">
        <v>45963</v>
      </c>
      <c r="H327" t="s">
        <v>17</v>
      </c>
      <c r="I327">
        <v>0</v>
      </c>
      <c r="J327" t="s">
        <v>18</v>
      </c>
      <c r="K327" s="1">
        <v>45991</v>
      </c>
      <c r="L327">
        <v>2</v>
      </c>
      <c r="M327">
        <v>4</v>
      </c>
      <c r="N327">
        <v>2</v>
      </c>
      <c r="O327">
        <v>10</v>
      </c>
      <c r="P327" t="str">
        <f t="shared" si="10"/>
        <v>Promoter</v>
      </c>
      <c r="Q327">
        <v>10</v>
      </c>
      <c r="R327" t="s">
        <v>1034</v>
      </c>
      <c r="S327">
        <v>11</v>
      </c>
      <c r="T327" t="s">
        <v>1035</v>
      </c>
      <c r="U327" t="str">
        <f t="shared" si="11"/>
        <v>Yes</v>
      </c>
    </row>
    <row r="328" spans="1:21" x14ac:dyDescent="0.3">
      <c r="A328" t="s">
        <v>55</v>
      </c>
      <c r="B328" t="s">
        <v>15</v>
      </c>
      <c r="C328" t="s">
        <v>16</v>
      </c>
      <c r="D328" s="1">
        <v>45955</v>
      </c>
      <c r="E328" s="1">
        <v>45958</v>
      </c>
      <c r="F328" s="1">
        <v>45963</v>
      </c>
      <c r="G328" s="1">
        <v>45966</v>
      </c>
      <c r="H328" t="s">
        <v>17</v>
      </c>
      <c r="I328">
        <v>0</v>
      </c>
      <c r="J328" t="s">
        <v>18</v>
      </c>
      <c r="K328" s="1">
        <v>45995</v>
      </c>
      <c r="L328">
        <v>3</v>
      </c>
      <c r="M328">
        <v>5</v>
      </c>
      <c r="N328">
        <v>3</v>
      </c>
      <c r="O328">
        <v>6</v>
      </c>
      <c r="P328" t="str">
        <f t="shared" si="10"/>
        <v>Detractor</v>
      </c>
      <c r="Q328">
        <v>10</v>
      </c>
      <c r="R328" t="s">
        <v>1034</v>
      </c>
      <c r="S328">
        <v>11</v>
      </c>
      <c r="T328" t="s">
        <v>1035</v>
      </c>
      <c r="U328" t="str">
        <f t="shared" si="11"/>
        <v>Yes</v>
      </c>
    </row>
    <row r="329" spans="1:21" x14ac:dyDescent="0.3">
      <c r="A329" t="s">
        <v>56</v>
      </c>
      <c r="B329" t="s">
        <v>15</v>
      </c>
      <c r="C329" t="s">
        <v>16</v>
      </c>
      <c r="D329" s="1">
        <v>45936</v>
      </c>
      <c r="E329" s="1">
        <v>45939</v>
      </c>
      <c r="F329" s="1">
        <v>45940</v>
      </c>
      <c r="G329" s="1">
        <v>45945</v>
      </c>
      <c r="H329" t="s">
        <v>17</v>
      </c>
      <c r="I329">
        <v>0</v>
      </c>
      <c r="J329" t="s">
        <v>18</v>
      </c>
      <c r="K329" s="1">
        <v>45959</v>
      </c>
      <c r="L329">
        <v>3</v>
      </c>
      <c r="M329">
        <v>1</v>
      </c>
      <c r="N329">
        <v>5</v>
      </c>
      <c r="O329">
        <v>7</v>
      </c>
      <c r="P329" t="str">
        <f t="shared" si="10"/>
        <v>Passive</v>
      </c>
      <c r="Q329">
        <v>10</v>
      </c>
      <c r="R329" t="s">
        <v>1034</v>
      </c>
      <c r="S329">
        <v>10</v>
      </c>
      <c r="T329" t="s">
        <v>1034</v>
      </c>
      <c r="U329" t="str">
        <f t="shared" si="11"/>
        <v>Yes</v>
      </c>
    </row>
    <row r="330" spans="1:21" x14ac:dyDescent="0.3">
      <c r="A330" t="s">
        <v>57</v>
      </c>
      <c r="B330" t="s">
        <v>15</v>
      </c>
      <c r="C330" t="s">
        <v>16</v>
      </c>
      <c r="D330" s="1">
        <v>45946</v>
      </c>
      <c r="E330" s="1">
        <v>45949</v>
      </c>
      <c r="F330" s="1">
        <v>45954</v>
      </c>
      <c r="G330" s="1">
        <v>45959</v>
      </c>
      <c r="H330" t="s">
        <v>17</v>
      </c>
      <c r="I330">
        <v>0</v>
      </c>
      <c r="J330" t="s">
        <v>18</v>
      </c>
      <c r="K330" s="1">
        <v>45972</v>
      </c>
      <c r="L330">
        <v>3</v>
      </c>
      <c r="M330">
        <v>5</v>
      </c>
      <c r="N330">
        <v>5</v>
      </c>
      <c r="O330">
        <v>3</v>
      </c>
      <c r="P330" t="str">
        <f t="shared" si="10"/>
        <v>Detractor</v>
      </c>
      <c r="Q330">
        <v>10</v>
      </c>
      <c r="R330" t="s">
        <v>1034</v>
      </c>
      <c r="S330">
        <v>10</v>
      </c>
      <c r="T330" t="s">
        <v>1034</v>
      </c>
      <c r="U330" t="str">
        <f t="shared" si="11"/>
        <v>Yes</v>
      </c>
    </row>
    <row r="331" spans="1:21" x14ac:dyDescent="0.3">
      <c r="A331" t="s">
        <v>256</v>
      </c>
      <c r="B331" t="s">
        <v>29</v>
      </c>
      <c r="C331" t="s">
        <v>16</v>
      </c>
      <c r="D331" s="1">
        <v>45947</v>
      </c>
      <c r="E331" s="1">
        <v>45951</v>
      </c>
      <c r="F331" s="1">
        <v>45955</v>
      </c>
      <c r="G331" s="1">
        <v>45957</v>
      </c>
      <c r="H331" t="s">
        <v>17</v>
      </c>
      <c r="I331">
        <v>0</v>
      </c>
      <c r="J331" t="s">
        <v>18</v>
      </c>
      <c r="K331" s="1">
        <v>45981</v>
      </c>
      <c r="L331">
        <v>4</v>
      </c>
      <c r="M331">
        <v>4</v>
      </c>
      <c r="N331">
        <v>2</v>
      </c>
      <c r="O331">
        <v>2</v>
      </c>
      <c r="P331" t="str">
        <f t="shared" si="10"/>
        <v>Detractor</v>
      </c>
      <c r="Q331">
        <v>10</v>
      </c>
      <c r="R331" t="s">
        <v>1034</v>
      </c>
      <c r="S331">
        <v>10</v>
      </c>
      <c r="T331" t="s">
        <v>1034</v>
      </c>
      <c r="U331" t="str">
        <f t="shared" si="11"/>
        <v>Yes</v>
      </c>
    </row>
    <row r="332" spans="1:21" x14ac:dyDescent="0.3">
      <c r="A332" t="s">
        <v>543</v>
      </c>
      <c r="B332" t="s">
        <v>22</v>
      </c>
      <c r="C332" t="s">
        <v>474</v>
      </c>
      <c r="D332" s="1">
        <v>45951</v>
      </c>
      <c r="E332" s="1">
        <v>45955</v>
      </c>
      <c r="F332" s="1">
        <v>45958</v>
      </c>
      <c r="G332" s="1">
        <v>45963</v>
      </c>
      <c r="H332" t="s">
        <v>17</v>
      </c>
      <c r="I332">
        <v>0</v>
      </c>
      <c r="J332" t="s">
        <v>18</v>
      </c>
      <c r="K332" s="1">
        <v>45978</v>
      </c>
      <c r="L332">
        <v>4</v>
      </c>
      <c r="M332">
        <v>3</v>
      </c>
      <c r="N332">
        <v>5</v>
      </c>
      <c r="O332">
        <v>1</v>
      </c>
      <c r="P332" t="str">
        <f t="shared" si="10"/>
        <v>Detractor</v>
      </c>
      <c r="Q332">
        <v>10</v>
      </c>
      <c r="R332" t="s">
        <v>1034</v>
      </c>
      <c r="S332">
        <v>11</v>
      </c>
      <c r="T332" t="s">
        <v>1035</v>
      </c>
      <c r="U332" t="str">
        <f t="shared" si="11"/>
        <v>Yes</v>
      </c>
    </row>
    <row r="333" spans="1:21" x14ac:dyDescent="0.3">
      <c r="A333" t="s">
        <v>58</v>
      </c>
      <c r="B333" t="s">
        <v>29</v>
      </c>
      <c r="C333" t="s">
        <v>16</v>
      </c>
      <c r="D333" s="1">
        <v>45945</v>
      </c>
      <c r="E333" s="1">
        <v>45948</v>
      </c>
      <c r="F333" s="1">
        <v>45949</v>
      </c>
      <c r="G333" s="1">
        <v>45952</v>
      </c>
      <c r="H333" t="s">
        <v>17</v>
      </c>
      <c r="I333">
        <v>0</v>
      </c>
      <c r="J333" t="s">
        <v>18</v>
      </c>
      <c r="K333" s="1">
        <v>45967</v>
      </c>
      <c r="L333">
        <v>3</v>
      </c>
      <c r="M333">
        <v>1</v>
      </c>
      <c r="N333">
        <v>3</v>
      </c>
      <c r="O333">
        <v>0</v>
      </c>
      <c r="P333" t="str">
        <f t="shared" si="10"/>
        <v>Detractor</v>
      </c>
      <c r="Q333">
        <v>10</v>
      </c>
      <c r="R333" t="s">
        <v>1034</v>
      </c>
      <c r="S333">
        <v>10</v>
      </c>
      <c r="T333" t="s">
        <v>1034</v>
      </c>
      <c r="U333" t="str">
        <f t="shared" si="11"/>
        <v>Yes</v>
      </c>
    </row>
    <row r="334" spans="1:21" x14ac:dyDescent="0.3">
      <c r="A334" t="s">
        <v>707</v>
      </c>
      <c r="B334" t="s">
        <v>27</v>
      </c>
      <c r="C334" t="s">
        <v>474</v>
      </c>
      <c r="D334" s="1">
        <v>45960</v>
      </c>
      <c r="E334" s="1">
        <v>45965</v>
      </c>
      <c r="F334" s="1">
        <v>45969</v>
      </c>
      <c r="G334" s="1">
        <v>45976</v>
      </c>
      <c r="H334" t="s">
        <v>17</v>
      </c>
      <c r="I334">
        <v>0</v>
      </c>
      <c r="J334" t="s">
        <v>18</v>
      </c>
      <c r="K334" s="1">
        <v>45992</v>
      </c>
      <c r="L334">
        <v>5</v>
      </c>
      <c r="M334">
        <v>4</v>
      </c>
      <c r="N334">
        <v>7</v>
      </c>
      <c r="O334">
        <v>2</v>
      </c>
      <c r="P334" t="str">
        <f t="shared" si="10"/>
        <v>Detractor</v>
      </c>
      <c r="Q334">
        <v>11</v>
      </c>
      <c r="R334" t="s">
        <v>1035</v>
      </c>
      <c r="S334">
        <v>11</v>
      </c>
      <c r="T334" t="s">
        <v>1035</v>
      </c>
      <c r="U334" t="str">
        <f t="shared" si="11"/>
        <v>Yes</v>
      </c>
    </row>
    <row r="335" spans="1:21" x14ac:dyDescent="0.3">
      <c r="A335" t="s">
        <v>346</v>
      </c>
      <c r="B335" t="s">
        <v>29</v>
      </c>
      <c r="C335" t="s">
        <v>16</v>
      </c>
      <c r="D335" s="1">
        <v>45939</v>
      </c>
      <c r="E335" s="1">
        <v>45940</v>
      </c>
      <c r="F335" s="1">
        <v>45943</v>
      </c>
      <c r="G335" s="1">
        <v>45946</v>
      </c>
      <c r="H335" t="s">
        <v>17</v>
      </c>
      <c r="I335">
        <v>0</v>
      </c>
      <c r="J335" t="s">
        <v>18</v>
      </c>
      <c r="K335" s="1">
        <v>45962</v>
      </c>
      <c r="L335">
        <v>1</v>
      </c>
      <c r="M335">
        <v>3</v>
      </c>
      <c r="N335">
        <v>3</v>
      </c>
      <c r="O335">
        <v>2</v>
      </c>
      <c r="P335" t="str">
        <f t="shared" si="10"/>
        <v>Detractor</v>
      </c>
      <c r="Q335">
        <v>10</v>
      </c>
      <c r="R335" t="s">
        <v>1034</v>
      </c>
      <c r="S335">
        <v>10</v>
      </c>
      <c r="T335" t="s">
        <v>1034</v>
      </c>
      <c r="U335" t="str">
        <f t="shared" si="11"/>
        <v>Yes</v>
      </c>
    </row>
    <row r="336" spans="1:21" x14ac:dyDescent="0.3">
      <c r="A336" t="s">
        <v>544</v>
      </c>
      <c r="B336" t="s">
        <v>29</v>
      </c>
      <c r="C336" t="s">
        <v>474</v>
      </c>
      <c r="D336" s="1">
        <v>45936</v>
      </c>
      <c r="E336" s="1">
        <v>45939</v>
      </c>
      <c r="F336" s="1">
        <v>45940</v>
      </c>
      <c r="G336" s="1">
        <v>45947</v>
      </c>
      <c r="H336" t="s">
        <v>17</v>
      </c>
      <c r="I336">
        <v>0</v>
      </c>
      <c r="J336" t="s">
        <v>18</v>
      </c>
      <c r="K336" s="1">
        <v>45961</v>
      </c>
      <c r="L336">
        <v>3</v>
      </c>
      <c r="M336">
        <v>1</v>
      </c>
      <c r="N336">
        <v>7</v>
      </c>
      <c r="O336">
        <v>1</v>
      </c>
      <c r="P336" t="str">
        <f t="shared" si="10"/>
        <v>Detractor</v>
      </c>
      <c r="Q336">
        <v>10</v>
      </c>
      <c r="R336" t="s">
        <v>1034</v>
      </c>
      <c r="S336">
        <v>10</v>
      </c>
      <c r="T336" t="s">
        <v>1034</v>
      </c>
      <c r="U336" t="str">
        <f t="shared" si="11"/>
        <v>Yes</v>
      </c>
    </row>
    <row r="337" spans="1:21" x14ac:dyDescent="0.3">
      <c r="A337" t="s">
        <v>913</v>
      </c>
      <c r="B337" t="s">
        <v>29</v>
      </c>
      <c r="C337" t="s">
        <v>841</v>
      </c>
      <c r="D337" s="1">
        <v>45949</v>
      </c>
      <c r="E337" s="1"/>
      <c r="F337" s="1"/>
      <c r="G337" s="1"/>
      <c r="H337" t="s">
        <v>752</v>
      </c>
      <c r="I337">
        <v>1</v>
      </c>
      <c r="J337" t="s">
        <v>765</v>
      </c>
      <c r="K337" s="1"/>
      <c r="P337" t="str">
        <f t="shared" si="10"/>
        <v>Not Applicable</v>
      </c>
      <c r="R337" t="s">
        <v>1036</v>
      </c>
      <c r="T337" t="s">
        <v>1036</v>
      </c>
      <c r="U337" t="str">
        <f t="shared" si="11"/>
        <v>No</v>
      </c>
    </row>
    <row r="338" spans="1:21" x14ac:dyDescent="0.3">
      <c r="A338" t="s">
        <v>545</v>
      </c>
      <c r="B338" t="s">
        <v>29</v>
      </c>
      <c r="C338" t="s">
        <v>474</v>
      </c>
      <c r="D338" s="1">
        <v>45944</v>
      </c>
      <c r="E338" s="1">
        <v>45945</v>
      </c>
      <c r="F338" s="1">
        <v>45947</v>
      </c>
      <c r="G338" s="1">
        <v>45951</v>
      </c>
      <c r="H338" t="s">
        <v>17</v>
      </c>
      <c r="I338">
        <v>0</v>
      </c>
      <c r="J338" t="s">
        <v>18</v>
      </c>
      <c r="K338" s="1">
        <v>45962</v>
      </c>
      <c r="L338">
        <v>1</v>
      </c>
      <c r="M338">
        <v>2</v>
      </c>
      <c r="N338">
        <v>4</v>
      </c>
      <c r="O338">
        <v>7</v>
      </c>
      <c r="P338" t="str">
        <f t="shared" si="10"/>
        <v>Passive</v>
      </c>
      <c r="Q338">
        <v>10</v>
      </c>
      <c r="R338" t="s">
        <v>1034</v>
      </c>
      <c r="S338">
        <v>10</v>
      </c>
      <c r="T338" t="s">
        <v>1034</v>
      </c>
      <c r="U338" t="str">
        <f t="shared" si="11"/>
        <v>Yes</v>
      </c>
    </row>
    <row r="339" spans="1:21" x14ac:dyDescent="0.3">
      <c r="A339" t="s">
        <v>914</v>
      </c>
      <c r="B339" t="s">
        <v>22</v>
      </c>
      <c r="C339" t="s">
        <v>841</v>
      </c>
      <c r="D339" s="1">
        <v>45951</v>
      </c>
      <c r="E339" s="1"/>
      <c r="F339" s="1"/>
      <c r="G339" s="1"/>
      <c r="H339" t="s">
        <v>752</v>
      </c>
      <c r="I339">
        <v>1</v>
      </c>
      <c r="J339" t="s">
        <v>756</v>
      </c>
      <c r="K339" s="1"/>
      <c r="P339" t="str">
        <f t="shared" si="10"/>
        <v>Not Applicable</v>
      </c>
      <c r="R339" t="s">
        <v>1036</v>
      </c>
      <c r="T339" t="s">
        <v>1036</v>
      </c>
      <c r="U339" t="str">
        <f t="shared" si="11"/>
        <v>No</v>
      </c>
    </row>
    <row r="340" spans="1:21" x14ac:dyDescent="0.3">
      <c r="A340" t="s">
        <v>59</v>
      </c>
      <c r="B340" t="s">
        <v>27</v>
      </c>
      <c r="C340" t="s">
        <v>16</v>
      </c>
      <c r="D340" s="1">
        <v>45957</v>
      </c>
      <c r="E340" s="1">
        <v>45960</v>
      </c>
      <c r="F340" s="1">
        <v>45965</v>
      </c>
      <c r="G340" s="1">
        <v>45968</v>
      </c>
      <c r="H340" t="s">
        <v>17</v>
      </c>
      <c r="I340">
        <v>0</v>
      </c>
      <c r="J340" t="s">
        <v>18</v>
      </c>
      <c r="K340" s="1">
        <v>45991</v>
      </c>
      <c r="L340">
        <v>3</v>
      </c>
      <c r="M340">
        <v>5</v>
      </c>
      <c r="N340">
        <v>3</v>
      </c>
      <c r="O340">
        <v>3</v>
      </c>
      <c r="P340" t="str">
        <f t="shared" si="10"/>
        <v>Detractor</v>
      </c>
      <c r="Q340">
        <v>10</v>
      </c>
      <c r="R340" t="s">
        <v>1034</v>
      </c>
      <c r="S340">
        <v>11</v>
      </c>
      <c r="T340" t="s">
        <v>1035</v>
      </c>
      <c r="U340" t="str">
        <f t="shared" si="11"/>
        <v>Yes</v>
      </c>
    </row>
    <row r="341" spans="1:21" x14ac:dyDescent="0.3">
      <c r="A341" t="s">
        <v>915</v>
      </c>
      <c r="B341" t="s">
        <v>22</v>
      </c>
      <c r="C341" t="s">
        <v>841</v>
      </c>
      <c r="D341" s="1">
        <v>45946</v>
      </c>
      <c r="E341" s="1"/>
      <c r="F341" s="1"/>
      <c r="G341" s="1"/>
      <c r="H341" t="s">
        <v>752</v>
      </c>
      <c r="I341">
        <v>1</v>
      </c>
      <c r="J341" t="s">
        <v>756</v>
      </c>
      <c r="K341" s="1"/>
      <c r="P341" t="str">
        <f t="shared" si="10"/>
        <v>Not Applicable</v>
      </c>
      <c r="R341" t="s">
        <v>1036</v>
      </c>
      <c r="T341" t="s">
        <v>1036</v>
      </c>
      <c r="U341" t="str">
        <f t="shared" si="11"/>
        <v>No</v>
      </c>
    </row>
    <row r="342" spans="1:21" x14ac:dyDescent="0.3">
      <c r="A342" t="s">
        <v>347</v>
      </c>
      <c r="B342" t="s">
        <v>22</v>
      </c>
      <c r="C342" t="s">
        <v>16</v>
      </c>
      <c r="D342" s="1">
        <v>45933</v>
      </c>
      <c r="E342" s="1">
        <v>45934</v>
      </c>
      <c r="F342" s="1">
        <v>45935</v>
      </c>
      <c r="G342" s="1">
        <v>45939</v>
      </c>
      <c r="H342" t="s">
        <v>17</v>
      </c>
      <c r="I342">
        <v>0</v>
      </c>
      <c r="J342" t="s">
        <v>18</v>
      </c>
      <c r="K342" s="1">
        <v>45951</v>
      </c>
      <c r="L342">
        <v>1</v>
      </c>
      <c r="M342">
        <v>1</v>
      </c>
      <c r="N342">
        <v>4</v>
      </c>
      <c r="O342">
        <v>10</v>
      </c>
      <c r="P342" t="str">
        <f t="shared" si="10"/>
        <v>Promoter</v>
      </c>
      <c r="Q342">
        <v>10</v>
      </c>
      <c r="R342" t="s">
        <v>1034</v>
      </c>
      <c r="S342">
        <v>10</v>
      </c>
      <c r="T342" t="s">
        <v>1034</v>
      </c>
      <c r="U342" t="str">
        <f t="shared" si="11"/>
        <v>Yes</v>
      </c>
    </row>
    <row r="343" spans="1:21" x14ac:dyDescent="0.3">
      <c r="A343" t="s">
        <v>162</v>
      </c>
      <c r="B343" t="s">
        <v>29</v>
      </c>
      <c r="C343" t="s">
        <v>16</v>
      </c>
      <c r="D343" s="1">
        <v>45946</v>
      </c>
      <c r="E343" s="1">
        <v>45951</v>
      </c>
      <c r="F343" s="1">
        <v>45952</v>
      </c>
      <c r="G343" s="1">
        <v>45954</v>
      </c>
      <c r="H343" t="s">
        <v>17</v>
      </c>
      <c r="I343">
        <v>0</v>
      </c>
      <c r="J343" t="s">
        <v>18</v>
      </c>
      <c r="K343" s="1">
        <v>45977</v>
      </c>
      <c r="L343">
        <v>5</v>
      </c>
      <c r="M343">
        <v>1</v>
      </c>
      <c r="N343">
        <v>2</v>
      </c>
      <c r="O343">
        <v>1</v>
      </c>
      <c r="P343" t="str">
        <f t="shared" si="10"/>
        <v>Detractor</v>
      </c>
      <c r="Q343">
        <v>10</v>
      </c>
      <c r="R343" t="s">
        <v>1034</v>
      </c>
      <c r="S343">
        <v>10</v>
      </c>
      <c r="T343" t="s">
        <v>1034</v>
      </c>
      <c r="U343" t="str">
        <f t="shared" si="11"/>
        <v>Yes</v>
      </c>
    </row>
    <row r="344" spans="1:21" x14ac:dyDescent="0.3">
      <c r="A344" t="s">
        <v>257</v>
      </c>
      <c r="B344" t="s">
        <v>15</v>
      </c>
      <c r="C344" t="s">
        <v>16</v>
      </c>
      <c r="D344" s="1">
        <v>45942</v>
      </c>
      <c r="E344" s="1">
        <v>45946</v>
      </c>
      <c r="F344" s="1">
        <v>45950</v>
      </c>
      <c r="G344" s="1">
        <v>45957</v>
      </c>
      <c r="H344" t="s">
        <v>17</v>
      </c>
      <c r="I344">
        <v>0</v>
      </c>
      <c r="J344" t="s">
        <v>18</v>
      </c>
      <c r="K344" s="1">
        <v>45973</v>
      </c>
      <c r="L344">
        <v>4</v>
      </c>
      <c r="M344">
        <v>4</v>
      </c>
      <c r="N344">
        <v>7</v>
      </c>
      <c r="O344">
        <v>4</v>
      </c>
      <c r="P344" t="str">
        <f t="shared" si="10"/>
        <v>Detractor</v>
      </c>
      <c r="Q344">
        <v>10</v>
      </c>
      <c r="R344" t="s">
        <v>1034</v>
      </c>
      <c r="S344">
        <v>10</v>
      </c>
      <c r="T344" t="s">
        <v>1034</v>
      </c>
      <c r="U344" t="str">
        <f t="shared" si="11"/>
        <v>Yes</v>
      </c>
    </row>
    <row r="345" spans="1:21" x14ac:dyDescent="0.3">
      <c r="A345" t="s">
        <v>60</v>
      </c>
      <c r="B345" t="s">
        <v>15</v>
      </c>
      <c r="C345" t="s">
        <v>16</v>
      </c>
      <c r="D345" s="1">
        <v>45944</v>
      </c>
      <c r="E345" s="1">
        <v>45947</v>
      </c>
      <c r="F345" s="1">
        <v>45950</v>
      </c>
      <c r="G345" s="1">
        <v>45954</v>
      </c>
      <c r="H345" t="s">
        <v>17</v>
      </c>
      <c r="I345">
        <v>0</v>
      </c>
      <c r="J345" t="s">
        <v>18</v>
      </c>
      <c r="K345" s="1">
        <v>45984</v>
      </c>
      <c r="L345">
        <v>3</v>
      </c>
      <c r="M345">
        <v>3</v>
      </c>
      <c r="N345">
        <v>4</v>
      </c>
      <c r="O345">
        <v>8</v>
      </c>
      <c r="P345" t="str">
        <f t="shared" si="10"/>
        <v>Passive</v>
      </c>
      <c r="Q345">
        <v>10</v>
      </c>
      <c r="R345" t="s">
        <v>1034</v>
      </c>
      <c r="S345">
        <v>10</v>
      </c>
      <c r="T345" t="s">
        <v>1034</v>
      </c>
      <c r="U345" t="str">
        <f t="shared" si="11"/>
        <v>Yes</v>
      </c>
    </row>
    <row r="346" spans="1:21" x14ac:dyDescent="0.3">
      <c r="A346" t="s">
        <v>61</v>
      </c>
      <c r="B346" t="s">
        <v>22</v>
      </c>
      <c r="C346" t="s">
        <v>16</v>
      </c>
      <c r="D346" s="1">
        <v>45941</v>
      </c>
      <c r="E346" s="1">
        <v>45944</v>
      </c>
      <c r="F346" s="1">
        <v>45945</v>
      </c>
      <c r="G346" s="1">
        <v>45949</v>
      </c>
      <c r="H346" t="s">
        <v>17</v>
      </c>
      <c r="I346">
        <v>0</v>
      </c>
      <c r="J346" t="s">
        <v>18</v>
      </c>
      <c r="K346" s="1">
        <v>45963</v>
      </c>
      <c r="L346">
        <v>3</v>
      </c>
      <c r="M346">
        <v>1</v>
      </c>
      <c r="N346">
        <v>4</v>
      </c>
      <c r="O346">
        <v>3</v>
      </c>
      <c r="P346" t="str">
        <f t="shared" si="10"/>
        <v>Detractor</v>
      </c>
      <c r="Q346">
        <v>10</v>
      </c>
      <c r="R346" t="s">
        <v>1034</v>
      </c>
      <c r="S346">
        <v>10</v>
      </c>
      <c r="T346" t="s">
        <v>1034</v>
      </c>
      <c r="U346" t="str">
        <f t="shared" si="11"/>
        <v>Yes</v>
      </c>
    </row>
    <row r="347" spans="1:21" x14ac:dyDescent="0.3">
      <c r="A347" t="s">
        <v>163</v>
      </c>
      <c r="B347" t="s">
        <v>22</v>
      </c>
      <c r="C347" t="s">
        <v>16</v>
      </c>
      <c r="D347" s="1">
        <v>45941</v>
      </c>
      <c r="E347" s="1">
        <v>45946</v>
      </c>
      <c r="F347" s="1">
        <v>45951</v>
      </c>
      <c r="G347" s="1">
        <v>45953</v>
      </c>
      <c r="H347" t="s">
        <v>17</v>
      </c>
      <c r="I347">
        <v>0</v>
      </c>
      <c r="J347" t="s">
        <v>18</v>
      </c>
      <c r="K347" s="1">
        <v>45982</v>
      </c>
      <c r="L347">
        <v>5</v>
      </c>
      <c r="M347">
        <v>5</v>
      </c>
      <c r="N347">
        <v>2</v>
      </c>
      <c r="O347">
        <v>6</v>
      </c>
      <c r="P347" t="str">
        <f t="shared" si="10"/>
        <v>Detractor</v>
      </c>
      <c r="Q347">
        <v>10</v>
      </c>
      <c r="R347" t="s">
        <v>1034</v>
      </c>
      <c r="S347">
        <v>10</v>
      </c>
      <c r="T347" t="s">
        <v>1034</v>
      </c>
      <c r="U347" t="str">
        <f t="shared" si="11"/>
        <v>Yes</v>
      </c>
    </row>
    <row r="348" spans="1:21" x14ac:dyDescent="0.3">
      <c r="A348" t="s">
        <v>413</v>
      </c>
      <c r="B348" t="s">
        <v>29</v>
      </c>
      <c r="C348" t="s">
        <v>16</v>
      </c>
      <c r="D348" s="1">
        <v>45952</v>
      </c>
      <c r="E348" s="1">
        <v>45954</v>
      </c>
      <c r="F348" s="1">
        <v>45955</v>
      </c>
      <c r="G348" s="1">
        <v>45959</v>
      </c>
      <c r="H348" t="s">
        <v>17</v>
      </c>
      <c r="I348">
        <v>0</v>
      </c>
      <c r="J348" t="s">
        <v>18</v>
      </c>
      <c r="K348" s="1">
        <v>45977</v>
      </c>
      <c r="L348">
        <v>2</v>
      </c>
      <c r="M348">
        <v>1</v>
      </c>
      <c r="N348">
        <v>4</v>
      </c>
      <c r="O348">
        <v>4</v>
      </c>
      <c r="P348" t="str">
        <f t="shared" si="10"/>
        <v>Detractor</v>
      </c>
      <c r="Q348">
        <v>10</v>
      </c>
      <c r="R348" t="s">
        <v>1034</v>
      </c>
      <c r="S348">
        <v>10</v>
      </c>
      <c r="T348" t="s">
        <v>1034</v>
      </c>
      <c r="U348" t="str">
        <f t="shared" si="11"/>
        <v>Yes</v>
      </c>
    </row>
    <row r="349" spans="1:21" x14ac:dyDescent="0.3">
      <c r="A349" t="s">
        <v>546</v>
      </c>
      <c r="B349" t="s">
        <v>22</v>
      </c>
      <c r="C349" t="s">
        <v>474</v>
      </c>
      <c r="D349" s="1">
        <v>45934</v>
      </c>
      <c r="E349" s="1">
        <v>45937</v>
      </c>
      <c r="F349" s="1">
        <v>45938</v>
      </c>
      <c r="G349" s="1">
        <v>45945</v>
      </c>
      <c r="H349" t="s">
        <v>17</v>
      </c>
      <c r="I349">
        <v>0</v>
      </c>
      <c r="J349" t="s">
        <v>18</v>
      </c>
      <c r="K349" s="1">
        <v>45965</v>
      </c>
      <c r="L349">
        <v>3</v>
      </c>
      <c r="M349">
        <v>1</v>
      </c>
      <c r="N349">
        <v>7</v>
      </c>
      <c r="O349">
        <v>8</v>
      </c>
      <c r="P349" t="str">
        <f t="shared" si="10"/>
        <v>Passive</v>
      </c>
      <c r="Q349">
        <v>10</v>
      </c>
      <c r="R349" t="s">
        <v>1034</v>
      </c>
      <c r="S349">
        <v>10</v>
      </c>
      <c r="T349" t="s">
        <v>1034</v>
      </c>
      <c r="U349" t="str">
        <f t="shared" si="11"/>
        <v>Yes</v>
      </c>
    </row>
    <row r="350" spans="1:21" x14ac:dyDescent="0.3">
      <c r="A350" t="s">
        <v>348</v>
      </c>
      <c r="B350" t="s">
        <v>29</v>
      </c>
      <c r="C350" t="s">
        <v>16</v>
      </c>
      <c r="D350" s="1">
        <v>45958</v>
      </c>
      <c r="E350" s="1">
        <v>45959</v>
      </c>
      <c r="F350" s="1">
        <v>45963</v>
      </c>
      <c r="G350" s="1">
        <v>45970</v>
      </c>
      <c r="H350" t="s">
        <v>17</v>
      </c>
      <c r="I350">
        <v>0</v>
      </c>
      <c r="J350" t="s">
        <v>18</v>
      </c>
      <c r="K350" s="1">
        <v>45982</v>
      </c>
      <c r="L350">
        <v>1</v>
      </c>
      <c r="M350">
        <v>4</v>
      </c>
      <c r="N350">
        <v>7</v>
      </c>
      <c r="O350">
        <v>4</v>
      </c>
      <c r="P350" t="str">
        <f t="shared" si="10"/>
        <v>Detractor</v>
      </c>
      <c r="Q350">
        <v>10</v>
      </c>
      <c r="R350" t="s">
        <v>1034</v>
      </c>
      <c r="S350">
        <v>11</v>
      </c>
      <c r="T350" t="s">
        <v>1035</v>
      </c>
      <c r="U350" t="str">
        <f t="shared" si="11"/>
        <v>Yes</v>
      </c>
    </row>
    <row r="351" spans="1:21" x14ac:dyDescent="0.3">
      <c r="A351" t="s">
        <v>164</v>
      </c>
      <c r="B351" t="s">
        <v>15</v>
      </c>
      <c r="C351" t="s">
        <v>16</v>
      </c>
      <c r="D351" s="1">
        <v>45936</v>
      </c>
      <c r="E351" s="1">
        <v>45941</v>
      </c>
      <c r="F351" s="1">
        <v>45942</v>
      </c>
      <c r="G351" s="1">
        <v>45945</v>
      </c>
      <c r="H351" t="s">
        <v>17</v>
      </c>
      <c r="I351">
        <v>0</v>
      </c>
      <c r="J351" t="s">
        <v>18</v>
      </c>
      <c r="K351" s="1">
        <v>45957</v>
      </c>
      <c r="L351">
        <v>5</v>
      </c>
      <c r="M351">
        <v>1</v>
      </c>
      <c r="N351">
        <v>3</v>
      </c>
      <c r="O351">
        <v>6</v>
      </c>
      <c r="P351" t="str">
        <f t="shared" si="10"/>
        <v>Detractor</v>
      </c>
      <c r="Q351">
        <v>10</v>
      </c>
      <c r="R351" t="s">
        <v>1034</v>
      </c>
      <c r="S351">
        <v>10</v>
      </c>
      <c r="T351" t="s">
        <v>1034</v>
      </c>
      <c r="U351" t="str">
        <f t="shared" si="11"/>
        <v>Yes</v>
      </c>
    </row>
    <row r="352" spans="1:21" x14ac:dyDescent="0.3">
      <c r="A352" t="s">
        <v>787</v>
      </c>
      <c r="B352" t="s">
        <v>15</v>
      </c>
      <c r="C352" t="s">
        <v>16</v>
      </c>
      <c r="D352" s="1">
        <v>45941</v>
      </c>
      <c r="E352" s="1">
        <v>45943</v>
      </c>
      <c r="F352" s="1">
        <v>45946</v>
      </c>
      <c r="G352" s="1">
        <v>45948</v>
      </c>
      <c r="H352" t="s">
        <v>752</v>
      </c>
      <c r="I352">
        <v>1</v>
      </c>
      <c r="J352" t="s">
        <v>758</v>
      </c>
      <c r="K352" s="1"/>
      <c r="L352">
        <v>2</v>
      </c>
      <c r="M352">
        <v>3</v>
      </c>
      <c r="N352">
        <v>2</v>
      </c>
      <c r="P352" t="str">
        <f t="shared" si="10"/>
        <v>Not Applicable</v>
      </c>
      <c r="Q352">
        <v>10</v>
      </c>
      <c r="R352" t="s">
        <v>1034</v>
      </c>
      <c r="S352">
        <v>10</v>
      </c>
      <c r="T352" t="s">
        <v>1034</v>
      </c>
      <c r="U352" t="str">
        <f t="shared" si="11"/>
        <v>No</v>
      </c>
    </row>
    <row r="353" spans="1:21" x14ac:dyDescent="0.3">
      <c r="A353" t="s">
        <v>788</v>
      </c>
      <c r="B353" t="s">
        <v>27</v>
      </c>
      <c r="C353" t="s">
        <v>16</v>
      </c>
      <c r="D353" s="1">
        <v>45944</v>
      </c>
      <c r="E353" s="1">
        <v>45947</v>
      </c>
      <c r="F353" s="1">
        <v>45951</v>
      </c>
      <c r="G353" s="1">
        <v>45956</v>
      </c>
      <c r="H353" t="s">
        <v>752</v>
      </c>
      <c r="I353">
        <v>1</v>
      </c>
      <c r="J353" t="s">
        <v>753</v>
      </c>
      <c r="K353" s="1"/>
      <c r="L353">
        <v>3</v>
      </c>
      <c r="M353">
        <v>4</v>
      </c>
      <c r="N353">
        <v>5</v>
      </c>
      <c r="P353" t="str">
        <f t="shared" si="10"/>
        <v>Not Applicable</v>
      </c>
      <c r="Q353">
        <v>10</v>
      </c>
      <c r="R353" t="s">
        <v>1034</v>
      </c>
      <c r="S353">
        <v>10</v>
      </c>
      <c r="T353" t="s">
        <v>1034</v>
      </c>
      <c r="U353" t="str">
        <f t="shared" si="11"/>
        <v>No</v>
      </c>
    </row>
    <row r="354" spans="1:21" x14ac:dyDescent="0.3">
      <c r="A354" t="s">
        <v>62</v>
      </c>
      <c r="B354" t="s">
        <v>15</v>
      </c>
      <c r="C354" t="s">
        <v>16</v>
      </c>
      <c r="D354" s="1">
        <v>45953</v>
      </c>
      <c r="E354" s="1">
        <v>45956</v>
      </c>
      <c r="F354" s="1">
        <v>45958</v>
      </c>
      <c r="G354" s="1">
        <v>45965</v>
      </c>
      <c r="H354" t="s">
        <v>17</v>
      </c>
      <c r="I354">
        <v>0</v>
      </c>
      <c r="J354" t="s">
        <v>18</v>
      </c>
      <c r="K354" s="1">
        <v>45987</v>
      </c>
      <c r="L354">
        <v>3</v>
      </c>
      <c r="M354">
        <v>2</v>
      </c>
      <c r="N354">
        <v>7</v>
      </c>
      <c r="O354">
        <v>5</v>
      </c>
      <c r="P354" t="str">
        <f t="shared" si="10"/>
        <v>Detractor</v>
      </c>
      <c r="Q354">
        <v>10</v>
      </c>
      <c r="R354" t="s">
        <v>1034</v>
      </c>
      <c r="S354">
        <v>11</v>
      </c>
      <c r="T354" t="s">
        <v>1035</v>
      </c>
      <c r="U354" t="str">
        <f t="shared" si="11"/>
        <v>Yes</v>
      </c>
    </row>
    <row r="355" spans="1:21" x14ac:dyDescent="0.3">
      <c r="A355" t="s">
        <v>916</v>
      </c>
      <c r="B355" t="s">
        <v>22</v>
      </c>
      <c r="C355" t="s">
        <v>841</v>
      </c>
      <c r="D355" s="1">
        <v>45946</v>
      </c>
      <c r="E355" s="1"/>
      <c r="F355" s="1"/>
      <c r="G355" s="1"/>
      <c r="H355" t="s">
        <v>752</v>
      </c>
      <c r="I355">
        <v>1</v>
      </c>
      <c r="J355" t="s">
        <v>777</v>
      </c>
      <c r="K355" s="1"/>
      <c r="P355" t="str">
        <f t="shared" si="10"/>
        <v>Not Applicable</v>
      </c>
      <c r="R355" t="s">
        <v>1036</v>
      </c>
      <c r="T355" t="s">
        <v>1036</v>
      </c>
      <c r="U355" t="str">
        <f t="shared" si="11"/>
        <v>No</v>
      </c>
    </row>
    <row r="356" spans="1:21" x14ac:dyDescent="0.3">
      <c r="A356" t="s">
        <v>547</v>
      </c>
      <c r="B356" t="s">
        <v>15</v>
      </c>
      <c r="C356" t="s">
        <v>474</v>
      </c>
      <c r="D356" s="1">
        <v>45940</v>
      </c>
      <c r="E356" s="1">
        <v>45944</v>
      </c>
      <c r="F356" s="1">
        <v>45946</v>
      </c>
      <c r="G356" s="1">
        <v>45950</v>
      </c>
      <c r="H356" t="s">
        <v>17</v>
      </c>
      <c r="I356">
        <v>0</v>
      </c>
      <c r="J356" t="s">
        <v>18</v>
      </c>
      <c r="K356" s="1">
        <v>45977</v>
      </c>
      <c r="L356">
        <v>4</v>
      </c>
      <c r="M356">
        <v>2</v>
      </c>
      <c r="N356">
        <v>4</v>
      </c>
      <c r="O356">
        <v>2</v>
      </c>
      <c r="P356" t="str">
        <f t="shared" si="10"/>
        <v>Detractor</v>
      </c>
      <c r="Q356">
        <v>10</v>
      </c>
      <c r="R356" t="s">
        <v>1034</v>
      </c>
      <c r="S356">
        <v>10</v>
      </c>
      <c r="T356" t="s">
        <v>1034</v>
      </c>
      <c r="U356" t="str">
        <f t="shared" si="11"/>
        <v>Yes</v>
      </c>
    </row>
    <row r="357" spans="1:21" x14ac:dyDescent="0.3">
      <c r="A357" t="s">
        <v>414</v>
      </c>
      <c r="B357" t="s">
        <v>29</v>
      </c>
      <c r="C357" t="s">
        <v>16</v>
      </c>
      <c r="D357" s="1">
        <v>45952</v>
      </c>
      <c r="E357" s="1">
        <v>45954</v>
      </c>
      <c r="F357" s="1">
        <v>45958</v>
      </c>
      <c r="G357" s="1">
        <v>45965</v>
      </c>
      <c r="H357" t="s">
        <v>17</v>
      </c>
      <c r="I357">
        <v>0</v>
      </c>
      <c r="J357" t="s">
        <v>18</v>
      </c>
      <c r="K357" s="1">
        <v>45987</v>
      </c>
      <c r="L357">
        <v>2</v>
      </c>
      <c r="M357">
        <v>4</v>
      </c>
      <c r="N357">
        <v>7</v>
      </c>
      <c r="O357">
        <v>3</v>
      </c>
      <c r="P357" t="str">
        <f t="shared" si="10"/>
        <v>Detractor</v>
      </c>
      <c r="Q357">
        <v>10</v>
      </c>
      <c r="R357" t="s">
        <v>1034</v>
      </c>
      <c r="S357">
        <v>11</v>
      </c>
      <c r="T357" t="s">
        <v>1035</v>
      </c>
      <c r="U357" t="str">
        <f t="shared" si="11"/>
        <v>Yes</v>
      </c>
    </row>
    <row r="358" spans="1:21" x14ac:dyDescent="0.3">
      <c r="A358" t="s">
        <v>165</v>
      </c>
      <c r="B358" t="s">
        <v>15</v>
      </c>
      <c r="C358" t="s">
        <v>16</v>
      </c>
      <c r="D358" s="1">
        <v>45961</v>
      </c>
      <c r="E358" s="1">
        <v>45966</v>
      </c>
      <c r="F358" s="1">
        <v>45969</v>
      </c>
      <c r="G358" s="1">
        <v>45976</v>
      </c>
      <c r="H358" t="s">
        <v>17</v>
      </c>
      <c r="I358">
        <v>0</v>
      </c>
      <c r="J358" t="s">
        <v>18</v>
      </c>
      <c r="K358" s="1">
        <v>46003</v>
      </c>
      <c r="L358">
        <v>5</v>
      </c>
      <c r="M358">
        <v>3</v>
      </c>
      <c r="N358">
        <v>7</v>
      </c>
      <c r="O358">
        <v>10</v>
      </c>
      <c r="P358" t="str">
        <f t="shared" si="10"/>
        <v>Promoter</v>
      </c>
      <c r="Q358">
        <v>11</v>
      </c>
      <c r="R358" t="s">
        <v>1035</v>
      </c>
      <c r="S358">
        <v>11</v>
      </c>
      <c r="T358" t="s">
        <v>1035</v>
      </c>
      <c r="U358" t="str">
        <f t="shared" si="11"/>
        <v>Yes</v>
      </c>
    </row>
    <row r="359" spans="1:21" x14ac:dyDescent="0.3">
      <c r="A359" t="s">
        <v>349</v>
      </c>
      <c r="B359" t="s">
        <v>27</v>
      </c>
      <c r="C359" t="s">
        <v>16</v>
      </c>
      <c r="D359" s="1">
        <v>45943</v>
      </c>
      <c r="E359" s="1">
        <v>45944</v>
      </c>
      <c r="F359" s="1">
        <v>45948</v>
      </c>
      <c r="G359" s="1">
        <v>45951</v>
      </c>
      <c r="H359" t="s">
        <v>17</v>
      </c>
      <c r="I359">
        <v>0</v>
      </c>
      <c r="J359" t="s">
        <v>18</v>
      </c>
      <c r="K359" s="1">
        <v>45971</v>
      </c>
      <c r="L359">
        <v>1</v>
      </c>
      <c r="M359">
        <v>4</v>
      </c>
      <c r="N359">
        <v>3</v>
      </c>
      <c r="O359">
        <v>3</v>
      </c>
      <c r="P359" t="str">
        <f t="shared" si="10"/>
        <v>Detractor</v>
      </c>
      <c r="Q359">
        <v>10</v>
      </c>
      <c r="R359" t="s">
        <v>1034</v>
      </c>
      <c r="S359">
        <v>10</v>
      </c>
      <c r="T359" t="s">
        <v>1034</v>
      </c>
      <c r="U359" t="str">
        <f t="shared" si="11"/>
        <v>Yes</v>
      </c>
    </row>
    <row r="360" spans="1:21" x14ac:dyDescent="0.3">
      <c r="A360" t="s">
        <v>917</v>
      </c>
      <c r="B360" t="s">
        <v>15</v>
      </c>
      <c r="C360" t="s">
        <v>841</v>
      </c>
      <c r="D360" s="1">
        <v>45957</v>
      </c>
      <c r="E360" s="1"/>
      <c r="F360" s="1"/>
      <c r="G360" s="1"/>
      <c r="H360" t="s">
        <v>752</v>
      </c>
      <c r="I360">
        <v>1</v>
      </c>
      <c r="J360" t="s">
        <v>758</v>
      </c>
      <c r="K360" s="1"/>
      <c r="P360" t="str">
        <f t="shared" si="10"/>
        <v>Not Applicable</v>
      </c>
      <c r="R360" t="s">
        <v>1036</v>
      </c>
      <c r="T360" t="s">
        <v>1036</v>
      </c>
      <c r="U360" t="str">
        <f t="shared" si="11"/>
        <v>No</v>
      </c>
    </row>
    <row r="361" spans="1:21" x14ac:dyDescent="0.3">
      <c r="A361" t="s">
        <v>548</v>
      </c>
      <c r="B361" t="s">
        <v>29</v>
      </c>
      <c r="C361" t="s">
        <v>474</v>
      </c>
      <c r="D361" s="1">
        <v>45955</v>
      </c>
      <c r="E361" s="1">
        <v>45958</v>
      </c>
      <c r="F361" s="1">
        <v>45962</v>
      </c>
      <c r="G361" s="1">
        <v>45967</v>
      </c>
      <c r="H361" t="s">
        <v>17</v>
      </c>
      <c r="I361">
        <v>0</v>
      </c>
      <c r="J361" t="s">
        <v>18</v>
      </c>
      <c r="K361" s="1">
        <v>45985</v>
      </c>
      <c r="L361">
        <v>3</v>
      </c>
      <c r="M361">
        <v>4</v>
      </c>
      <c r="N361">
        <v>5</v>
      </c>
      <c r="O361">
        <v>5</v>
      </c>
      <c r="P361" t="str">
        <f t="shared" si="10"/>
        <v>Detractor</v>
      </c>
      <c r="Q361">
        <v>10</v>
      </c>
      <c r="R361" t="s">
        <v>1034</v>
      </c>
      <c r="S361">
        <v>11</v>
      </c>
      <c r="T361" t="s">
        <v>1035</v>
      </c>
      <c r="U361" t="str">
        <f t="shared" si="11"/>
        <v>Yes</v>
      </c>
    </row>
    <row r="362" spans="1:21" x14ac:dyDescent="0.3">
      <c r="A362" t="s">
        <v>166</v>
      </c>
      <c r="B362" t="s">
        <v>29</v>
      </c>
      <c r="C362" t="s">
        <v>16</v>
      </c>
      <c r="D362" s="1">
        <v>45948</v>
      </c>
      <c r="E362" s="1">
        <v>45953</v>
      </c>
      <c r="F362" s="1">
        <v>45957</v>
      </c>
      <c r="G362" s="1">
        <v>45964</v>
      </c>
      <c r="H362" t="s">
        <v>17</v>
      </c>
      <c r="I362">
        <v>0</v>
      </c>
      <c r="J362" t="s">
        <v>18</v>
      </c>
      <c r="K362" s="1">
        <v>45990</v>
      </c>
      <c r="L362">
        <v>5</v>
      </c>
      <c r="M362">
        <v>4</v>
      </c>
      <c r="N362">
        <v>7</v>
      </c>
      <c r="O362">
        <v>8</v>
      </c>
      <c r="P362" t="str">
        <f t="shared" si="10"/>
        <v>Passive</v>
      </c>
      <c r="Q362">
        <v>10</v>
      </c>
      <c r="R362" t="s">
        <v>1034</v>
      </c>
      <c r="S362">
        <v>11</v>
      </c>
      <c r="T362" t="s">
        <v>1035</v>
      </c>
      <c r="U362" t="str">
        <f t="shared" si="11"/>
        <v>Yes</v>
      </c>
    </row>
    <row r="363" spans="1:21" x14ac:dyDescent="0.3">
      <c r="A363" t="s">
        <v>258</v>
      </c>
      <c r="B363" t="s">
        <v>22</v>
      </c>
      <c r="C363" t="s">
        <v>16</v>
      </c>
      <c r="D363" s="1">
        <v>45932</v>
      </c>
      <c r="E363" s="1">
        <v>45936</v>
      </c>
      <c r="F363" s="1">
        <v>45940</v>
      </c>
      <c r="G363" s="1">
        <v>45942</v>
      </c>
      <c r="H363" t="s">
        <v>17</v>
      </c>
      <c r="I363">
        <v>0</v>
      </c>
      <c r="J363" t="s">
        <v>18</v>
      </c>
      <c r="K363" s="1">
        <v>45966</v>
      </c>
      <c r="L363">
        <v>4</v>
      </c>
      <c r="M363">
        <v>4</v>
      </c>
      <c r="N363">
        <v>2</v>
      </c>
      <c r="O363">
        <v>0</v>
      </c>
      <c r="P363" t="str">
        <f t="shared" si="10"/>
        <v>Detractor</v>
      </c>
      <c r="Q363">
        <v>10</v>
      </c>
      <c r="R363" t="s">
        <v>1034</v>
      </c>
      <c r="S363">
        <v>10</v>
      </c>
      <c r="T363" t="s">
        <v>1034</v>
      </c>
      <c r="U363" t="str">
        <f t="shared" si="11"/>
        <v>Yes</v>
      </c>
    </row>
    <row r="364" spans="1:21" x14ac:dyDescent="0.3">
      <c r="A364" t="s">
        <v>63</v>
      </c>
      <c r="B364" t="s">
        <v>15</v>
      </c>
      <c r="C364" t="s">
        <v>16</v>
      </c>
      <c r="D364" s="1">
        <v>45945</v>
      </c>
      <c r="E364" s="1">
        <v>45948</v>
      </c>
      <c r="F364" s="1">
        <v>45949</v>
      </c>
      <c r="G364" s="1">
        <v>45956</v>
      </c>
      <c r="H364" t="s">
        <v>17</v>
      </c>
      <c r="I364">
        <v>0</v>
      </c>
      <c r="J364" t="s">
        <v>18</v>
      </c>
      <c r="K364" s="1">
        <v>45966</v>
      </c>
      <c r="L364">
        <v>3</v>
      </c>
      <c r="M364">
        <v>1</v>
      </c>
      <c r="N364">
        <v>7</v>
      </c>
      <c r="O364">
        <v>1</v>
      </c>
      <c r="P364" t="str">
        <f t="shared" si="10"/>
        <v>Detractor</v>
      </c>
      <c r="Q364">
        <v>10</v>
      </c>
      <c r="R364" t="s">
        <v>1034</v>
      </c>
      <c r="S364">
        <v>10</v>
      </c>
      <c r="T364" t="s">
        <v>1034</v>
      </c>
      <c r="U364" t="str">
        <f t="shared" si="11"/>
        <v>Yes</v>
      </c>
    </row>
    <row r="365" spans="1:21" x14ac:dyDescent="0.3">
      <c r="A365" t="s">
        <v>415</v>
      </c>
      <c r="B365" t="s">
        <v>29</v>
      </c>
      <c r="C365" t="s">
        <v>16</v>
      </c>
      <c r="D365" s="1">
        <v>45933</v>
      </c>
      <c r="E365" s="1">
        <v>45935</v>
      </c>
      <c r="F365" s="1">
        <v>45940</v>
      </c>
      <c r="G365" s="1">
        <v>45942</v>
      </c>
      <c r="H365" t="s">
        <v>17</v>
      </c>
      <c r="I365">
        <v>0</v>
      </c>
      <c r="J365" t="s">
        <v>18</v>
      </c>
      <c r="K365" s="1">
        <v>45971</v>
      </c>
      <c r="L365">
        <v>2</v>
      </c>
      <c r="M365">
        <v>5</v>
      </c>
      <c r="N365">
        <v>2</v>
      </c>
      <c r="O365">
        <v>4</v>
      </c>
      <c r="P365" t="str">
        <f t="shared" si="10"/>
        <v>Detractor</v>
      </c>
      <c r="Q365">
        <v>10</v>
      </c>
      <c r="R365" t="s">
        <v>1034</v>
      </c>
      <c r="S365">
        <v>10</v>
      </c>
      <c r="T365" t="s">
        <v>1034</v>
      </c>
      <c r="U365" t="str">
        <f t="shared" si="11"/>
        <v>Yes</v>
      </c>
    </row>
    <row r="366" spans="1:21" x14ac:dyDescent="0.3">
      <c r="A366" t="s">
        <v>167</v>
      </c>
      <c r="B366" t="s">
        <v>27</v>
      </c>
      <c r="C366" t="s">
        <v>16</v>
      </c>
      <c r="D366" s="1">
        <v>45941</v>
      </c>
      <c r="E366" s="1">
        <v>45946</v>
      </c>
      <c r="F366" s="1">
        <v>45948</v>
      </c>
      <c r="G366" s="1">
        <v>45950</v>
      </c>
      <c r="H366" t="s">
        <v>17</v>
      </c>
      <c r="I366">
        <v>0</v>
      </c>
      <c r="J366" t="s">
        <v>18</v>
      </c>
      <c r="K366" s="1">
        <v>45978</v>
      </c>
      <c r="L366">
        <v>5</v>
      </c>
      <c r="M366">
        <v>2</v>
      </c>
      <c r="N366">
        <v>2</v>
      </c>
      <c r="O366">
        <v>5</v>
      </c>
      <c r="P366" t="str">
        <f t="shared" si="10"/>
        <v>Detractor</v>
      </c>
      <c r="Q366">
        <v>10</v>
      </c>
      <c r="R366" t="s">
        <v>1034</v>
      </c>
      <c r="S366">
        <v>10</v>
      </c>
      <c r="T366" t="s">
        <v>1034</v>
      </c>
      <c r="U366" t="str">
        <f t="shared" si="11"/>
        <v>Yes</v>
      </c>
    </row>
    <row r="367" spans="1:21" x14ac:dyDescent="0.3">
      <c r="A367" t="s">
        <v>350</v>
      </c>
      <c r="B367" t="s">
        <v>22</v>
      </c>
      <c r="C367" t="s">
        <v>16</v>
      </c>
      <c r="D367" s="1">
        <v>45939</v>
      </c>
      <c r="E367" s="1">
        <v>45940</v>
      </c>
      <c r="F367" s="1">
        <v>45943</v>
      </c>
      <c r="G367" s="1">
        <v>45946</v>
      </c>
      <c r="H367" t="s">
        <v>17</v>
      </c>
      <c r="I367">
        <v>0</v>
      </c>
      <c r="J367" t="s">
        <v>18</v>
      </c>
      <c r="K367" s="1">
        <v>45972</v>
      </c>
      <c r="L367">
        <v>1</v>
      </c>
      <c r="M367">
        <v>3</v>
      </c>
      <c r="N367">
        <v>3</v>
      </c>
      <c r="O367">
        <v>10</v>
      </c>
      <c r="P367" t="str">
        <f t="shared" si="10"/>
        <v>Promoter</v>
      </c>
      <c r="Q367">
        <v>10</v>
      </c>
      <c r="R367" t="s">
        <v>1034</v>
      </c>
      <c r="S367">
        <v>10</v>
      </c>
      <c r="T367" t="s">
        <v>1034</v>
      </c>
      <c r="U367" t="str">
        <f t="shared" si="11"/>
        <v>Yes</v>
      </c>
    </row>
    <row r="368" spans="1:21" x14ac:dyDescent="0.3">
      <c r="A368" t="s">
        <v>259</v>
      </c>
      <c r="B368" t="s">
        <v>27</v>
      </c>
      <c r="C368" t="s">
        <v>16</v>
      </c>
      <c r="D368" s="1">
        <v>45941</v>
      </c>
      <c r="E368" s="1">
        <v>45945</v>
      </c>
      <c r="F368" s="1">
        <v>45946</v>
      </c>
      <c r="G368" s="1">
        <v>45951</v>
      </c>
      <c r="H368" t="s">
        <v>17</v>
      </c>
      <c r="I368">
        <v>0</v>
      </c>
      <c r="J368" t="s">
        <v>18</v>
      </c>
      <c r="K368" s="1">
        <v>45974</v>
      </c>
      <c r="L368">
        <v>4</v>
      </c>
      <c r="M368">
        <v>1</v>
      </c>
      <c r="N368">
        <v>5</v>
      </c>
      <c r="O368">
        <v>3</v>
      </c>
      <c r="P368" t="str">
        <f t="shared" si="10"/>
        <v>Detractor</v>
      </c>
      <c r="Q368">
        <v>10</v>
      </c>
      <c r="R368" t="s">
        <v>1034</v>
      </c>
      <c r="S368">
        <v>10</v>
      </c>
      <c r="T368" t="s">
        <v>1034</v>
      </c>
      <c r="U368" t="str">
        <f t="shared" si="11"/>
        <v>Yes</v>
      </c>
    </row>
    <row r="369" spans="1:21" x14ac:dyDescent="0.3">
      <c r="A369" t="s">
        <v>789</v>
      </c>
      <c r="B369" t="s">
        <v>15</v>
      </c>
      <c r="C369" t="s">
        <v>474</v>
      </c>
      <c r="D369" s="1">
        <v>45934</v>
      </c>
      <c r="E369" s="1">
        <v>45939</v>
      </c>
      <c r="F369" s="1">
        <v>45941</v>
      </c>
      <c r="G369" s="1">
        <v>45943</v>
      </c>
      <c r="H369" t="s">
        <v>752</v>
      </c>
      <c r="I369">
        <v>1</v>
      </c>
      <c r="J369" t="s">
        <v>777</v>
      </c>
      <c r="K369" s="1"/>
      <c r="L369">
        <v>5</v>
      </c>
      <c r="M369">
        <v>2</v>
      </c>
      <c r="N369">
        <v>2</v>
      </c>
      <c r="P369" t="str">
        <f t="shared" si="10"/>
        <v>Not Applicable</v>
      </c>
      <c r="Q369">
        <v>10</v>
      </c>
      <c r="R369" t="s">
        <v>1034</v>
      </c>
      <c r="S369">
        <v>10</v>
      </c>
      <c r="T369" t="s">
        <v>1034</v>
      </c>
      <c r="U369" t="str">
        <f t="shared" si="11"/>
        <v>No</v>
      </c>
    </row>
    <row r="370" spans="1:21" x14ac:dyDescent="0.3">
      <c r="A370" t="s">
        <v>64</v>
      </c>
      <c r="B370" t="s">
        <v>15</v>
      </c>
      <c r="C370" t="s">
        <v>16</v>
      </c>
      <c r="D370" s="1">
        <v>45955</v>
      </c>
      <c r="E370" s="1">
        <v>45958</v>
      </c>
      <c r="F370" s="1">
        <v>45963</v>
      </c>
      <c r="G370" s="1">
        <v>45966</v>
      </c>
      <c r="H370" t="s">
        <v>17</v>
      </c>
      <c r="I370">
        <v>0</v>
      </c>
      <c r="J370" t="s">
        <v>18</v>
      </c>
      <c r="K370" s="1">
        <v>45979</v>
      </c>
      <c r="L370">
        <v>3</v>
      </c>
      <c r="M370">
        <v>5</v>
      </c>
      <c r="N370">
        <v>3</v>
      </c>
      <c r="O370">
        <v>10</v>
      </c>
      <c r="P370" t="str">
        <f t="shared" si="10"/>
        <v>Promoter</v>
      </c>
      <c r="Q370">
        <v>10</v>
      </c>
      <c r="R370" t="s">
        <v>1034</v>
      </c>
      <c r="S370">
        <v>11</v>
      </c>
      <c r="T370" t="s">
        <v>1035</v>
      </c>
      <c r="U370" t="str">
        <f t="shared" si="11"/>
        <v>Yes</v>
      </c>
    </row>
    <row r="371" spans="1:21" x14ac:dyDescent="0.3">
      <c r="A371" t="s">
        <v>549</v>
      </c>
      <c r="B371" t="s">
        <v>15</v>
      </c>
      <c r="C371" t="s">
        <v>474</v>
      </c>
      <c r="D371" s="1">
        <v>45943</v>
      </c>
      <c r="E371" s="1">
        <v>45944</v>
      </c>
      <c r="F371" s="1">
        <v>45948</v>
      </c>
      <c r="G371" s="1">
        <v>45954</v>
      </c>
      <c r="H371" t="s">
        <v>17</v>
      </c>
      <c r="I371">
        <v>0</v>
      </c>
      <c r="J371" t="s">
        <v>18</v>
      </c>
      <c r="K371" s="1">
        <v>45977</v>
      </c>
      <c r="L371">
        <v>1</v>
      </c>
      <c r="M371">
        <v>4</v>
      </c>
      <c r="N371">
        <v>6</v>
      </c>
      <c r="O371">
        <v>4</v>
      </c>
      <c r="P371" t="str">
        <f t="shared" si="10"/>
        <v>Detractor</v>
      </c>
      <c r="Q371">
        <v>10</v>
      </c>
      <c r="R371" t="s">
        <v>1034</v>
      </c>
      <c r="S371">
        <v>10</v>
      </c>
      <c r="T371" t="s">
        <v>1034</v>
      </c>
      <c r="U371" t="str">
        <f t="shared" si="11"/>
        <v>Yes</v>
      </c>
    </row>
    <row r="372" spans="1:21" x14ac:dyDescent="0.3">
      <c r="A372" t="s">
        <v>65</v>
      </c>
      <c r="B372" t="s">
        <v>22</v>
      </c>
      <c r="C372" t="s">
        <v>16</v>
      </c>
      <c r="D372" s="1">
        <v>45958</v>
      </c>
      <c r="E372" s="1">
        <v>45961</v>
      </c>
      <c r="F372" s="1">
        <v>45966</v>
      </c>
      <c r="G372" s="1">
        <v>45969</v>
      </c>
      <c r="H372" t="s">
        <v>17</v>
      </c>
      <c r="I372">
        <v>0</v>
      </c>
      <c r="J372" t="s">
        <v>18</v>
      </c>
      <c r="K372" s="1">
        <v>45983</v>
      </c>
      <c r="L372">
        <v>3</v>
      </c>
      <c r="M372">
        <v>5</v>
      </c>
      <c r="N372">
        <v>3</v>
      </c>
      <c r="O372">
        <v>7</v>
      </c>
      <c r="P372" t="str">
        <f t="shared" si="10"/>
        <v>Passive</v>
      </c>
      <c r="Q372">
        <v>10</v>
      </c>
      <c r="R372" t="s">
        <v>1034</v>
      </c>
      <c r="S372">
        <v>11</v>
      </c>
      <c r="T372" t="s">
        <v>1035</v>
      </c>
      <c r="U372" t="str">
        <f t="shared" si="11"/>
        <v>Yes</v>
      </c>
    </row>
    <row r="373" spans="1:21" x14ac:dyDescent="0.3">
      <c r="A373" t="s">
        <v>66</v>
      </c>
      <c r="B373" t="s">
        <v>29</v>
      </c>
      <c r="C373" t="s">
        <v>16</v>
      </c>
      <c r="D373" s="1">
        <v>45947</v>
      </c>
      <c r="E373" s="1">
        <v>45950</v>
      </c>
      <c r="F373" s="1">
        <v>45952</v>
      </c>
      <c r="G373" s="1">
        <v>45958</v>
      </c>
      <c r="H373" t="s">
        <v>17</v>
      </c>
      <c r="I373">
        <v>0</v>
      </c>
      <c r="J373" t="s">
        <v>18</v>
      </c>
      <c r="K373" s="1">
        <v>45972</v>
      </c>
      <c r="L373">
        <v>3</v>
      </c>
      <c r="M373">
        <v>2</v>
      </c>
      <c r="N373">
        <v>6</v>
      </c>
      <c r="O373">
        <v>1</v>
      </c>
      <c r="P373" t="str">
        <f t="shared" si="10"/>
        <v>Detractor</v>
      </c>
      <c r="Q373">
        <v>10</v>
      </c>
      <c r="R373" t="s">
        <v>1034</v>
      </c>
      <c r="S373">
        <v>10</v>
      </c>
      <c r="T373" t="s">
        <v>1034</v>
      </c>
      <c r="U373" t="str">
        <f t="shared" si="11"/>
        <v>Yes</v>
      </c>
    </row>
    <row r="374" spans="1:21" x14ac:dyDescent="0.3">
      <c r="A374" t="s">
        <v>416</v>
      </c>
      <c r="B374" t="s">
        <v>22</v>
      </c>
      <c r="C374" t="s">
        <v>16</v>
      </c>
      <c r="D374" s="1">
        <v>45957</v>
      </c>
      <c r="E374" s="1">
        <v>45959</v>
      </c>
      <c r="F374" s="1">
        <v>45961</v>
      </c>
      <c r="G374" s="1">
        <v>45968</v>
      </c>
      <c r="H374" t="s">
        <v>17</v>
      </c>
      <c r="I374">
        <v>0</v>
      </c>
      <c r="J374" t="s">
        <v>18</v>
      </c>
      <c r="K374" s="1">
        <v>45996</v>
      </c>
      <c r="L374">
        <v>2</v>
      </c>
      <c r="M374">
        <v>2</v>
      </c>
      <c r="N374">
        <v>7</v>
      </c>
      <c r="O374">
        <v>5</v>
      </c>
      <c r="P374" t="str">
        <f t="shared" si="10"/>
        <v>Detractor</v>
      </c>
      <c r="Q374">
        <v>10</v>
      </c>
      <c r="R374" t="s">
        <v>1034</v>
      </c>
      <c r="S374">
        <v>11</v>
      </c>
      <c r="T374" t="s">
        <v>1035</v>
      </c>
      <c r="U374" t="str">
        <f t="shared" si="11"/>
        <v>Yes</v>
      </c>
    </row>
    <row r="375" spans="1:21" x14ac:dyDescent="0.3">
      <c r="A375" t="s">
        <v>417</v>
      </c>
      <c r="B375" t="s">
        <v>27</v>
      </c>
      <c r="C375" t="s">
        <v>16</v>
      </c>
      <c r="D375" s="1">
        <v>45931</v>
      </c>
      <c r="E375" s="1">
        <v>45933</v>
      </c>
      <c r="F375" s="1">
        <v>45934</v>
      </c>
      <c r="G375" s="1">
        <v>45939</v>
      </c>
      <c r="H375" t="s">
        <v>17</v>
      </c>
      <c r="I375">
        <v>0</v>
      </c>
      <c r="J375" t="s">
        <v>18</v>
      </c>
      <c r="K375" s="1">
        <v>45967</v>
      </c>
      <c r="L375">
        <v>2</v>
      </c>
      <c r="M375">
        <v>1</v>
      </c>
      <c r="N375">
        <v>5</v>
      </c>
      <c r="O375">
        <v>2</v>
      </c>
      <c r="P375" t="str">
        <f t="shared" si="10"/>
        <v>Detractor</v>
      </c>
      <c r="Q375">
        <v>10</v>
      </c>
      <c r="R375" t="s">
        <v>1034</v>
      </c>
      <c r="S375">
        <v>10</v>
      </c>
      <c r="T375" t="s">
        <v>1034</v>
      </c>
      <c r="U375" t="str">
        <f t="shared" si="11"/>
        <v>Yes</v>
      </c>
    </row>
    <row r="376" spans="1:21" x14ac:dyDescent="0.3">
      <c r="A376" t="s">
        <v>550</v>
      </c>
      <c r="B376" t="s">
        <v>22</v>
      </c>
      <c r="C376" t="s">
        <v>474</v>
      </c>
      <c r="D376" s="1">
        <v>45952</v>
      </c>
      <c r="E376" s="1">
        <v>45955</v>
      </c>
      <c r="F376" s="1">
        <v>45956</v>
      </c>
      <c r="G376" s="1">
        <v>45958</v>
      </c>
      <c r="H376" t="s">
        <v>17</v>
      </c>
      <c r="I376">
        <v>0</v>
      </c>
      <c r="J376" t="s">
        <v>18</v>
      </c>
      <c r="K376" s="1">
        <v>45986</v>
      </c>
      <c r="L376">
        <v>3</v>
      </c>
      <c r="M376">
        <v>1</v>
      </c>
      <c r="N376">
        <v>2</v>
      </c>
      <c r="O376">
        <v>9</v>
      </c>
      <c r="P376" t="str">
        <f t="shared" si="10"/>
        <v>Promoter</v>
      </c>
      <c r="Q376">
        <v>10</v>
      </c>
      <c r="R376" t="s">
        <v>1034</v>
      </c>
      <c r="S376">
        <v>10</v>
      </c>
      <c r="T376" t="s">
        <v>1034</v>
      </c>
      <c r="U376" t="str">
        <f t="shared" si="11"/>
        <v>Yes</v>
      </c>
    </row>
    <row r="377" spans="1:21" x14ac:dyDescent="0.3">
      <c r="A377" t="s">
        <v>790</v>
      </c>
      <c r="B377" t="s">
        <v>27</v>
      </c>
      <c r="C377" t="s">
        <v>16</v>
      </c>
      <c r="D377" s="1">
        <v>45958</v>
      </c>
      <c r="E377" s="1">
        <v>45962</v>
      </c>
      <c r="F377" s="1">
        <v>45965</v>
      </c>
      <c r="G377" s="1">
        <v>45967</v>
      </c>
      <c r="H377" t="s">
        <v>752</v>
      </c>
      <c r="I377">
        <v>1</v>
      </c>
      <c r="J377" t="s">
        <v>753</v>
      </c>
      <c r="K377" s="1"/>
      <c r="L377">
        <v>4</v>
      </c>
      <c r="M377">
        <v>3</v>
      </c>
      <c r="N377">
        <v>2</v>
      </c>
      <c r="P377" t="str">
        <f t="shared" si="10"/>
        <v>Not Applicable</v>
      </c>
      <c r="Q377">
        <v>11</v>
      </c>
      <c r="R377" t="s">
        <v>1035</v>
      </c>
      <c r="S377">
        <v>11</v>
      </c>
      <c r="T377" t="s">
        <v>1035</v>
      </c>
      <c r="U377" t="str">
        <f t="shared" si="11"/>
        <v>No</v>
      </c>
    </row>
    <row r="378" spans="1:21" x14ac:dyDescent="0.3">
      <c r="A378" t="s">
        <v>418</v>
      </c>
      <c r="B378" t="s">
        <v>22</v>
      </c>
      <c r="C378" t="s">
        <v>16</v>
      </c>
      <c r="D378" s="1">
        <v>45948</v>
      </c>
      <c r="E378" s="1">
        <v>45950</v>
      </c>
      <c r="F378" s="1">
        <v>45954</v>
      </c>
      <c r="G378" s="1">
        <v>45961</v>
      </c>
      <c r="H378" t="s">
        <v>17</v>
      </c>
      <c r="I378">
        <v>0</v>
      </c>
      <c r="J378" t="s">
        <v>18</v>
      </c>
      <c r="K378" s="1">
        <v>45974</v>
      </c>
      <c r="L378">
        <v>2</v>
      </c>
      <c r="M378">
        <v>4</v>
      </c>
      <c r="N378">
        <v>7</v>
      </c>
      <c r="O378">
        <v>3</v>
      </c>
      <c r="P378" t="str">
        <f t="shared" si="10"/>
        <v>Detractor</v>
      </c>
      <c r="Q378">
        <v>10</v>
      </c>
      <c r="R378" t="s">
        <v>1034</v>
      </c>
      <c r="S378">
        <v>10</v>
      </c>
      <c r="T378" t="s">
        <v>1034</v>
      </c>
      <c r="U378" t="str">
        <f t="shared" si="11"/>
        <v>Yes</v>
      </c>
    </row>
    <row r="379" spans="1:21" x14ac:dyDescent="0.3">
      <c r="A379" t="s">
        <v>419</v>
      </c>
      <c r="B379" t="s">
        <v>29</v>
      </c>
      <c r="C379" t="s">
        <v>16</v>
      </c>
      <c r="D379" s="1">
        <v>45945</v>
      </c>
      <c r="E379" s="1">
        <v>45947</v>
      </c>
      <c r="F379" s="1">
        <v>45952</v>
      </c>
      <c r="G379" s="1">
        <v>45956</v>
      </c>
      <c r="H379" t="s">
        <v>17</v>
      </c>
      <c r="I379">
        <v>0</v>
      </c>
      <c r="J379" t="s">
        <v>18</v>
      </c>
      <c r="K379" s="1">
        <v>45969</v>
      </c>
      <c r="L379">
        <v>2</v>
      </c>
      <c r="M379">
        <v>5</v>
      </c>
      <c r="N379">
        <v>4</v>
      </c>
      <c r="O379">
        <v>9</v>
      </c>
      <c r="P379" t="str">
        <f t="shared" si="10"/>
        <v>Promoter</v>
      </c>
      <c r="Q379">
        <v>10</v>
      </c>
      <c r="R379" t="s">
        <v>1034</v>
      </c>
      <c r="S379">
        <v>10</v>
      </c>
      <c r="T379" t="s">
        <v>1034</v>
      </c>
      <c r="U379" t="str">
        <f t="shared" si="11"/>
        <v>Yes</v>
      </c>
    </row>
    <row r="380" spans="1:21" x14ac:dyDescent="0.3">
      <c r="A380" t="s">
        <v>918</v>
      </c>
      <c r="B380" t="s">
        <v>27</v>
      </c>
      <c r="C380" t="s">
        <v>841</v>
      </c>
      <c r="D380" s="1">
        <v>45944</v>
      </c>
      <c r="E380" s="1"/>
      <c r="F380" s="1"/>
      <c r="G380" s="1"/>
      <c r="H380" t="s">
        <v>752</v>
      </c>
      <c r="I380">
        <v>1</v>
      </c>
      <c r="J380" t="s">
        <v>756</v>
      </c>
      <c r="K380" s="1"/>
      <c r="P380" t="str">
        <f t="shared" si="10"/>
        <v>Not Applicable</v>
      </c>
      <c r="R380" t="s">
        <v>1036</v>
      </c>
      <c r="T380" t="s">
        <v>1036</v>
      </c>
      <c r="U380" t="str">
        <f t="shared" si="11"/>
        <v>No</v>
      </c>
    </row>
    <row r="381" spans="1:21" x14ac:dyDescent="0.3">
      <c r="A381" t="s">
        <v>551</v>
      </c>
      <c r="B381" t="s">
        <v>15</v>
      </c>
      <c r="C381" t="s">
        <v>474</v>
      </c>
      <c r="D381" s="1">
        <v>45932</v>
      </c>
      <c r="E381" s="1">
        <v>45934</v>
      </c>
      <c r="F381" s="1">
        <v>45938</v>
      </c>
      <c r="G381" s="1">
        <v>45940</v>
      </c>
      <c r="H381" t="s">
        <v>17</v>
      </c>
      <c r="I381">
        <v>0</v>
      </c>
      <c r="J381" t="s">
        <v>18</v>
      </c>
      <c r="K381" s="1">
        <v>45968</v>
      </c>
      <c r="L381">
        <v>2</v>
      </c>
      <c r="M381">
        <v>4</v>
      </c>
      <c r="N381">
        <v>2</v>
      </c>
      <c r="O381">
        <v>10</v>
      </c>
      <c r="P381" t="str">
        <f t="shared" si="10"/>
        <v>Promoter</v>
      </c>
      <c r="Q381">
        <v>10</v>
      </c>
      <c r="R381" t="s">
        <v>1034</v>
      </c>
      <c r="S381">
        <v>10</v>
      </c>
      <c r="T381" t="s">
        <v>1034</v>
      </c>
      <c r="U381" t="str">
        <f t="shared" si="11"/>
        <v>Yes</v>
      </c>
    </row>
    <row r="382" spans="1:21" x14ac:dyDescent="0.3">
      <c r="A382" t="s">
        <v>420</v>
      </c>
      <c r="B382" t="s">
        <v>15</v>
      </c>
      <c r="C382" t="s">
        <v>16</v>
      </c>
      <c r="D382" s="1">
        <v>45937</v>
      </c>
      <c r="E382" s="1">
        <v>45939</v>
      </c>
      <c r="F382" s="1">
        <v>45944</v>
      </c>
      <c r="G382" s="1">
        <v>45949</v>
      </c>
      <c r="H382" t="s">
        <v>17</v>
      </c>
      <c r="I382">
        <v>0</v>
      </c>
      <c r="J382" t="s">
        <v>18</v>
      </c>
      <c r="K382" s="1">
        <v>45962</v>
      </c>
      <c r="L382">
        <v>2</v>
      </c>
      <c r="M382">
        <v>5</v>
      </c>
      <c r="N382">
        <v>5</v>
      </c>
      <c r="O382">
        <v>1</v>
      </c>
      <c r="P382" t="str">
        <f t="shared" si="10"/>
        <v>Detractor</v>
      </c>
      <c r="Q382">
        <v>10</v>
      </c>
      <c r="R382" t="s">
        <v>1034</v>
      </c>
      <c r="S382">
        <v>10</v>
      </c>
      <c r="T382" t="s">
        <v>1034</v>
      </c>
      <c r="U382" t="str">
        <f t="shared" si="11"/>
        <v>Yes</v>
      </c>
    </row>
    <row r="383" spans="1:21" x14ac:dyDescent="0.3">
      <c r="A383" t="s">
        <v>351</v>
      </c>
      <c r="B383" t="s">
        <v>22</v>
      </c>
      <c r="C383" t="s">
        <v>16</v>
      </c>
      <c r="D383" s="1">
        <v>45947</v>
      </c>
      <c r="E383" s="1">
        <v>45948</v>
      </c>
      <c r="F383" s="1">
        <v>45952</v>
      </c>
      <c r="G383" s="1">
        <v>45959</v>
      </c>
      <c r="H383" t="s">
        <v>17</v>
      </c>
      <c r="I383">
        <v>0</v>
      </c>
      <c r="J383" t="s">
        <v>18</v>
      </c>
      <c r="K383" s="1">
        <v>45978</v>
      </c>
      <c r="L383">
        <v>1</v>
      </c>
      <c r="M383">
        <v>4</v>
      </c>
      <c r="N383">
        <v>7</v>
      </c>
      <c r="O383">
        <v>8</v>
      </c>
      <c r="P383" t="str">
        <f t="shared" si="10"/>
        <v>Passive</v>
      </c>
      <c r="Q383">
        <v>10</v>
      </c>
      <c r="R383" t="s">
        <v>1034</v>
      </c>
      <c r="S383">
        <v>10</v>
      </c>
      <c r="T383" t="s">
        <v>1034</v>
      </c>
      <c r="U383" t="str">
        <f t="shared" si="11"/>
        <v>Yes</v>
      </c>
    </row>
    <row r="384" spans="1:21" x14ac:dyDescent="0.3">
      <c r="A384" t="s">
        <v>67</v>
      </c>
      <c r="B384" t="s">
        <v>15</v>
      </c>
      <c r="C384" t="s">
        <v>16</v>
      </c>
      <c r="D384" s="1">
        <v>45942</v>
      </c>
      <c r="E384" s="1">
        <v>45945</v>
      </c>
      <c r="F384" s="1">
        <v>45947</v>
      </c>
      <c r="G384" s="1">
        <v>45950</v>
      </c>
      <c r="H384" t="s">
        <v>17</v>
      </c>
      <c r="I384">
        <v>0</v>
      </c>
      <c r="J384" t="s">
        <v>18</v>
      </c>
      <c r="K384" s="1">
        <v>45977</v>
      </c>
      <c r="L384">
        <v>3</v>
      </c>
      <c r="M384">
        <v>2</v>
      </c>
      <c r="N384">
        <v>3</v>
      </c>
      <c r="O384">
        <v>4</v>
      </c>
      <c r="P384" t="str">
        <f t="shared" si="10"/>
        <v>Detractor</v>
      </c>
      <c r="Q384">
        <v>10</v>
      </c>
      <c r="R384" t="s">
        <v>1034</v>
      </c>
      <c r="S384">
        <v>10</v>
      </c>
      <c r="T384" t="s">
        <v>1034</v>
      </c>
      <c r="U384" t="str">
        <f t="shared" si="11"/>
        <v>Yes</v>
      </c>
    </row>
    <row r="385" spans="1:21" x14ac:dyDescent="0.3">
      <c r="A385" t="s">
        <v>552</v>
      </c>
      <c r="B385" t="s">
        <v>27</v>
      </c>
      <c r="C385" t="s">
        <v>474</v>
      </c>
      <c r="D385" s="1">
        <v>45950</v>
      </c>
      <c r="E385" s="1">
        <v>45951</v>
      </c>
      <c r="F385" s="1">
        <v>45953</v>
      </c>
      <c r="G385" s="1">
        <v>45958</v>
      </c>
      <c r="H385" t="s">
        <v>17</v>
      </c>
      <c r="I385">
        <v>0</v>
      </c>
      <c r="J385" t="s">
        <v>18</v>
      </c>
      <c r="K385" s="1">
        <v>45979</v>
      </c>
      <c r="L385">
        <v>1</v>
      </c>
      <c r="M385">
        <v>2</v>
      </c>
      <c r="N385">
        <v>5</v>
      </c>
      <c r="O385">
        <v>9</v>
      </c>
      <c r="P385" t="str">
        <f t="shared" si="10"/>
        <v>Promoter</v>
      </c>
      <c r="Q385">
        <v>10</v>
      </c>
      <c r="R385" t="s">
        <v>1034</v>
      </c>
      <c r="S385">
        <v>10</v>
      </c>
      <c r="T385" t="s">
        <v>1034</v>
      </c>
      <c r="U385" t="str">
        <f t="shared" si="11"/>
        <v>Yes</v>
      </c>
    </row>
    <row r="386" spans="1:21" x14ac:dyDescent="0.3">
      <c r="A386" t="s">
        <v>791</v>
      </c>
      <c r="B386" t="s">
        <v>15</v>
      </c>
      <c r="C386" t="s">
        <v>474</v>
      </c>
      <c r="D386" s="1">
        <v>45955</v>
      </c>
      <c r="E386" s="1">
        <v>45960</v>
      </c>
      <c r="F386" s="1">
        <v>45964</v>
      </c>
      <c r="G386" s="1">
        <v>45966</v>
      </c>
      <c r="H386" t="s">
        <v>752</v>
      </c>
      <c r="I386">
        <v>1</v>
      </c>
      <c r="J386" t="s">
        <v>777</v>
      </c>
      <c r="K386" s="1"/>
      <c r="L386">
        <v>5</v>
      </c>
      <c r="M386">
        <v>4</v>
      </c>
      <c r="N386">
        <v>2</v>
      </c>
      <c r="P386" t="str">
        <f t="shared" ref="P386:P449" si="12">IF(ISBLANK(O386), "Not Applicable", IF(O386&gt;=9, "Promoter", IF(O386&gt;=7, "Passive", "Detractor")))</f>
        <v>Not Applicable</v>
      </c>
      <c r="Q386">
        <v>10</v>
      </c>
      <c r="R386" t="s">
        <v>1034</v>
      </c>
      <c r="S386">
        <v>11</v>
      </c>
      <c r="T386" t="s">
        <v>1035</v>
      </c>
      <c r="U386" t="str">
        <f t="shared" ref="U386:U449" si="13">IF(
H386="Yes","No",
IF(
OR(
C386="Hot",
AND(C386="Warm",NOT(ISBLANK(E386)))
),
"Yes",
"No"
)
)</f>
        <v>No</v>
      </c>
    </row>
    <row r="387" spans="1:21" x14ac:dyDescent="0.3">
      <c r="A387" t="s">
        <v>919</v>
      </c>
      <c r="B387" t="s">
        <v>29</v>
      </c>
      <c r="C387" t="s">
        <v>841</v>
      </c>
      <c r="D387" s="1">
        <v>45946</v>
      </c>
      <c r="E387" s="1"/>
      <c r="F387" s="1"/>
      <c r="G387" s="1"/>
      <c r="H387" t="s">
        <v>752</v>
      </c>
      <c r="I387">
        <v>1</v>
      </c>
      <c r="J387" t="s">
        <v>765</v>
      </c>
      <c r="K387" s="1"/>
      <c r="P387" t="str">
        <f t="shared" si="12"/>
        <v>Not Applicable</v>
      </c>
      <c r="R387" t="s">
        <v>1036</v>
      </c>
      <c r="T387" t="s">
        <v>1036</v>
      </c>
      <c r="U387" t="str">
        <f t="shared" si="13"/>
        <v>No</v>
      </c>
    </row>
    <row r="388" spans="1:21" x14ac:dyDescent="0.3">
      <c r="A388" t="s">
        <v>168</v>
      </c>
      <c r="B388" t="s">
        <v>29</v>
      </c>
      <c r="C388" t="s">
        <v>16</v>
      </c>
      <c r="D388" s="1">
        <v>45951</v>
      </c>
      <c r="E388" s="1">
        <v>45956</v>
      </c>
      <c r="F388" s="1">
        <v>45959</v>
      </c>
      <c r="G388" s="1">
        <v>45962</v>
      </c>
      <c r="H388" t="s">
        <v>17</v>
      </c>
      <c r="I388">
        <v>0</v>
      </c>
      <c r="J388" t="s">
        <v>18</v>
      </c>
      <c r="K388" s="1">
        <v>45985</v>
      </c>
      <c r="L388">
        <v>5</v>
      </c>
      <c r="M388">
        <v>3</v>
      </c>
      <c r="N388">
        <v>3</v>
      </c>
      <c r="O388">
        <v>5</v>
      </c>
      <c r="P388" t="str">
        <f t="shared" si="12"/>
        <v>Detractor</v>
      </c>
      <c r="Q388">
        <v>10</v>
      </c>
      <c r="R388" t="s">
        <v>1034</v>
      </c>
      <c r="S388">
        <v>11</v>
      </c>
      <c r="T388" t="s">
        <v>1035</v>
      </c>
      <c r="U388" t="str">
        <f t="shared" si="13"/>
        <v>Yes</v>
      </c>
    </row>
    <row r="389" spans="1:21" x14ac:dyDescent="0.3">
      <c r="A389" t="s">
        <v>792</v>
      </c>
      <c r="B389" t="s">
        <v>22</v>
      </c>
      <c r="C389" t="s">
        <v>16</v>
      </c>
      <c r="D389" s="1">
        <v>45945</v>
      </c>
      <c r="E389" s="1">
        <v>45950</v>
      </c>
      <c r="F389" s="1">
        <v>45952</v>
      </c>
      <c r="G389" s="1">
        <v>45957</v>
      </c>
      <c r="H389" t="s">
        <v>752</v>
      </c>
      <c r="I389">
        <v>1</v>
      </c>
      <c r="J389" t="s">
        <v>765</v>
      </c>
      <c r="K389" s="1"/>
      <c r="L389">
        <v>5</v>
      </c>
      <c r="M389">
        <v>2</v>
      </c>
      <c r="N389">
        <v>5</v>
      </c>
      <c r="P389" t="str">
        <f t="shared" si="12"/>
        <v>Not Applicable</v>
      </c>
      <c r="Q389">
        <v>10</v>
      </c>
      <c r="R389" t="s">
        <v>1034</v>
      </c>
      <c r="S389">
        <v>10</v>
      </c>
      <c r="T389" t="s">
        <v>1034</v>
      </c>
      <c r="U389" t="str">
        <f t="shared" si="13"/>
        <v>No</v>
      </c>
    </row>
    <row r="390" spans="1:21" x14ac:dyDescent="0.3">
      <c r="A390" t="s">
        <v>352</v>
      </c>
      <c r="B390" t="s">
        <v>27</v>
      </c>
      <c r="C390" t="s">
        <v>16</v>
      </c>
      <c r="D390" s="1">
        <v>45955</v>
      </c>
      <c r="E390" s="1">
        <v>45956</v>
      </c>
      <c r="F390" s="1">
        <v>45959</v>
      </c>
      <c r="G390" s="1">
        <v>45961</v>
      </c>
      <c r="H390" t="s">
        <v>17</v>
      </c>
      <c r="I390">
        <v>0</v>
      </c>
      <c r="J390" t="s">
        <v>18</v>
      </c>
      <c r="K390" s="1">
        <v>45979</v>
      </c>
      <c r="L390">
        <v>1</v>
      </c>
      <c r="M390">
        <v>3</v>
      </c>
      <c r="N390">
        <v>2</v>
      </c>
      <c r="O390">
        <v>3</v>
      </c>
      <c r="P390" t="str">
        <f t="shared" si="12"/>
        <v>Detractor</v>
      </c>
      <c r="Q390">
        <v>10</v>
      </c>
      <c r="R390" t="s">
        <v>1034</v>
      </c>
      <c r="S390">
        <v>10</v>
      </c>
      <c r="T390" t="s">
        <v>1034</v>
      </c>
      <c r="U390" t="str">
        <f t="shared" si="13"/>
        <v>Yes</v>
      </c>
    </row>
    <row r="391" spans="1:21" x14ac:dyDescent="0.3">
      <c r="A391" t="s">
        <v>68</v>
      </c>
      <c r="B391" t="s">
        <v>29</v>
      </c>
      <c r="C391" t="s">
        <v>16</v>
      </c>
      <c r="D391" s="1">
        <v>45932</v>
      </c>
      <c r="E391" s="1">
        <v>45935</v>
      </c>
      <c r="F391" s="1">
        <v>45937</v>
      </c>
      <c r="G391" s="1">
        <v>45944</v>
      </c>
      <c r="H391" t="s">
        <v>17</v>
      </c>
      <c r="I391">
        <v>0</v>
      </c>
      <c r="J391" t="s">
        <v>18</v>
      </c>
      <c r="K391" s="1">
        <v>45966</v>
      </c>
      <c r="L391">
        <v>3</v>
      </c>
      <c r="M391">
        <v>2</v>
      </c>
      <c r="N391">
        <v>7</v>
      </c>
      <c r="O391">
        <v>6</v>
      </c>
      <c r="P391" t="str">
        <f t="shared" si="12"/>
        <v>Detractor</v>
      </c>
      <c r="Q391">
        <v>10</v>
      </c>
      <c r="R391" t="s">
        <v>1034</v>
      </c>
      <c r="S391">
        <v>10</v>
      </c>
      <c r="T391" t="s">
        <v>1034</v>
      </c>
      <c r="U391" t="str">
        <f t="shared" si="13"/>
        <v>Yes</v>
      </c>
    </row>
    <row r="392" spans="1:21" x14ac:dyDescent="0.3">
      <c r="A392" t="s">
        <v>708</v>
      </c>
      <c r="B392" t="s">
        <v>29</v>
      </c>
      <c r="C392" t="s">
        <v>474</v>
      </c>
      <c r="D392" s="1">
        <v>45937</v>
      </c>
      <c r="E392" s="1">
        <v>45942</v>
      </c>
      <c r="F392" s="1">
        <v>45943</v>
      </c>
      <c r="G392" s="1">
        <v>45945</v>
      </c>
      <c r="H392" t="s">
        <v>17</v>
      </c>
      <c r="I392">
        <v>0</v>
      </c>
      <c r="J392" t="s">
        <v>18</v>
      </c>
      <c r="K392" s="1">
        <v>45975</v>
      </c>
      <c r="L392">
        <v>5</v>
      </c>
      <c r="M392">
        <v>1</v>
      </c>
      <c r="N392">
        <v>2</v>
      </c>
      <c r="O392">
        <v>1</v>
      </c>
      <c r="P392" t="str">
        <f t="shared" si="12"/>
        <v>Detractor</v>
      </c>
      <c r="Q392">
        <v>10</v>
      </c>
      <c r="R392" t="s">
        <v>1034</v>
      </c>
      <c r="S392">
        <v>10</v>
      </c>
      <c r="T392" t="s">
        <v>1034</v>
      </c>
      <c r="U392" t="str">
        <f t="shared" si="13"/>
        <v>Yes</v>
      </c>
    </row>
    <row r="393" spans="1:21" x14ac:dyDescent="0.3">
      <c r="A393" t="s">
        <v>421</v>
      </c>
      <c r="B393" t="s">
        <v>27</v>
      </c>
      <c r="C393" t="s">
        <v>16</v>
      </c>
      <c r="D393" s="1">
        <v>45939</v>
      </c>
      <c r="E393" s="1">
        <v>45941</v>
      </c>
      <c r="F393" s="1">
        <v>45942</v>
      </c>
      <c r="G393" s="1">
        <v>45944</v>
      </c>
      <c r="H393" t="s">
        <v>17</v>
      </c>
      <c r="I393">
        <v>0</v>
      </c>
      <c r="J393" t="s">
        <v>18</v>
      </c>
      <c r="K393" s="1">
        <v>45969</v>
      </c>
      <c r="L393">
        <v>2</v>
      </c>
      <c r="M393">
        <v>1</v>
      </c>
      <c r="N393">
        <v>2</v>
      </c>
      <c r="O393">
        <v>4</v>
      </c>
      <c r="P393" t="str">
        <f t="shared" si="12"/>
        <v>Detractor</v>
      </c>
      <c r="Q393">
        <v>10</v>
      </c>
      <c r="R393" t="s">
        <v>1034</v>
      </c>
      <c r="S393">
        <v>10</v>
      </c>
      <c r="T393" t="s">
        <v>1034</v>
      </c>
      <c r="U393" t="str">
        <f t="shared" si="13"/>
        <v>Yes</v>
      </c>
    </row>
    <row r="394" spans="1:21" x14ac:dyDescent="0.3">
      <c r="A394" t="s">
        <v>169</v>
      </c>
      <c r="B394" t="s">
        <v>15</v>
      </c>
      <c r="C394" t="s">
        <v>16</v>
      </c>
      <c r="D394" s="1">
        <v>45948</v>
      </c>
      <c r="E394" s="1">
        <v>45953</v>
      </c>
      <c r="F394" s="1">
        <v>45957</v>
      </c>
      <c r="G394" s="1">
        <v>45961</v>
      </c>
      <c r="H394" t="s">
        <v>17</v>
      </c>
      <c r="I394">
        <v>0</v>
      </c>
      <c r="J394" t="s">
        <v>18</v>
      </c>
      <c r="K394" s="1">
        <v>45989</v>
      </c>
      <c r="L394">
        <v>5</v>
      </c>
      <c r="M394">
        <v>4</v>
      </c>
      <c r="N394">
        <v>4</v>
      </c>
      <c r="O394">
        <v>6</v>
      </c>
      <c r="P394" t="str">
        <f t="shared" si="12"/>
        <v>Detractor</v>
      </c>
      <c r="Q394">
        <v>10</v>
      </c>
      <c r="R394" t="s">
        <v>1034</v>
      </c>
      <c r="S394">
        <v>10</v>
      </c>
      <c r="T394" t="s">
        <v>1034</v>
      </c>
      <c r="U394" t="str">
        <f t="shared" si="13"/>
        <v>Yes</v>
      </c>
    </row>
    <row r="395" spans="1:21" x14ac:dyDescent="0.3">
      <c r="A395" t="s">
        <v>920</v>
      </c>
      <c r="B395" t="s">
        <v>15</v>
      </c>
      <c r="C395" t="s">
        <v>841</v>
      </c>
      <c r="D395" s="1">
        <v>45935</v>
      </c>
      <c r="E395" s="1"/>
      <c r="F395" s="1"/>
      <c r="G395" s="1"/>
      <c r="H395" t="s">
        <v>752</v>
      </c>
      <c r="I395">
        <v>1</v>
      </c>
      <c r="J395" t="s">
        <v>758</v>
      </c>
      <c r="K395" s="1"/>
      <c r="P395" t="str">
        <f t="shared" si="12"/>
        <v>Not Applicable</v>
      </c>
      <c r="R395" t="s">
        <v>1036</v>
      </c>
      <c r="T395" t="s">
        <v>1036</v>
      </c>
      <c r="U395" t="str">
        <f t="shared" si="13"/>
        <v>No</v>
      </c>
    </row>
    <row r="396" spans="1:21" x14ac:dyDescent="0.3">
      <c r="A396" t="s">
        <v>553</v>
      </c>
      <c r="B396" t="s">
        <v>22</v>
      </c>
      <c r="C396" t="s">
        <v>474</v>
      </c>
      <c r="D396" s="1">
        <v>45960</v>
      </c>
      <c r="E396" s="1">
        <v>45964</v>
      </c>
      <c r="F396" s="1">
        <v>45969</v>
      </c>
      <c r="G396" s="1">
        <v>45973</v>
      </c>
      <c r="H396" t="s">
        <v>17</v>
      </c>
      <c r="I396">
        <v>0</v>
      </c>
      <c r="J396" t="s">
        <v>18</v>
      </c>
      <c r="K396" s="1">
        <v>46002</v>
      </c>
      <c r="L396">
        <v>4</v>
      </c>
      <c r="M396">
        <v>5</v>
      </c>
      <c r="N396">
        <v>4</v>
      </c>
      <c r="O396">
        <v>2</v>
      </c>
      <c r="P396" t="str">
        <f t="shared" si="12"/>
        <v>Detractor</v>
      </c>
      <c r="Q396">
        <v>11</v>
      </c>
      <c r="R396" t="s">
        <v>1035</v>
      </c>
      <c r="S396">
        <v>11</v>
      </c>
      <c r="T396" t="s">
        <v>1035</v>
      </c>
      <c r="U396" t="str">
        <f t="shared" si="13"/>
        <v>Yes</v>
      </c>
    </row>
    <row r="397" spans="1:21" x14ac:dyDescent="0.3">
      <c r="A397" t="s">
        <v>422</v>
      </c>
      <c r="B397" t="s">
        <v>15</v>
      </c>
      <c r="C397" t="s">
        <v>16</v>
      </c>
      <c r="D397" s="1">
        <v>45940</v>
      </c>
      <c r="E397" s="1">
        <v>45942</v>
      </c>
      <c r="F397" s="1">
        <v>45943</v>
      </c>
      <c r="G397" s="1">
        <v>45947</v>
      </c>
      <c r="H397" t="s">
        <v>17</v>
      </c>
      <c r="I397">
        <v>0</v>
      </c>
      <c r="J397" t="s">
        <v>18</v>
      </c>
      <c r="K397" s="1">
        <v>45972</v>
      </c>
      <c r="L397">
        <v>2</v>
      </c>
      <c r="M397">
        <v>1</v>
      </c>
      <c r="N397">
        <v>4</v>
      </c>
      <c r="O397">
        <v>8</v>
      </c>
      <c r="P397" t="str">
        <f t="shared" si="12"/>
        <v>Passive</v>
      </c>
      <c r="Q397">
        <v>10</v>
      </c>
      <c r="R397" t="s">
        <v>1034</v>
      </c>
      <c r="S397">
        <v>10</v>
      </c>
      <c r="T397" t="s">
        <v>1034</v>
      </c>
      <c r="U397" t="str">
        <f t="shared" si="13"/>
        <v>Yes</v>
      </c>
    </row>
    <row r="398" spans="1:21" x14ac:dyDescent="0.3">
      <c r="A398" t="s">
        <v>423</v>
      </c>
      <c r="B398" t="s">
        <v>27</v>
      </c>
      <c r="C398" t="s">
        <v>16</v>
      </c>
      <c r="D398" s="1">
        <v>45945</v>
      </c>
      <c r="E398" s="1">
        <v>45947</v>
      </c>
      <c r="F398" s="1">
        <v>45949</v>
      </c>
      <c r="G398" s="1">
        <v>45952</v>
      </c>
      <c r="H398" t="s">
        <v>17</v>
      </c>
      <c r="I398">
        <v>0</v>
      </c>
      <c r="J398" t="s">
        <v>18</v>
      </c>
      <c r="K398" s="1">
        <v>45963</v>
      </c>
      <c r="L398">
        <v>2</v>
      </c>
      <c r="M398">
        <v>2</v>
      </c>
      <c r="N398">
        <v>3</v>
      </c>
      <c r="O398">
        <v>6</v>
      </c>
      <c r="P398" t="str">
        <f t="shared" si="12"/>
        <v>Detractor</v>
      </c>
      <c r="Q398">
        <v>10</v>
      </c>
      <c r="R398" t="s">
        <v>1034</v>
      </c>
      <c r="S398">
        <v>10</v>
      </c>
      <c r="T398" t="s">
        <v>1034</v>
      </c>
      <c r="U398" t="str">
        <f t="shared" si="13"/>
        <v>Yes</v>
      </c>
    </row>
    <row r="399" spans="1:21" x14ac:dyDescent="0.3">
      <c r="A399" t="s">
        <v>424</v>
      </c>
      <c r="B399" t="s">
        <v>29</v>
      </c>
      <c r="C399" t="s">
        <v>16</v>
      </c>
      <c r="D399" s="1">
        <v>45959</v>
      </c>
      <c r="E399" s="1">
        <v>45961</v>
      </c>
      <c r="F399" s="1">
        <v>45963</v>
      </c>
      <c r="G399" s="1">
        <v>45968</v>
      </c>
      <c r="H399" t="s">
        <v>17</v>
      </c>
      <c r="I399">
        <v>0</v>
      </c>
      <c r="J399" t="s">
        <v>18</v>
      </c>
      <c r="K399" s="1">
        <v>45983</v>
      </c>
      <c r="L399">
        <v>2</v>
      </c>
      <c r="M399">
        <v>2</v>
      </c>
      <c r="N399">
        <v>5</v>
      </c>
      <c r="O399">
        <v>2</v>
      </c>
      <c r="P399" t="str">
        <f t="shared" si="12"/>
        <v>Detractor</v>
      </c>
      <c r="Q399">
        <v>10</v>
      </c>
      <c r="R399" t="s">
        <v>1034</v>
      </c>
      <c r="S399">
        <v>11</v>
      </c>
      <c r="T399" t="s">
        <v>1035</v>
      </c>
      <c r="U399" t="str">
        <f t="shared" si="13"/>
        <v>Yes</v>
      </c>
    </row>
    <row r="400" spans="1:21" x14ac:dyDescent="0.3">
      <c r="A400" t="s">
        <v>170</v>
      </c>
      <c r="B400" t="s">
        <v>15</v>
      </c>
      <c r="C400" t="s">
        <v>16</v>
      </c>
      <c r="D400" s="1">
        <v>45953</v>
      </c>
      <c r="E400" s="1">
        <v>45958</v>
      </c>
      <c r="F400" s="1">
        <v>45959</v>
      </c>
      <c r="G400" s="1">
        <v>45962</v>
      </c>
      <c r="H400" t="s">
        <v>17</v>
      </c>
      <c r="I400">
        <v>0</v>
      </c>
      <c r="J400" t="s">
        <v>18</v>
      </c>
      <c r="K400" s="1">
        <v>45980</v>
      </c>
      <c r="L400">
        <v>5</v>
      </c>
      <c r="M400">
        <v>1</v>
      </c>
      <c r="N400">
        <v>3</v>
      </c>
      <c r="O400">
        <v>6</v>
      </c>
      <c r="P400" t="str">
        <f t="shared" si="12"/>
        <v>Detractor</v>
      </c>
      <c r="Q400">
        <v>10</v>
      </c>
      <c r="R400" t="s">
        <v>1034</v>
      </c>
      <c r="S400">
        <v>11</v>
      </c>
      <c r="T400" t="s">
        <v>1035</v>
      </c>
      <c r="U400" t="str">
        <f t="shared" si="13"/>
        <v>Yes</v>
      </c>
    </row>
    <row r="401" spans="1:21" x14ac:dyDescent="0.3">
      <c r="A401" t="s">
        <v>425</v>
      </c>
      <c r="B401" t="s">
        <v>22</v>
      </c>
      <c r="C401" t="s">
        <v>16</v>
      </c>
      <c r="D401" s="1">
        <v>45946</v>
      </c>
      <c r="E401" s="1">
        <v>45948</v>
      </c>
      <c r="F401" s="1">
        <v>45949</v>
      </c>
      <c r="G401" s="1">
        <v>45956</v>
      </c>
      <c r="H401" t="s">
        <v>17</v>
      </c>
      <c r="I401">
        <v>0</v>
      </c>
      <c r="J401" t="s">
        <v>18</v>
      </c>
      <c r="K401" s="1">
        <v>45978</v>
      </c>
      <c r="L401">
        <v>2</v>
      </c>
      <c r="M401">
        <v>1</v>
      </c>
      <c r="N401">
        <v>7</v>
      </c>
      <c r="O401">
        <v>7</v>
      </c>
      <c r="P401" t="str">
        <f t="shared" si="12"/>
        <v>Passive</v>
      </c>
      <c r="Q401">
        <v>10</v>
      </c>
      <c r="R401" t="s">
        <v>1034</v>
      </c>
      <c r="S401">
        <v>10</v>
      </c>
      <c r="T401" t="s">
        <v>1034</v>
      </c>
      <c r="U401" t="str">
        <f t="shared" si="13"/>
        <v>Yes</v>
      </c>
    </row>
    <row r="402" spans="1:21" x14ac:dyDescent="0.3">
      <c r="A402" t="s">
        <v>260</v>
      </c>
      <c r="B402" t="s">
        <v>15</v>
      </c>
      <c r="C402" t="s">
        <v>16</v>
      </c>
      <c r="D402" s="1">
        <v>45934</v>
      </c>
      <c r="E402" s="1">
        <v>45938</v>
      </c>
      <c r="F402" s="1">
        <v>45943</v>
      </c>
      <c r="G402" s="1">
        <v>45950</v>
      </c>
      <c r="H402" t="s">
        <v>17</v>
      </c>
      <c r="I402">
        <v>0</v>
      </c>
      <c r="J402" t="s">
        <v>18</v>
      </c>
      <c r="K402" s="1">
        <v>45964</v>
      </c>
      <c r="L402">
        <v>4</v>
      </c>
      <c r="M402">
        <v>5</v>
      </c>
      <c r="N402">
        <v>7</v>
      </c>
      <c r="O402">
        <v>1</v>
      </c>
      <c r="P402" t="str">
        <f t="shared" si="12"/>
        <v>Detractor</v>
      </c>
      <c r="Q402">
        <v>10</v>
      </c>
      <c r="R402" t="s">
        <v>1034</v>
      </c>
      <c r="S402">
        <v>10</v>
      </c>
      <c r="T402" t="s">
        <v>1034</v>
      </c>
      <c r="U402" t="str">
        <f t="shared" si="13"/>
        <v>Yes</v>
      </c>
    </row>
    <row r="403" spans="1:21" x14ac:dyDescent="0.3">
      <c r="A403" t="s">
        <v>353</v>
      </c>
      <c r="B403" t="s">
        <v>27</v>
      </c>
      <c r="C403" t="s">
        <v>16</v>
      </c>
      <c r="D403" s="1">
        <v>45931</v>
      </c>
      <c r="E403" s="1">
        <v>45932</v>
      </c>
      <c r="F403" s="1">
        <v>45933</v>
      </c>
      <c r="G403" s="1">
        <v>45936</v>
      </c>
      <c r="H403" t="s">
        <v>17</v>
      </c>
      <c r="I403">
        <v>0</v>
      </c>
      <c r="J403" t="s">
        <v>18</v>
      </c>
      <c r="K403" s="1">
        <v>45965</v>
      </c>
      <c r="L403">
        <v>1</v>
      </c>
      <c r="M403">
        <v>1</v>
      </c>
      <c r="N403">
        <v>3</v>
      </c>
      <c r="O403">
        <v>8</v>
      </c>
      <c r="P403" t="str">
        <f t="shared" si="12"/>
        <v>Passive</v>
      </c>
      <c r="Q403">
        <v>10</v>
      </c>
      <c r="R403" t="s">
        <v>1034</v>
      </c>
      <c r="S403">
        <v>10</v>
      </c>
      <c r="T403" t="s">
        <v>1034</v>
      </c>
      <c r="U403" t="str">
        <f t="shared" si="13"/>
        <v>Yes</v>
      </c>
    </row>
    <row r="404" spans="1:21" x14ac:dyDescent="0.3">
      <c r="A404" t="s">
        <v>261</v>
      </c>
      <c r="B404" t="s">
        <v>22</v>
      </c>
      <c r="C404" t="s">
        <v>16</v>
      </c>
      <c r="D404" s="1">
        <v>45951</v>
      </c>
      <c r="E404" s="1">
        <v>45955</v>
      </c>
      <c r="F404" s="1">
        <v>45959</v>
      </c>
      <c r="G404" s="1">
        <v>45961</v>
      </c>
      <c r="H404" t="s">
        <v>17</v>
      </c>
      <c r="I404">
        <v>0</v>
      </c>
      <c r="J404" t="s">
        <v>18</v>
      </c>
      <c r="K404" s="1">
        <v>45990</v>
      </c>
      <c r="L404">
        <v>4</v>
      </c>
      <c r="M404">
        <v>4</v>
      </c>
      <c r="N404">
        <v>2</v>
      </c>
      <c r="O404">
        <v>7</v>
      </c>
      <c r="P404" t="str">
        <f t="shared" si="12"/>
        <v>Passive</v>
      </c>
      <c r="Q404">
        <v>10</v>
      </c>
      <c r="R404" t="s">
        <v>1034</v>
      </c>
      <c r="S404">
        <v>10</v>
      </c>
      <c r="T404" t="s">
        <v>1034</v>
      </c>
      <c r="U404" t="str">
        <f t="shared" si="13"/>
        <v>Yes</v>
      </c>
    </row>
    <row r="405" spans="1:21" x14ac:dyDescent="0.3">
      <c r="A405" t="s">
        <v>921</v>
      </c>
      <c r="B405" t="s">
        <v>15</v>
      </c>
      <c r="C405" t="s">
        <v>841</v>
      </c>
      <c r="D405" s="1">
        <v>45950</v>
      </c>
      <c r="E405" s="1"/>
      <c r="F405" s="1"/>
      <c r="G405" s="1"/>
      <c r="H405" t="s">
        <v>752</v>
      </c>
      <c r="I405">
        <v>1</v>
      </c>
      <c r="J405" t="s">
        <v>753</v>
      </c>
      <c r="K405" s="1"/>
      <c r="P405" t="str">
        <f t="shared" si="12"/>
        <v>Not Applicable</v>
      </c>
      <c r="R405" t="s">
        <v>1036</v>
      </c>
      <c r="T405" t="s">
        <v>1036</v>
      </c>
      <c r="U405" t="str">
        <f t="shared" si="13"/>
        <v>No</v>
      </c>
    </row>
    <row r="406" spans="1:21" x14ac:dyDescent="0.3">
      <c r="A406" t="s">
        <v>793</v>
      </c>
      <c r="B406" t="s">
        <v>22</v>
      </c>
      <c r="C406" t="s">
        <v>16</v>
      </c>
      <c r="D406" s="1">
        <v>45956</v>
      </c>
      <c r="E406" s="1">
        <v>45959</v>
      </c>
      <c r="F406" s="1">
        <v>45964</v>
      </c>
      <c r="G406" s="1">
        <v>45970</v>
      </c>
      <c r="H406" t="s">
        <v>752</v>
      </c>
      <c r="I406">
        <v>1</v>
      </c>
      <c r="J406" t="s">
        <v>758</v>
      </c>
      <c r="K406" s="1"/>
      <c r="L406">
        <v>3</v>
      </c>
      <c r="M406">
        <v>5</v>
      </c>
      <c r="N406">
        <v>6</v>
      </c>
      <c r="P406" t="str">
        <f t="shared" si="12"/>
        <v>Not Applicable</v>
      </c>
      <c r="Q406">
        <v>10</v>
      </c>
      <c r="R406" t="s">
        <v>1034</v>
      </c>
      <c r="S406">
        <v>11</v>
      </c>
      <c r="T406" t="s">
        <v>1035</v>
      </c>
      <c r="U406" t="str">
        <f t="shared" si="13"/>
        <v>No</v>
      </c>
    </row>
    <row r="407" spans="1:21" x14ac:dyDescent="0.3">
      <c r="A407" t="s">
        <v>426</v>
      </c>
      <c r="B407" t="s">
        <v>27</v>
      </c>
      <c r="C407" t="s">
        <v>16</v>
      </c>
      <c r="D407" s="1">
        <v>45938</v>
      </c>
      <c r="E407" s="1">
        <v>45940</v>
      </c>
      <c r="F407" s="1">
        <v>45941</v>
      </c>
      <c r="G407" s="1">
        <v>45947</v>
      </c>
      <c r="H407" t="s">
        <v>17</v>
      </c>
      <c r="I407">
        <v>0</v>
      </c>
      <c r="J407" t="s">
        <v>18</v>
      </c>
      <c r="K407" s="1">
        <v>45969</v>
      </c>
      <c r="L407">
        <v>2</v>
      </c>
      <c r="M407">
        <v>1</v>
      </c>
      <c r="N407">
        <v>6</v>
      </c>
      <c r="O407">
        <v>7</v>
      </c>
      <c r="P407" t="str">
        <f t="shared" si="12"/>
        <v>Passive</v>
      </c>
      <c r="Q407">
        <v>10</v>
      </c>
      <c r="R407" t="s">
        <v>1034</v>
      </c>
      <c r="S407">
        <v>10</v>
      </c>
      <c r="T407" t="s">
        <v>1034</v>
      </c>
      <c r="U407" t="str">
        <f t="shared" si="13"/>
        <v>Yes</v>
      </c>
    </row>
    <row r="408" spans="1:21" x14ac:dyDescent="0.3">
      <c r="A408" t="s">
        <v>554</v>
      </c>
      <c r="B408" t="s">
        <v>29</v>
      </c>
      <c r="C408" t="s">
        <v>474</v>
      </c>
      <c r="D408" s="1">
        <v>45953</v>
      </c>
      <c r="E408" s="1">
        <v>45957</v>
      </c>
      <c r="F408" s="1">
        <v>45959</v>
      </c>
      <c r="G408" s="1">
        <v>45961</v>
      </c>
      <c r="H408" t="s">
        <v>17</v>
      </c>
      <c r="I408">
        <v>0</v>
      </c>
      <c r="J408" t="s">
        <v>18</v>
      </c>
      <c r="K408" s="1">
        <v>45972</v>
      </c>
      <c r="L408">
        <v>4</v>
      </c>
      <c r="M408">
        <v>2</v>
      </c>
      <c r="N408">
        <v>2</v>
      </c>
      <c r="O408">
        <v>7</v>
      </c>
      <c r="P408" t="str">
        <f t="shared" si="12"/>
        <v>Passive</v>
      </c>
      <c r="Q408">
        <v>10</v>
      </c>
      <c r="R408" t="s">
        <v>1034</v>
      </c>
      <c r="S408">
        <v>10</v>
      </c>
      <c r="T408" t="s">
        <v>1034</v>
      </c>
      <c r="U408" t="str">
        <f t="shared" si="13"/>
        <v>Yes</v>
      </c>
    </row>
    <row r="409" spans="1:21" x14ac:dyDescent="0.3">
      <c r="A409" t="s">
        <v>922</v>
      </c>
      <c r="B409" t="s">
        <v>27</v>
      </c>
      <c r="C409" t="s">
        <v>841</v>
      </c>
      <c r="D409" s="1">
        <v>45936</v>
      </c>
      <c r="E409" s="1"/>
      <c r="F409" s="1"/>
      <c r="G409" s="1"/>
      <c r="H409" t="s">
        <v>752</v>
      </c>
      <c r="I409">
        <v>1</v>
      </c>
      <c r="J409" t="s">
        <v>758</v>
      </c>
      <c r="K409" s="1"/>
      <c r="P409" t="str">
        <f t="shared" si="12"/>
        <v>Not Applicable</v>
      </c>
      <c r="R409" t="s">
        <v>1036</v>
      </c>
      <c r="T409" t="s">
        <v>1036</v>
      </c>
      <c r="U409" t="str">
        <f t="shared" si="13"/>
        <v>No</v>
      </c>
    </row>
    <row r="410" spans="1:21" x14ac:dyDescent="0.3">
      <c r="A410" t="s">
        <v>794</v>
      </c>
      <c r="B410" t="s">
        <v>27</v>
      </c>
      <c r="C410" t="s">
        <v>474</v>
      </c>
      <c r="D410" s="1">
        <v>45940</v>
      </c>
      <c r="E410" s="1">
        <v>45945</v>
      </c>
      <c r="F410" s="1">
        <v>45946</v>
      </c>
      <c r="G410" s="1">
        <v>45952</v>
      </c>
      <c r="H410" t="s">
        <v>752</v>
      </c>
      <c r="I410">
        <v>1</v>
      </c>
      <c r="J410" t="s">
        <v>758</v>
      </c>
      <c r="K410" s="1"/>
      <c r="L410">
        <v>5</v>
      </c>
      <c r="M410">
        <v>1</v>
      </c>
      <c r="N410">
        <v>6</v>
      </c>
      <c r="P410" t="str">
        <f t="shared" si="12"/>
        <v>Not Applicable</v>
      </c>
      <c r="Q410">
        <v>10</v>
      </c>
      <c r="R410" t="s">
        <v>1034</v>
      </c>
      <c r="S410">
        <v>10</v>
      </c>
      <c r="T410" t="s">
        <v>1034</v>
      </c>
      <c r="U410" t="str">
        <f t="shared" si="13"/>
        <v>No</v>
      </c>
    </row>
    <row r="411" spans="1:21" x14ac:dyDescent="0.3">
      <c r="A411" t="s">
        <v>555</v>
      </c>
      <c r="B411" t="s">
        <v>27</v>
      </c>
      <c r="C411" t="s">
        <v>474</v>
      </c>
      <c r="D411" s="1">
        <v>45948</v>
      </c>
      <c r="E411" s="1">
        <v>45951</v>
      </c>
      <c r="F411" s="1">
        <v>45955</v>
      </c>
      <c r="G411" s="1">
        <v>45962</v>
      </c>
      <c r="H411" t="s">
        <v>17</v>
      </c>
      <c r="I411">
        <v>0</v>
      </c>
      <c r="J411" t="s">
        <v>18</v>
      </c>
      <c r="K411" s="1">
        <v>45984</v>
      </c>
      <c r="L411">
        <v>3</v>
      </c>
      <c r="M411">
        <v>4</v>
      </c>
      <c r="N411">
        <v>7</v>
      </c>
      <c r="O411">
        <v>1</v>
      </c>
      <c r="P411" t="str">
        <f t="shared" si="12"/>
        <v>Detractor</v>
      </c>
      <c r="Q411">
        <v>10</v>
      </c>
      <c r="R411" t="s">
        <v>1034</v>
      </c>
      <c r="S411">
        <v>11</v>
      </c>
      <c r="T411" t="s">
        <v>1035</v>
      </c>
      <c r="U411" t="str">
        <f t="shared" si="13"/>
        <v>Yes</v>
      </c>
    </row>
    <row r="412" spans="1:21" x14ac:dyDescent="0.3">
      <c r="A412" t="s">
        <v>556</v>
      </c>
      <c r="B412" t="s">
        <v>27</v>
      </c>
      <c r="C412" t="s">
        <v>474</v>
      </c>
      <c r="D412" s="1">
        <v>45931</v>
      </c>
      <c r="E412" s="1">
        <v>45935</v>
      </c>
      <c r="F412" s="1">
        <v>45939</v>
      </c>
      <c r="G412" s="1">
        <v>45942</v>
      </c>
      <c r="H412" t="s">
        <v>17</v>
      </c>
      <c r="I412">
        <v>0</v>
      </c>
      <c r="J412" t="s">
        <v>18</v>
      </c>
      <c r="K412" s="1">
        <v>45962</v>
      </c>
      <c r="L412">
        <v>4</v>
      </c>
      <c r="M412">
        <v>4</v>
      </c>
      <c r="N412">
        <v>3</v>
      </c>
      <c r="O412">
        <v>1</v>
      </c>
      <c r="P412" t="str">
        <f t="shared" si="12"/>
        <v>Detractor</v>
      </c>
      <c r="Q412">
        <v>10</v>
      </c>
      <c r="R412" t="s">
        <v>1034</v>
      </c>
      <c r="S412">
        <v>10</v>
      </c>
      <c r="T412" t="s">
        <v>1034</v>
      </c>
      <c r="U412" t="str">
        <f t="shared" si="13"/>
        <v>Yes</v>
      </c>
    </row>
    <row r="413" spans="1:21" x14ac:dyDescent="0.3">
      <c r="A413" t="s">
        <v>427</v>
      </c>
      <c r="B413" t="s">
        <v>29</v>
      </c>
      <c r="C413" t="s">
        <v>16</v>
      </c>
      <c r="D413" s="1">
        <v>45948</v>
      </c>
      <c r="E413" s="1">
        <v>45950</v>
      </c>
      <c r="F413" s="1">
        <v>45952</v>
      </c>
      <c r="G413" s="1">
        <v>45957</v>
      </c>
      <c r="H413" t="s">
        <v>17</v>
      </c>
      <c r="I413">
        <v>0</v>
      </c>
      <c r="J413" t="s">
        <v>18</v>
      </c>
      <c r="K413" s="1">
        <v>45974</v>
      </c>
      <c r="L413">
        <v>2</v>
      </c>
      <c r="M413">
        <v>2</v>
      </c>
      <c r="N413">
        <v>5</v>
      </c>
      <c r="O413">
        <v>10</v>
      </c>
      <c r="P413" t="str">
        <f t="shared" si="12"/>
        <v>Promoter</v>
      </c>
      <c r="Q413">
        <v>10</v>
      </c>
      <c r="R413" t="s">
        <v>1034</v>
      </c>
      <c r="S413">
        <v>10</v>
      </c>
      <c r="T413" t="s">
        <v>1034</v>
      </c>
      <c r="U413" t="str">
        <f t="shared" si="13"/>
        <v>Yes</v>
      </c>
    </row>
    <row r="414" spans="1:21" x14ac:dyDescent="0.3">
      <c r="A414" t="s">
        <v>709</v>
      </c>
      <c r="B414" t="s">
        <v>29</v>
      </c>
      <c r="C414" t="s">
        <v>474</v>
      </c>
      <c r="D414" s="1">
        <v>45944</v>
      </c>
      <c r="E414" s="1">
        <v>45949</v>
      </c>
      <c r="F414" s="1">
        <v>45954</v>
      </c>
      <c r="G414" s="1">
        <v>45958</v>
      </c>
      <c r="H414" t="s">
        <v>17</v>
      </c>
      <c r="I414">
        <v>0</v>
      </c>
      <c r="J414" t="s">
        <v>18</v>
      </c>
      <c r="K414" s="1">
        <v>45969</v>
      </c>
      <c r="L414">
        <v>5</v>
      </c>
      <c r="M414">
        <v>5</v>
      </c>
      <c r="N414">
        <v>4</v>
      </c>
      <c r="O414">
        <v>7</v>
      </c>
      <c r="P414" t="str">
        <f t="shared" si="12"/>
        <v>Passive</v>
      </c>
      <c r="Q414">
        <v>10</v>
      </c>
      <c r="R414" t="s">
        <v>1034</v>
      </c>
      <c r="S414">
        <v>10</v>
      </c>
      <c r="T414" t="s">
        <v>1034</v>
      </c>
      <c r="U414" t="str">
        <f t="shared" si="13"/>
        <v>Yes</v>
      </c>
    </row>
    <row r="415" spans="1:21" x14ac:dyDescent="0.3">
      <c r="A415" t="s">
        <v>557</v>
      </c>
      <c r="B415" t="s">
        <v>22</v>
      </c>
      <c r="C415" t="s">
        <v>474</v>
      </c>
      <c r="D415" s="1">
        <v>45933</v>
      </c>
      <c r="E415" s="1">
        <v>45935</v>
      </c>
      <c r="F415" s="1">
        <v>45937</v>
      </c>
      <c r="G415" s="1">
        <v>45944</v>
      </c>
      <c r="H415" t="s">
        <v>17</v>
      </c>
      <c r="I415">
        <v>0</v>
      </c>
      <c r="J415" t="s">
        <v>18</v>
      </c>
      <c r="K415" s="1">
        <v>45969</v>
      </c>
      <c r="L415">
        <v>2</v>
      </c>
      <c r="M415">
        <v>2</v>
      </c>
      <c r="N415">
        <v>7</v>
      </c>
      <c r="O415">
        <v>3</v>
      </c>
      <c r="P415" t="str">
        <f t="shared" si="12"/>
        <v>Detractor</v>
      </c>
      <c r="Q415">
        <v>10</v>
      </c>
      <c r="R415" t="s">
        <v>1034</v>
      </c>
      <c r="S415">
        <v>10</v>
      </c>
      <c r="T415" t="s">
        <v>1034</v>
      </c>
      <c r="U415" t="str">
        <f t="shared" si="13"/>
        <v>Yes</v>
      </c>
    </row>
    <row r="416" spans="1:21" x14ac:dyDescent="0.3">
      <c r="A416" t="s">
        <v>795</v>
      </c>
      <c r="B416" t="s">
        <v>15</v>
      </c>
      <c r="C416" t="s">
        <v>474</v>
      </c>
      <c r="D416" s="1">
        <v>45938</v>
      </c>
      <c r="E416" s="1">
        <v>45941</v>
      </c>
      <c r="F416" s="1">
        <v>45942</v>
      </c>
      <c r="G416" s="1">
        <v>45945</v>
      </c>
      <c r="H416" t="s">
        <v>752</v>
      </c>
      <c r="I416">
        <v>1</v>
      </c>
      <c r="J416" t="s">
        <v>765</v>
      </c>
      <c r="K416" s="1"/>
      <c r="L416">
        <v>3</v>
      </c>
      <c r="M416">
        <v>1</v>
      </c>
      <c r="N416">
        <v>3</v>
      </c>
      <c r="P416" t="str">
        <f t="shared" si="12"/>
        <v>Not Applicable</v>
      </c>
      <c r="Q416">
        <v>10</v>
      </c>
      <c r="R416" t="s">
        <v>1034</v>
      </c>
      <c r="S416">
        <v>10</v>
      </c>
      <c r="T416" t="s">
        <v>1034</v>
      </c>
      <c r="U416" t="str">
        <f t="shared" si="13"/>
        <v>No</v>
      </c>
    </row>
    <row r="417" spans="1:21" x14ac:dyDescent="0.3">
      <c r="A417" t="s">
        <v>558</v>
      </c>
      <c r="B417" t="s">
        <v>29</v>
      </c>
      <c r="C417" t="s">
        <v>474</v>
      </c>
      <c r="D417" s="1">
        <v>45957</v>
      </c>
      <c r="E417" s="1">
        <v>45961</v>
      </c>
      <c r="F417" s="1">
        <v>45963</v>
      </c>
      <c r="G417" s="1">
        <v>45970</v>
      </c>
      <c r="H417" t="s">
        <v>17</v>
      </c>
      <c r="I417">
        <v>0</v>
      </c>
      <c r="J417" t="s">
        <v>18</v>
      </c>
      <c r="K417" s="1">
        <v>45988</v>
      </c>
      <c r="L417">
        <v>4</v>
      </c>
      <c r="M417">
        <v>2</v>
      </c>
      <c r="N417">
        <v>7</v>
      </c>
      <c r="O417">
        <v>0</v>
      </c>
      <c r="P417" t="str">
        <f t="shared" si="12"/>
        <v>Detractor</v>
      </c>
      <c r="Q417">
        <v>10</v>
      </c>
      <c r="R417" t="s">
        <v>1034</v>
      </c>
      <c r="S417">
        <v>11</v>
      </c>
      <c r="T417" t="s">
        <v>1035</v>
      </c>
      <c r="U417" t="str">
        <f t="shared" si="13"/>
        <v>Yes</v>
      </c>
    </row>
    <row r="418" spans="1:21" x14ac:dyDescent="0.3">
      <c r="A418" t="s">
        <v>428</v>
      </c>
      <c r="B418" t="s">
        <v>29</v>
      </c>
      <c r="C418" t="s">
        <v>16</v>
      </c>
      <c r="D418" s="1">
        <v>45960</v>
      </c>
      <c r="E418" s="1">
        <v>45962</v>
      </c>
      <c r="F418" s="1">
        <v>45967</v>
      </c>
      <c r="G418" s="1">
        <v>45974</v>
      </c>
      <c r="H418" t="s">
        <v>17</v>
      </c>
      <c r="I418">
        <v>0</v>
      </c>
      <c r="J418" t="s">
        <v>18</v>
      </c>
      <c r="K418" s="1">
        <v>45995</v>
      </c>
      <c r="L418">
        <v>2</v>
      </c>
      <c r="M418">
        <v>5</v>
      </c>
      <c r="N418">
        <v>7</v>
      </c>
      <c r="O418">
        <v>4</v>
      </c>
      <c r="P418" t="str">
        <f t="shared" si="12"/>
        <v>Detractor</v>
      </c>
      <c r="Q418">
        <v>11</v>
      </c>
      <c r="R418" t="s">
        <v>1035</v>
      </c>
      <c r="S418">
        <v>11</v>
      </c>
      <c r="T418" t="s">
        <v>1035</v>
      </c>
      <c r="U418" t="str">
        <f t="shared" si="13"/>
        <v>Yes</v>
      </c>
    </row>
    <row r="419" spans="1:21" x14ac:dyDescent="0.3">
      <c r="A419" t="s">
        <v>69</v>
      </c>
      <c r="B419" t="s">
        <v>15</v>
      </c>
      <c r="C419" t="s">
        <v>16</v>
      </c>
      <c r="D419" s="1">
        <v>45934</v>
      </c>
      <c r="E419" s="1">
        <v>45937</v>
      </c>
      <c r="F419" s="1">
        <v>45940</v>
      </c>
      <c r="G419" s="1">
        <v>45943</v>
      </c>
      <c r="H419" t="s">
        <v>17</v>
      </c>
      <c r="I419">
        <v>0</v>
      </c>
      <c r="J419" t="s">
        <v>18</v>
      </c>
      <c r="K419" s="1">
        <v>45953</v>
      </c>
      <c r="L419">
        <v>3</v>
      </c>
      <c r="M419">
        <v>3</v>
      </c>
      <c r="N419">
        <v>3</v>
      </c>
      <c r="O419">
        <v>10</v>
      </c>
      <c r="P419" t="str">
        <f t="shared" si="12"/>
        <v>Promoter</v>
      </c>
      <c r="Q419">
        <v>10</v>
      </c>
      <c r="R419" t="s">
        <v>1034</v>
      </c>
      <c r="S419">
        <v>10</v>
      </c>
      <c r="T419" t="s">
        <v>1034</v>
      </c>
      <c r="U419" t="str">
        <f t="shared" si="13"/>
        <v>Yes</v>
      </c>
    </row>
    <row r="420" spans="1:21" x14ac:dyDescent="0.3">
      <c r="A420" t="s">
        <v>171</v>
      </c>
      <c r="B420" t="s">
        <v>29</v>
      </c>
      <c r="C420" t="s">
        <v>16</v>
      </c>
      <c r="D420" s="1">
        <v>45945</v>
      </c>
      <c r="E420" s="1">
        <v>45950</v>
      </c>
      <c r="F420" s="1">
        <v>45952</v>
      </c>
      <c r="G420" s="1">
        <v>45957</v>
      </c>
      <c r="H420" t="s">
        <v>17</v>
      </c>
      <c r="I420">
        <v>0</v>
      </c>
      <c r="J420" t="s">
        <v>18</v>
      </c>
      <c r="K420" s="1">
        <v>45977</v>
      </c>
      <c r="L420">
        <v>5</v>
      </c>
      <c r="M420">
        <v>2</v>
      </c>
      <c r="N420">
        <v>5</v>
      </c>
      <c r="O420">
        <v>9</v>
      </c>
      <c r="P420" t="str">
        <f t="shared" si="12"/>
        <v>Promoter</v>
      </c>
      <c r="Q420">
        <v>10</v>
      </c>
      <c r="R420" t="s">
        <v>1034</v>
      </c>
      <c r="S420">
        <v>10</v>
      </c>
      <c r="T420" t="s">
        <v>1034</v>
      </c>
      <c r="U420" t="str">
        <f t="shared" si="13"/>
        <v>Yes</v>
      </c>
    </row>
    <row r="421" spans="1:21" x14ac:dyDescent="0.3">
      <c r="A421" t="s">
        <v>262</v>
      </c>
      <c r="B421" t="s">
        <v>27</v>
      </c>
      <c r="C421" t="s">
        <v>16</v>
      </c>
      <c r="D421" s="1">
        <v>45961</v>
      </c>
      <c r="E421" s="1">
        <v>45965</v>
      </c>
      <c r="F421" s="1">
        <v>45970</v>
      </c>
      <c r="G421" s="1">
        <v>45976</v>
      </c>
      <c r="H421" t="s">
        <v>17</v>
      </c>
      <c r="I421">
        <v>0</v>
      </c>
      <c r="J421" t="s">
        <v>18</v>
      </c>
      <c r="K421" s="1">
        <v>45995</v>
      </c>
      <c r="L421">
        <v>4</v>
      </c>
      <c r="M421">
        <v>5</v>
      </c>
      <c r="N421">
        <v>6</v>
      </c>
      <c r="O421">
        <v>5</v>
      </c>
      <c r="P421" t="str">
        <f t="shared" si="12"/>
        <v>Detractor</v>
      </c>
      <c r="Q421">
        <v>11</v>
      </c>
      <c r="R421" t="s">
        <v>1035</v>
      </c>
      <c r="S421">
        <v>11</v>
      </c>
      <c r="T421" t="s">
        <v>1035</v>
      </c>
      <c r="U421" t="str">
        <f t="shared" si="13"/>
        <v>Yes</v>
      </c>
    </row>
    <row r="422" spans="1:21" x14ac:dyDescent="0.3">
      <c r="A422" t="s">
        <v>263</v>
      </c>
      <c r="B422" t="s">
        <v>27</v>
      </c>
      <c r="C422" t="s">
        <v>16</v>
      </c>
      <c r="D422" s="1">
        <v>45934</v>
      </c>
      <c r="E422" s="1">
        <v>45938</v>
      </c>
      <c r="F422" s="1">
        <v>45941</v>
      </c>
      <c r="G422" s="1">
        <v>45948</v>
      </c>
      <c r="H422" t="s">
        <v>17</v>
      </c>
      <c r="I422">
        <v>0</v>
      </c>
      <c r="J422" t="s">
        <v>18</v>
      </c>
      <c r="K422" s="1">
        <v>45967</v>
      </c>
      <c r="L422">
        <v>4</v>
      </c>
      <c r="M422">
        <v>3</v>
      </c>
      <c r="N422">
        <v>7</v>
      </c>
      <c r="O422">
        <v>1</v>
      </c>
      <c r="P422" t="str">
        <f t="shared" si="12"/>
        <v>Detractor</v>
      </c>
      <c r="Q422">
        <v>10</v>
      </c>
      <c r="R422" t="s">
        <v>1034</v>
      </c>
      <c r="S422">
        <v>10</v>
      </c>
      <c r="T422" t="s">
        <v>1034</v>
      </c>
      <c r="U422" t="str">
        <f t="shared" si="13"/>
        <v>Yes</v>
      </c>
    </row>
    <row r="423" spans="1:21" x14ac:dyDescent="0.3">
      <c r="A423" t="s">
        <v>559</v>
      </c>
      <c r="B423" t="s">
        <v>15</v>
      </c>
      <c r="C423" t="s">
        <v>474</v>
      </c>
      <c r="D423" s="1">
        <v>45951</v>
      </c>
      <c r="E423" s="1">
        <v>45954</v>
      </c>
      <c r="F423" s="1">
        <v>45959</v>
      </c>
      <c r="G423" s="1">
        <v>45964</v>
      </c>
      <c r="H423" t="s">
        <v>17</v>
      </c>
      <c r="I423">
        <v>0</v>
      </c>
      <c r="J423" t="s">
        <v>18</v>
      </c>
      <c r="K423" s="1">
        <v>45982</v>
      </c>
      <c r="L423">
        <v>3</v>
      </c>
      <c r="M423">
        <v>5</v>
      </c>
      <c r="N423">
        <v>5</v>
      </c>
      <c r="O423">
        <v>7</v>
      </c>
      <c r="P423" t="str">
        <f t="shared" si="12"/>
        <v>Passive</v>
      </c>
      <c r="Q423">
        <v>10</v>
      </c>
      <c r="R423" t="s">
        <v>1034</v>
      </c>
      <c r="S423">
        <v>11</v>
      </c>
      <c r="T423" t="s">
        <v>1035</v>
      </c>
      <c r="U423" t="str">
        <f t="shared" si="13"/>
        <v>Yes</v>
      </c>
    </row>
    <row r="424" spans="1:21" x14ac:dyDescent="0.3">
      <c r="A424" t="s">
        <v>264</v>
      </c>
      <c r="B424" t="s">
        <v>22</v>
      </c>
      <c r="C424" t="s">
        <v>16</v>
      </c>
      <c r="D424" s="1">
        <v>45957</v>
      </c>
      <c r="E424" s="1">
        <v>45961</v>
      </c>
      <c r="F424" s="1">
        <v>45966</v>
      </c>
      <c r="G424" s="1">
        <v>45969</v>
      </c>
      <c r="H424" t="s">
        <v>17</v>
      </c>
      <c r="I424">
        <v>0</v>
      </c>
      <c r="J424" t="s">
        <v>18</v>
      </c>
      <c r="K424" s="1">
        <v>45994</v>
      </c>
      <c r="L424">
        <v>4</v>
      </c>
      <c r="M424">
        <v>5</v>
      </c>
      <c r="N424">
        <v>3</v>
      </c>
      <c r="O424">
        <v>2</v>
      </c>
      <c r="P424" t="str">
        <f t="shared" si="12"/>
        <v>Detractor</v>
      </c>
      <c r="Q424">
        <v>10</v>
      </c>
      <c r="R424" t="s">
        <v>1034</v>
      </c>
      <c r="S424">
        <v>11</v>
      </c>
      <c r="T424" t="s">
        <v>1035</v>
      </c>
      <c r="U424" t="str">
        <f t="shared" si="13"/>
        <v>Yes</v>
      </c>
    </row>
    <row r="425" spans="1:21" x14ac:dyDescent="0.3">
      <c r="A425" t="s">
        <v>923</v>
      </c>
      <c r="B425" t="s">
        <v>22</v>
      </c>
      <c r="C425" t="s">
        <v>841</v>
      </c>
      <c r="D425" s="1">
        <v>45935</v>
      </c>
      <c r="E425" s="1"/>
      <c r="F425" s="1"/>
      <c r="G425" s="1"/>
      <c r="H425" t="s">
        <v>752</v>
      </c>
      <c r="I425">
        <v>1</v>
      </c>
      <c r="J425" t="s">
        <v>765</v>
      </c>
      <c r="K425" s="1"/>
      <c r="P425" t="str">
        <f t="shared" si="12"/>
        <v>Not Applicable</v>
      </c>
      <c r="R425" t="s">
        <v>1036</v>
      </c>
      <c r="T425" t="s">
        <v>1036</v>
      </c>
      <c r="U425" t="str">
        <f t="shared" si="13"/>
        <v>No</v>
      </c>
    </row>
    <row r="426" spans="1:21" x14ac:dyDescent="0.3">
      <c r="A426" t="s">
        <v>172</v>
      </c>
      <c r="B426" t="s">
        <v>15</v>
      </c>
      <c r="C426" t="s">
        <v>16</v>
      </c>
      <c r="D426" s="1">
        <v>45946</v>
      </c>
      <c r="E426" s="1">
        <v>45951</v>
      </c>
      <c r="F426" s="1">
        <v>45954</v>
      </c>
      <c r="G426" s="1">
        <v>45956</v>
      </c>
      <c r="H426" t="s">
        <v>17</v>
      </c>
      <c r="I426">
        <v>0</v>
      </c>
      <c r="J426" t="s">
        <v>18</v>
      </c>
      <c r="K426" s="1">
        <v>45969</v>
      </c>
      <c r="L426">
        <v>5</v>
      </c>
      <c r="M426">
        <v>3</v>
      </c>
      <c r="N426">
        <v>2</v>
      </c>
      <c r="O426">
        <v>3</v>
      </c>
      <c r="P426" t="str">
        <f t="shared" si="12"/>
        <v>Detractor</v>
      </c>
      <c r="Q426">
        <v>10</v>
      </c>
      <c r="R426" t="s">
        <v>1034</v>
      </c>
      <c r="S426">
        <v>10</v>
      </c>
      <c r="T426" t="s">
        <v>1034</v>
      </c>
      <c r="U426" t="str">
        <f t="shared" si="13"/>
        <v>Yes</v>
      </c>
    </row>
    <row r="427" spans="1:21" x14ac:dyDescent="0.3">
      <c r="A427" t="s">
        <v>710</v>
      </c>
      <c r="B427" t="s">
        <v>15</v>
      </c>
      <c r="C427" t="s">
        <v>474</v>
      </c>
      <c r="D427" s="1">
        <v>45960</v>
      </c>
      <c r="E427" s="1">
        <v>45965</v>
      </c>
      <c r="F427" s="1">
        <v>45967</v>
      </c>
      <c r="G427" s="1">
        <v>45969</v>
      </c>
      <c r="H427" t="s">
        <v>17</v>
      </c>
      <c r="I427">
        <v>0</v>
      </c>
      <c r="J427" t="s">
        <v>18</v>
      </c>
      <c r="K427" s="1">
        <v>45986</v>
      </c>
      <c r="L427">
        <v>5</v>
      </c>
      <c r="M427">
        <v>2</v>
      </c>
      <c r="N427">
        <v>2</v>
      </c>
      <c r="O427">
        <v>3</v>
      </c>
      <c r="P427" t="str">
        <f t="shared" si="12"/>
        <v>Detractor</v>
      </c>
      <c r="Q427">
        <v>11</v>
      </c>
      <c r="R427" t="s">
        <v>1035</v>
      </c>
      <c r="S427">
        <v>11</v>
      </c>
      <c r="T427" t="s">
        <v>1035</v>
      </c>
      <c r="U427" t="str">
        <f t="shared" si="13"/>
        <v>Yes</v>
      </c>
    </row>
    <row r="428" spans="1:21" x14ac:dyDescent="0.3">
      <c r="A428" t="s">
        <v>265</v>
      </c>
      <c r="B428" t="s">
        <v>27</v>
      </c>
      <c r="C428" t="s">
        <v>16</v>
      </c>
      <c r="D428" s="1">
        <v>45953</v>
      </c>
      <c r="E428" s="1">
        <v>45957</v>
      </c>
      <c r="F428" s="1">
        <v>45960</v>
      </c>
      <c r="G428" s="1">
        <v>45963</v>
      </c>
      <c r="H428" t="s">
        <v>17</v>
      </c>
      <c r="I428">
        <v>0</v>
      </c>
      <c r="J428" t="s">
        <v>18</v>
      </c>
      <c r="K428" s="1">
        <v>45977</v>
      </c>
      <c r="L428">
        <v>4</v>
      </c>
      <c r="M428">
        <v>3</v>
      </c>
      <c r="N428">
        <v>3</v>
      </c>
      <c r="O428">
        <v>6</v>
      </c>
      <c r="P428" t="str">
        <f t="shared" si="12"/>
        <v>Detractor</v>
      </c>
      <c r="Q428">
        <v>10</v>
      </c>
      <c r="R428" t="s">
        <v>1034</v>
      </c>
      <c r="S428">
        <v>11</v>
      </c>
      <c r="T428" t="s">
        <v>1035</v>
      </c>
      <c r="U428" t="str">
        <f t="shared" si="13"/>
        <v>Yes</v>
      </c>
    </row>
    <row r="429" spans="1:21" x14ac:dyDescent="0.3">
      <c r="A429" t="s">
        <v>429</v>
      </c>
      <c r="B429" t="s">
        <v>22</v>
      </c>
      <c r="C429" t="s">
        <v>16</v>
      </c>
      <c r="D429" s="1">
        <v>45940</v>
      </c>
      <c r="E429" s="1">
        <v>45942</v>
      </c>
      <c r="F429" s="1">
        <v>45944</v>
      </c>
      <c r="G429" s="1">
        <v>45946</v>
      </c>
      <c r="H429" t="s">
        <v>17</v>
      </c>
      <c r="I429">
        <v>0</v>
      </c>
      <c r="J429" t="s">
        <v>18</v>
      </c>
      <c r="K429" s="1">
        <v>45965</v>
      </c>
      <c r="L429">
        <v>2</v>
      </c>
      <c r="M429">
        <v>2</v>
      </c>
      <c r="N429">
        <v>2</v>
      </c>
      <c r="O429">
        <v>7</v>
      </c>
      <c r="P429" t="str">
        <f t="shared" si="12"/>
        <v>Passive</v>
      </c>
      <c r="Q429">
        <v>10</v>
      </c>
      <c r="R429" t="s">
        <v>1034</v>
      </c>
      <c r="S429">
        <v>10</v>
      </c>
      <c r="T429" t="s">
        <v>1034</v>
      </c>
      <c r="U429" t="str">
        <f t="shared" si="13"/>
        <v>Yes</v>
      </c>
    </row>
    <row r="430" spans="1:21" x14ac:dyDescent="0.3">
      <c r="A430" t="s">
        <v>430</v>
      </c>
      <c r="B430" t="s">
        <v>29</v>
      </c>
      <c r="C430" t="s">
        <v>16</v>
      </c>
      <c r="D430" s="1">
        <v>45947</v>
      </c>
      <c r="E430" s="1">
        <v>45949</v>
      </c>
      <c r="F430" s="1">
        <v>45954</v>
      </c>
      <c r="G430" s="1">
        <v>45960</v>
      </c>
      <c r="H430" t="s">
        <v>17</v>
      </c>
      <c r="I430">
        <v>0</v>
      </c>
      <c r="J430" t="s">
        <v>18</v>
      </c>
      <c r="K430" s="1">
        <v>45984</v>
      </c>
      <c r="L430">
        <v>2</v>
      </c>
      <c r="M430">
        <v>5</v>
      </c>
      <c r="N430">
        <v>6</v>
      </c>
      <c r="O430">
        <v>8</v>
      </c>
      <c r="P430" t="str">
        <f t="shared" si="12"/>
        <v>Passive</v>
      </c>
      <c r="Q430">
        <v>10</v>
      </c>
      <c r="R430" t="s">
        <v>1034</v>
      </c>
      <c r="S430">
        <v>10</v>
      </c>
      <c r="T430" t="s">
        <v>1034</v>
      </c>
      <c r="U430" t="str">
        <f t="shared" si="13"/>
        <v>Yes</v>
      </c>
    </row>
    <row r="431" spans="1:21" x14ac:dyDescent="0.3">
      <c r="A431" t="s">
        <v>711</v>
      </c>
      <c r="B431" t="s">
        <v>27</v>
      </c>
      <c r="C431" t="s">
        <v>474</v>
      </c>
      <c r="D431" s="1">
        <v>45953</v>
      </c>
      <c r="E431" s="1">
        <v>45958</v>
      </c>
      <c r="F431" s="1">
        <v>45960</v>
      </c>
      <c r="G431" s="1">
        <v>45967</v>
      </c>
      <c r="H431" t="s">
        <v>17</v>
      </c>
      <c r="I431">
        <v>0</v>
      </c>
      <c r="J431" t="s">
        <v>18</v>
      </c>
      <c r="K431" s="1">
        <v>45987</v>
      </c>
      <c r="L431">
        <v>5</v>
      </c>
      <c r="M431">
        <v>2</v>
      </c>
      <c r="N431">
        <v>7</v>
      </c>
      <c r="O431">
        <v>6</v>
      </c>
      <c r="P431" t="str">
        <f t="shared" si="12"/>
        <v>Detractor</v>
      </c>
      <c r="Q431">
        <v>10</v>
      </c>
      <c r="R431" t="s">
        <v>1034</v>
      </c>
      <c r="S431">
        <v>11</v>
      </c>
      <c r="T431" t="s">
        <v>1035</v>
      </c>
      <c r="U431" t="str">
        <f t="shared" si="13"/>
        <v>Yes</v>
      </c>
    </row>
    <row r="432" spans="1:21" x14ac:dyDescent="0.3">
      <c r="A432" t="s">
        <v>560</v>
      </c>
      <c r="B432" t="s">
        <v>15</v>
      </c>
      <c r="C432" t="s">
        <v>474</v>
      </c>
      <c r="D432" s="1">
        <v>45939</v>
      </c>
      <c r="E432" s="1">
        <v>45941</v>
      </c>
      <c r="F432" s="1">
        <v>45945</v>
      </c>
      <c r="G432" s="1">
        <v>45950</v>
      </c>
      <c r="H432" t="s">
        <v>17</v>
      </c>
      <c r="I432">
        <v>0</v>
      </c>
      <c r="J432" t="s">
        <v>18</v>
      </c>
      <c r="K432" s="1">
        <v>45968</v>
      </c>
      <c r="L432">
        <v>2</v>
      </c>
      <c r="M432">
        <v>4</v>
      </c>
      <c r="N432">
        <v>5</v>
      </c>
      <c r="O432">
        <v>10</v>
      </c>
      <c r="P432" t="str">
        <f t="shared" si="12"/>
        <v>Promoter</v>
      </c>
      <c r="Q432">
        <v>10</v>
      </c>
      <c r="R432" t="s">
        <v>1034</v>
      </c>
      <c r="S432">
        <v>10</v>
      </c>
      <c r="T432" t="s">
        <v>1034</v>
      </c>
      <c r="U432" t="str">
        <f t="shared" si="13"/>
        <v>Yes</v>
      </c>
    </row>
    <row r="433" spans="1:21" x14ac:dyDescent="0.3">
      <c r="A433" t="s">
        <v>561</v>
      </c>
      <c r="B433" t="s">
        <v>22</v>
      </c>
      <c r="C433" t="s">
        <v>474</v>
      </c>
      <c r="D433" s="1">
        <v>45944</v>
      </c>
      <c r="E433" s="1">
        <v>45947</v>
      </c>
      <c r="F433" s="1">
        <v>45950</v>
      </c>
      <c r="G433" s="1">
        <v>45954</v>
      </c>
      <c r="H433" t="s">
        <v>17</v>
      </c>
      <c r="I433">
        <v>0</v>
      </c>
      <c r="J433" t="s">
        <v>18</v>
      </c>
      <c r="K433" s="1">
        <v>45977</v>
      </c>
      <c r="L433">
        <v>3</v>
      </c>
      <c r="M433">
        <v>3</v>
      </c>
      <c r="N433">
        <v>4</v>
      </c>
      <c r="O433">
        <v>4</v>
      </c>
      <c r="P433" t="str">
        <f t="shared" si="12"/>
        <v>Detractor</v>
      </c>
      <c r="Q433">
        <v>10</v>
      </c>
      <c r="R433" t="s">
        <v>1034</v>
      </c>
      <c r="S433">
        <v>10</v>
      </c>
      <c r="T433" t="s">
        <v>1034</v>
      </c>
      <c r="U433" t="str">
        <f t="shared" si="13"/>
        <v>Yes</v>
      </c>
    </row>
    <row r="434" spans="1:21" x14ac:dyDescent="0.3">
      <c r="A434" t="s">
        <v>924</v>
      </c>
      <c r="B434" t="s">
        <v>29</v>
      </c>
      <c r="C434" t="s">
        <v>841</v>
      </c>
      <c r="D434" s="1">
        <v>45957</v>
      </c>
      <c r="E434" s="1"/>
      <c r="F434" s="1"/>
      <c r="G434" s="1"/>
      <c r="H434" t="s">
        <v>752</v>
      </c>
      <c r="I434">
        <v>1</v>
      </c>
      <c r="J434" t="s">
        <v>758</v>
      </c>
      <c r="K434" s="1"/>
      <c r="P434" t="str">
        <f t="shared" si="12"/>
        <v>Not Applicable</v>
      </c>
      <c r="R434" t="s">
        <v>1036</v>
      </c>
      <c r="T434" t="s">
        <v>1036</v>
      </c>
      <c r="U434" t="str">
        <f t="shared" si="13"/>
        <v>No</v>
      </c>
    </row>
    <row r="435" spans="1:21" x14ac:dyDescent="0.3">
      <c r="A435" t="s">
        <v>354</v>
      </c>
      <c r="B435" t="s">
        <v>29</v>
      </c>
      <c r="C435" t="s">
        <v>16</v>
      </c>
      <c r="D435" s="1">
        <v>45946</v>
      </c>
      <c r="E435" s="1">
        <v>45947</v>
      </c>
      <c r="F435" s="1">
        <v>45950</v>
      </c>
      <c r="G435" s="1">
        <v>45955</v>
      </c>
      <c r="H435" t="s">
        <v>17</v>
      </c>
      <c r="I435">
        <v>0</v>
      </c>
      <c r="J435" t="s">
        <v>18</v>
      </c>
      <c r="K435" s="1">
        <v>45984</v>
      </c>
      <c r="L435">
        <v>1</v>
      </c>
      <c r="M435">
        <v>3</v>
      </c>
      <c r="N435">
        <v>5</v>
      </c>
      <c r="O435">
        <v>1</v>
      </c>
      <c r="P435" t="str">
        <f t="shared" si="12"/>
        <v>Detractor</v>
      </c>
      <c r="Q435">
        <v>10</v>
      </c>
      <c r="R435" t="s">
        <v>1034</v>
      </c>
      <c r="S435">
        <v>10</v>
      </c>
      <c r="T435" t="s">
        <v>1034</v>
      </c>
      <c r="U435" t="str">
        <f t="shared" si="13"/>
        <v>Yes</v>
      </c>
    </row>
    <row r="436" spans="1:21" x14ac:dyDescent="0.3">
      <c r="A436" t="s">
        <v>562</v>
      </c>
      <c r="B436" t="s">
        <v>27</v>
      </c>
      <c r="C436" t="s">
        <v>474</v>
      </c>
      <c r="D436" s="1">
        <v>45946</v>
      </c>
      <c r="E436" s="1">
        <v>45950</v>
      </c>
      <c r="F436" s="1">
        <v>45951</v>
      </c>
      <c r="G436" s="1">
        <v>45955</v>
      </c>
      <c r="H436" t="s">
        <v>17</v>
      </c>
      <c r="I436">
        <v>0</v>
      </c>
      <c r="J436" t="s">
        <v>18</v>
      </c>
      <c r="K436" s="1">
        <v>45985</v>
      </c>
      <c r="L436">
        <v>4</v>
      </c>
      <c r="M436">
        <v>1</v>
      </c>
      <c r="N436">
        <v>4</v>
      </c>
      <c r="O436">
        <v>3</v>
      </c>
      <c r="P436" t="str">
        <f t="shared" si="12"/>
        <v>Detractor</v>
      </c>
      <c r="Q436">
        <v>10</v>
      </c>
      <c r="R436" t="s">
        <v>1034</v>
      </c>
      <c r="S436">
        <v>10</v>
      </c>
      <c r="T436" t="s">
        <v>1034</v>
      </c>
      <c r="U436" t="str">
        <f t="shared" si="13"/>
        <v>Yes</v>
      </c>
    </row>
    <row r="437" spans="1:21" x14ac:dyDescent="0.3">
      <c r="A437" t="s">
        <v>563</v>
      </c>
      <c r="B437" t="s">
        <v>22</v>
      </c>
      <c r="C437" t="s">
        <v>474</v>
      </c>
      <c r="D437" s="1">
        <v>45938</v>
      </c>
      <c r="E437" s="1">
        <v>45941</v>
      </c>
      <c r="F437" s="1">
        <v>45946</v>
      </c>
      <c r="G437" s="1">
        <v>45949</v>
      </c>
      <c r="H437" t="s">
        <v>17</v>
      </c>
      <c r="I437">
        <v>0</v>
      </c>
      <c r="J437" t="s">
        <v>18</v>
      </c>
      <c r="K437" s="1">
        <v>45961</v>
      </c>
      <c r="L437">
        <v>3</v>
      </c>
      <c r="M437">
        <v>5</v>
      </c>
      <c r="N437">
        <v>3</v>
      </c>
      <c r="O437">
        <v>7</v>
      </c>
      <c r="P437" t="str">
        <f t="shared" si="12"/>
        <v>Passive</v>
      </c>
      <c r="Q437">
        <v>10</v>
      </c>
      <c r="R437" t="s">
        <v>1034</v>
      </c>
      <c r="S437">
        <v>10</v>
      </c>
      <c r="T437" t="s">
        <v>1034</v>
      </c>
      <c r="U437" t="str">
        <f t="shared" si="13"/>
        <v>Yes</v>
      </c>
    </row>
    <row r="438" spans="1:21" x14ac:dyDescent="0.3">
      <c r="A438" t="s">
        <v>173</v>
      </c>
      <c r="B438" t="s">
        <v>22</v>
      </c>
      <c r="C438" t="s">
        <v>16</v>
      </c>
      <c r="D438" s="1">
        <v>45945</v>
      </c>
      <c r="E438" s="1">
        <v>45950</v>
      </c>
      <c r="F438" s="1">
        <v>45955</v>
      </c>
      <c r="G438" s="1">
        <v>45958</v>
      </c>
      <c r="H438" t="s">
        <v>17</v>
      </c>
      <c r="I438">
        <v>0</v>
      </c>
      <c r="J438" t="s">
        <v>18</v>
      </c>
      <c r="K438" s="1">
        <v>45974</v>
      </c>
      <c r="L438">
        <v>5</v>
      </c>
      <c r="M438">
        <v>5</v>
      </c>
      <c r="N438">
        <v>3</v>
      </c>
      <c r="O438">
        <v>3</v>
      </c>
      <c r="P438" t="str">
        <f t="shared" si="12"/>
        <v>Detractor</v>
      </c>
      <c r="Q438">
        <v>10</v>
      </c>
      <c r="R438" t="s">
        <v>1034</v>
      </c>
      <c r="S438">
        <v>10</v>
      </c>
      <c r="T438" t="s">
        <v>1034</v>
      </c>
      <c r="U438" t="str">
        <f t="shared" si="13"/>
        <v>Yes</v>
      </c>
    </row>
    <row r="439" spans="1:21" x14ac:dyDescent="0.3">
      <c r="A439" t="s">
        <v>564</v>
      </c>
      <c r="B439" t="s">
        <v>15</v>
      </c>
      <c r="C439" t="s">
        <v>474</v>
      </c>
      <c r="D439" s="1">
        <v>45948</v>
      </c>
      <c r="E439" s="1">
        <v>45949</v>
      </c>
      <c r="F439" s="1">
        <v>45951</v>
      </c>
      <c r="G439" s="1">
        <v>45955</v>
      </c>
      <c r="H439" t="s">
        <v>17</v>
      </c>
      <c r="I439">
        <v>0</v>
      </c>
      <c r="J439" t="s">
        <v>18</v>
      </c>
      <c r="K439" s="1">
        <v>45979</v>
      </c>
      <c r="L439">
        <v>1</v>
      </c>
      <c r="M439">
        <v>2</v>
      </c>
      <c r="N439">
        <v>4</v>
      </c>
      <c r="O439">
        <v>8</v>
      </c>
      <c r="P439" t="str">
        <f t="shared" si="12"/>
        <v>Passive</v>
      </c>
      <c r="Q439">
        <v>10</v>
      </c>
      <c r="R439" t="s">
        <v>1034</v>
      </c>
      <c r="S439">
        <v>10</v>
      </c>
      <c r="T439" t="s">
        <v>1034</v>
      </c>
      <c r="U439" t="str">
        <f t="shared" si="13"/>
        <v>Yes</v>
      </c>
    </row>
    <row r="440" spans="1:21" x14ac:dyDescent="0.3">
      <c r="A440" t="s">
        <v>712</v>
      </c>
      <c r="B440" t="s">
        <v>22</v>
      </c>
      <c r="C440" t="s">
        <v>474</v>
      </c>
      <c r="D440" s="1">
        <v>45935</v>
      </c>
      <c r="E440" s="1">
        <v>45940</v>
      </c>
      <c r="F440" s="1">
        <v>45944</v>
      </c>
      <c r="G440" s="1">
        <v>45951</v>
      </c>
      <c r="H440" t="s">
        <v>17</v>
      </c>
      <c r="I440">
        <v>0</v>
      </c>
      <c r="J440" t="s">
        <v>18</v>
      </c>
      <c r="K440" s="1">
        <v>45967</v>
      </c>
      <c r="L440">
        <v>5</v>
      </c>
      <c r="M440">
        <v>4</v>
      </c>
      <c r="N440">
        <v>7</v>
      </c>
      <c r="O440">
        <v>7</v>
      </c>
      <c r="P440" t="str">
        <f t="shared" si="12"/>
        <v>Passive</v>
      </c>
      <c r="Q440">
        <v>10</v>
      </c>
      <c r="R440" t="s">
        <v>1034</v>
      </c>
      <c r="S440">
        <v>10</v>
      </c>
      <c r="T440" t="s">
        <v>1034</v>
      </c>
      <c r="U440" t="str">
        <f t="shared" si="13"/>
        <v>Yes</v>
      </c>
    </row>
    <row r="441" spans="1:21" x14ac:dyDescent="0.3">
      <c r="A441" t="s">
        <v>925</v>
      </c>
      <c r="B441" t="s">
        <v>22</v>
      </c>
      <c r="C441" t="s">
        <v>841</v>
      </c>
      <c r="D441" s="1">
        <v>45943</v>
      </c>
      <c r="E441" s="1"/>
      <c r="F441" s="1"/>
      <c r="G441" s="1"/>
      <c r="H441" t="s">
        <v>752</v>
      </c>
      <c r="I441">
        <v>1</v>
      </c>
      <c r="J441" t="s">
        <v>765</v>
      </c>
      <c r="K441" s="1"/>
      <c r="P441" t="str">
        <f t="shared" si="12"/>
        <v>Not Applicable</v>
      </c>
      <c r="R441" t="s">
        <v>1036</v>
      </c>
      <c r="T441" t="s">
        <v>1036</v>
      </c>
      <c r="U441" t="str">
        <f t="shared" si="13"/>
        <v>No</v>
      </c>
    </row>
    <row r="442" spans="1:21" x14ac:dyDescent="0.3">
      <c r="A442" t="s">
        <v>565</v>
      </c>
      <c r="B442" t="s">
        <v>27</v>
      </c>
      <c r="C442" t="s">
        <v>474</v>
      </c>
      <c r="D442" s="1">
        <v>45937</v>
      </c>
      <c r="E442" s="1">
        <v>45938</v>
      </c>
      <c r="F442" s="1">
        <v>45943</v>
      </c>
      <c r="G442" s="1">
        <v>45945</v>
      </c>
      <c r="H442" t="s">
        <v>17</v>
      </c>
      <c r="I442">
        <v>0</v>
      </c>
      <c r="J442" t="s">
        <v>18</v>
      </c>
      <c r="K442" s="1">
        <v>45968</v>
      </c>
      <c r="L442">
        <v>1</v>
      </c>
      <c r="M442">
        <v>5</v>
      </c>
      <c r="N442">
        <v>2</v>
      </c>
      <c r="O442">
        <v>1</v>
      </c>
      <c r="P442" t="str">
        <f t="shared" si="12"/>
        <v>Detractor</v>
      </c>
      <c r="Q442">
        <v>10</v>
      </c>
      <c r="R442" t="s">
        <v>1034</v>
      </c>
      <c r="S442">
        <v>10</v>
      </c>
      <c r="T442" t="s">
        <v>1034</v>
      </c>
      <c r="U442" t="str">
        <f t="shared" si="13"/>
        <v>Yes</v>
      </c>
    </row>
    <row r="443" spans="1:21" x14ac:dyDescent="0.3">
      <c r="A443" t="s">
        <v>70</v>
      </c>
      <c r="B443" t="s">
        <v>22</v>
      </c>
      <c r="C443" t="s">
        <v>16</v>
      </c>
      <c r="D443" s="1">
        <v>45960</v>
      </c>
      <c r="E443" s="1">
        <v>45963</v>
      </c>
      <c r="F443" s="1">
        <v>45967</v>
      </c>
      <c r="G443" s="1">
        <v>45970</v>
      </c>
      <c r="H443" t="s">
        <v>17</v>
      </c>
      <c r="I443">
        <v>0</v>
      </c>
      <c r="J443" t="s">
        <v>18</v>
      </c>
      <c r="K443" s="1">
        <v>45995</v>
      </c>
      <c r="L443">
        <v>3</v>
      </c>
      <c r="M443">
        <v>4</v>
      </c>
      <c r="N443">
        <v>3</v>
      </c>
      <c r="O443">
        <v>8</v>
      </c>
      <c r="P443" t="str">
        <f t="shared" si="12"/>
        <v>Passive</v>
      </c>
      <c r="Q443">
        <v>11</v>
      </c>
      <c r="R443" t="s">
        <v>1035</v>
      </c>
      <c r="S443">
        <v>11</v>
      </c>
      <c r="T443" t="s">
        <v>1035</v>
      </c>
      <c r="U443" t="str">
        <f t="shared" si="13"/>
        <v>Yes</v>
      </c>
    </row>
    <row r="444" spans="1:21" x14ac:dyDescent="0.3">
      <c r="A444" t="s">
        <v>926</v>
      </c>
      <c r="B444" t="s">
        <v>29</v>
      </c>
      <c r="C444" t="s">
        <v>841</v>
      </c>
      <c r="D444" s="1">
        <v>45950</v>
      </c>
      <c r="E444" s="1"/>
      <c r="F444" s="1"/>
      <c r="G444" s="1"/>
      <c r="H444" t="s">
        <v>752</v>
      </c>
      <c r="I444">
        <v>1</v>
      </c>
      <c r="J444" t="s">
        <v>753</v>
      </c>
      <c r="K444" s="1"/>
      <c r="P444" t="str">
        <f t="shared" si="12"/>
        <v>Not Applicable</v>
      </c>
      <c r="R444" t="s">
        <v>1036</v>
      </c>
      <c r="T444" t="s">
        <v>1036</v>
      </c>
      <c r="U444" t="str">
        <f t="shared" si="13"/>
        <v>No</v>
      </c>
    </row>
    <row r="445" spans="1:21" x14ac:dyDescent="0.3">
      <c r="A445" t="s">
        <v>355</v>
      </c>
      <c r="B445" t="s">
        <v>27</v>
      </c>
      <c r="C445" t="s">
        <v>16</v>
      </c>
      <c r="D445" s="1">
        <v>45947</v>
      </c>
      <c r="E445" s="1">
        <v>45948</v>
      </c>
      <c r="F445" s="1">
        <v>45949</v>
      </c>
      <c r="G445" s="1">
        <v>45955</v>
      </c>
      <c r="H445" t="s">
        <v>17</v>
      </c>
      <c r="I445">
        <v>0</v>
      </c>
      <c r="J445" t="s">
        <v>18</v>
      </c>
      <c r="K445" s="1">
        <v>45981</v>
      </c>
      <c r="L445">
        <v>1</v>
      </c>
      <c r="M445">
        <v>1</v>
      </c>
      <c r="N445">
        <v>6</v>
      </c>
      <c r="O445">
        <v>6</v>
      </c>
      <c r="P445" t="str">
        <f t="shared" si="12"/>
        <v>Detractor</v>
      </c>
      <c r="Q445">
        <v>10</v>
      </c>
      <c r="R445" t="s">
        <v>1034</v>
      </c>
      <c r="S445">
        <v>10</v>
      </c>
      <c r="T445" t="s">
        <v>1034</v>
      </c>
      <c r="U445" t="str">
        <f t="shared" si="13"/>
        <v>Yes</v>
      </c>
    </row>
    <row r="446" spans="1:21" x14ac:dyDescent="0.3">
      <c r="A446" t="s">
        <v>796</v>
      </c>
      <c r="B446" t="s">
        <v>27</v>
      </c>
      <c r="C446" t="s">
        <v>474</v>
      </c>
      <c r="D446" s="1">
        <v>45954</v>
      </c>
      <c r="E446" s="1">
        <v>45956</v>
      </c>
      <c r="F446" s="1">
        <v>45959</v>
      </c>
      <c r="G446" s="1">
        <v>45965</v>
      </c>
      <c r="H446" t="s">
        <v>752</v>
      </c>
      <c r="I446">
        <v>1</v>
      </c>
      <c r="J446" t="s">
        <v>758</v>
      </c>
      <c r="K446" s="1"/>
      <c r="L446">
        <v>2</v>
      </c>
      <c r="M446">
        <v>3</v>
      </c>
      <c r="N446">
        <v>6</v>
      </c>
      <c r="P446" t="str">
        <f t="shared" si="12"/>
        <v>Not Applicable</v>
      </c>
      <c r="Q446">
        <v>10</v>
      </c>
      <c r="R446" t="s">
        <v>1034</v>
      </c>
      <c r="S446">
        <v>11</v>
      </c>
      <c r="T446" t="s">
        <v>1035</v>
      </c>
      <c r="U446" t="str">
        <f t="shared" si="13"/>
        <v>No</v>
      </c>
    </row>
    <row r="447" spans="1:21" x14ac:dyDescent="0.3">
      <c r="A447" t="s">
        <v>566</v>
      </c>
      <c r="B447" t="s">
        <v>15</v>
      </c>
      <c r="C447" t="s">
        <v>474</v>
      </c>
      <c r="D447" s="1">
        <v>45959</v>
      </c>
      <c r="E447" s="1">
        <v>45962</v>
      </c>
      <c r="F447" s="1">
        <v>45966</v>
      </c>
      <c r="G447" s="1">
        <v>45972</v>
      </c>
      <c r="H447" t="s">
        <v>17</v>
      </c>
      <c r="I447">
        <v>0</v>
      </c>
      <c r="J447" t="s">
        <v>18</v>
      </c>
      <c r="K447" s="1">
        <v>45993</v>
      </c>
      <c r="L447">
        <v>3</v>
      </c>
      <c r="M447">
        <v>4</v>
      </c>
      <c r="N447">
        <v>6</v>
      </c>
      <c r="O447">
        <v>3</v>
      </c>
      <c r="P447" t="str">
        <f t="shared" si="12"/>
        <v>Detractor</v>
      </c>
      <c r="Q447">
        <v>11</v>
      </c>
      <c r="R447" t="s">
        <v>1035</v>
      </c>
      <c r="S447">
        <v>11</v>
      </c>
      <c r="T447" t="s">
        <v>1035</v>
      </c>
      <c r="U447" t="str">
        <f t="shared" si="13"/>
        <v>Yes</v>
      </c>
    </row>
    <row r="448" spans="1:21" x14ac:dyDescent="0.3">
      <c r="A448" t="s">
        <v>927</v>
      </c>
      <c r="B448" t="s">
        <v>22</v>
      </c>
      <c r="C448" t="s">
        <v>841</v>
      </c>
      <c r="D448" s="1">
        <v>45935</v>
      </c>
      <c r="E448" s="1"/>
      <c r="F448" s="1"/>
      <c r="G448" s="1"/>
      <c r="H448" t="s">
        <v>752</v>
      </c>
      <c r="I448">
        <v>1</v>
      </c>
      <c r="J448" t="s">
        <v>765</v>
      </c>
      <c r="K448" s="1"/>
      <c r="P448" t="str">
        <f t="shared" si="12"/>
        <v>Not Applicable</v>
      </c>
      <c r="R448" t="s">
        <v>1036</v>
      </c>
      <c r="T448" t="s">
        <v>1036</v>
      </c>
      <c r="U448" t="str">
        <f t="shared" si="13"/>
        <v>No</v>
      </c>
    </row>
    <row r="449" spans="1:21" x14ac:dyDescent="0.3">
      <c r="A449" t="s">
        <v>928</v>
      </c>
      <c r="B449" t="s">
        <v>15</v>
      </c>
      <c r="C449" t="s">
        <v>841</v>
      </c>
      <c r="D449" s="1">
        <v>45958</v>
      </c>
      <c r="E449" s="1"/>
      <c r="F449" s="1"/>
      <c r="G449" s="1"/>
      <c r="H449" t="s">
        <v>752</v>
      </c>
      <c r="I449">
        <v>1</v>
      </c>
      <c r="J449" t="s">
        <v>777</v>
      </c>
      <c r="K449" s="1"/>
      <c r="P449" t="str">
        <f t="shared" si="12"/>
        <v>Not Applicable</v>
      </c>
      <c r="R449" t="s">
        <v>1036</v>
      </c>
      <c r="T449" t="s">
        <v>1036</v>
      </c>
      <c r="U449" t="str">
        <f t="shared" si="13"/>
        <v>No</v>
      </c>
    </row>
    <row r="450" spans="1:21" x14ac:dyDescent="0.3">
      <c r="A450" t="s">
        <v>266</v>
      </c>
      <c r="B450" t="s">
        <v>29</v>
      </c>
      <c r="C450" t="s">
        <v>16</v>
      </c>
      <c r="D450" s="1">
        <v>45933</v>
      </c>
      <c r="E450" s="1">
        <v>45937</v>
      </c>
      <c r="F450" s="1">
        <v>45942</v>
      </c>
      <c r="G450" s="1">
        <v>45949</v>
      </c>
      <c r="H450" t="s">
        <v>17</v>
      </c>
      <c r="I450">
        <v>0</v>
      </c>
      <c r="J450" t="s">
        <v>18</v>
      </c>
      <c r="K450" s="1">
        <v>45960</v>
      </c>
      <c r="L450">
        <v>4</v>
      </c>
      <c r="M450">
        <v>5</v>
      </c>
      <c r="N450">
        <v>7</v>
      </c>
      <c r="O450">
        <v>3</v>
      </c>
      <c r="P450" t="str">
        <f t="shared" ref="P450:P513" si="14">IF(ISBLANK(O450), "Not Applicable", IF(O450&gt;=9, "Promoter", IF(O450&gt;=7, "Passive", "Detractor")))</f>
        <v>Detractor</v>
      </c>
      <c r="Q450">
        <v>10</v>
      </c>
      <c r="R450" t="s">
        <v>1034</v>
      </c>
      <c r="S450">
        <v>10</v>
      </c>
      <c r="T450" t="s">
        <v>1034</v>
      </c>
      <c r="U450" t="str">
        <f t="shared" ref="U450:U513" si="15">IF(
H450="Yes","No",
IF(
OR(
C450="Hot",
AND(C450="Warm",NOT(ISBLANK(E450)))
),
"Yes",
"No"
)
)</f>
        <v>Yes</v>
      </c>
    </row>
    <row r="451" spans="1:21" x14ac:dyDescent="0.3">
      <c r="A451" t="s">
        <v>713</v>
      </c>
      <c r="B451" t="s">
        <v>27</v>
      </c>
      <c r="C451" t="s">
        <v>474</v>
      </c>
      <c r="D451" s="1">
        <v>45939</v>
      </c>
      <c r="E451" s="1">
        <v>45944</v>
      </c>
      <c r="F451" s="1">
        <v>45947</v>
      </c>
      <c r="G451" s="1">
        <v>45953</v>
      </c>
      <c r="H451" t="s">
        <v>17</v>
      </c>
      <c r="I451">
        <v>0</v>
      </c>
      <c r="J451" t="s">
        <v>18</v>
      </c>
      <c r="K451" s="1">
        <v>45979</v>
      </c>
      <c r="L451">
        <v>5</v>
      </c>
      <c r="M451">
        <v>3</v>
      </c>
      <c r="N451">
        <v>6</v>
      </c>
      <c r="O451">
        <v>3</v>
      </c>
      <c r="P451" t="str">
        <f t="shared" si="14"/>
        <v>Detractor</v>
      </c>
      <c r="Q451">
        <v>10</v>
      </c>
      <c r="R451" t="s">
        <v>1034</v>
      </c>
      <c r="S451">
        <v>10</v>
      </c>
      <c r="T451" t="s">
        <v>1034</v>
      </c>
      <c r="U451" t="str">
        <f t="shared" si="15"/>
        <v>Yes</v>
      </c>
    </row>
    <row r="452" spans="1:21" x14ac:dyDescent="0.3">
      <c r="A452" t="s">
        <v>431</v>
      </c>
      <c r="B452" t="s">
        <v>27</v>
      </c>
      <c r="C452" t="s">
        <v>16</v>
      </c>
      <c r="D452" s="1">
        <v>45955</v>
      </c>
      <c r="E452" s="1">
        <v>45957</v>
      </c>
      <c r="F452" s="1">
        <v>45961</v>
      </c>
      <c r="G452" s="1">
        <v>45965</v>
      </c>
      <c r="H452" t="s">
        <v>17</v>
      </c>
      <c r="I452">
        <v>0</v>
      </c>
      <c r="J452" t="s">
        <v>18</v>
      </c>
      <c r="K452" s="1">
        <v>45980</v>
      </c>
      <c r="L452">
        <v>2</v>
      </c>
      <c r="M452">
        <v>4</v>
      </c>
      <c r="N452">
        <v>4</v>
      </c>
      <c r="O452">
        <v>0</v>
      </c>
      <c r="P452" t="str">
        <f t="shared" si="14"/>
        <v>Detractor</v>
      </c>
      <c r="Q452">
        <v>10</v>
      </c>
      <c r="R452" t="s">
        <v>1034</v>
      </c>
      <c r="S452">
        <v>11</v>
      </c>
      <c r="T452" t="s">
        <v>1035</v>
      </c>
      <c r="U452" t="str">
        <f t="shared" si="15"/>
        <v>Yes</v>
      </c>
    </row>
    <row r="453" spans="1:21" x14ac:dyDescent="0.3">
      <c r="A453" t="s">
        <v>929</v>
      </c>
      <c r="B453" t="s">
        <v>27</v>
      </c>
      <c r="C453" t="s">
        <v>841</v>
      </c>
      <c r="D453" s="1">
        <v>45956</v>
      </c>
      <c r="E453" s="1"/>
      <c r="F453" s="1"/>
      <c r="G453" s="1"/>
      <c r="H453" t="s">
        <v>752</v>
      </c>
      <c r="I453">
        <v>1</v>
      </c>
      <c r="J453" t="s">
        <v>758</v>
      </c>
      <c r="K453" s="1"/>
      <c r="P453" t="str">
        <f t="shared" si="14"/>
        <v>Not Applicable</v>
      </c>
      <c r="R453" t="s">
        <v>1036</v>
      </c>
      <c r="T453" t="s">
        <v>1036</v>
      </c>
      <c r="U453" t="str">
        <f t="shared" si="15"/>
        <v>No</v>
      </c>
    </row>
    <row r="454" spans="1:21" x14ac:dyDescent="0.3">
      <c r="A454" t="s">
        <v>267</v>
      </c>
      <c r="B454" t="s">
        <v>29</v>
      </c>
      <c r="C454" t="s">
        <v>16</v>
      </c>
      <c r="D454" s="1">
        <v>45958</v>
      </c>
      <c r="E454" s="1">
        <v>45962</v>
      </c>
      <c r="F454" s="1">
        <v>45966</v>
      </c>
      <c r="G454" s="1">
        <v>45973</v>
      </c>
      <c r="H454" t="s">
        <v>17</v>
      </c>
      <c r="I454">
        <v>0</v>
      </c>
      <c r="J454" t="s">
        <v>18</v>
      </c>
      <c r="K454" s="1">
        <v>45985</v>
      </c>
      <c r="L454">
        <v>4</v>
      </c>
      <c r="M454">
        <v>4</v>
      </c>
      <c r="N454">
        <v>7</v>
      </c>
      <c r="O454">
        <v>4</v>
      </c>
      <c r="P454" t="str">
        <f t="shared" si="14"/>
        <v>Detractor</v>
      </c>
      <c r="Q454">
        <v>11</v>
      </c>
      <c r="R454" t="s">
        <v>1035</v>
      </c>
      <c r="S454">
        <v>11</v>
      </c>
      <c r="T454" t="s">
        <v>1035</v>
      </c>
      <c r="U454" t="str">
        <f t="shared" si="15"/>
        <v>Yes</v>
      </c>
    </row>
    <row r="455" spans="1:21" x14ac:dyDescent="0.3">
      <c r="A455" t="s">
        <v>930</v>
      </c>
      <c r="B455" t="s">
        <v>29</v>
      </c>
      <c r="C455" t="s">
        <v>841</v>
      </c>
      <c r="D455" s="1">
        <v>45944</v>
      </c>
      <c r="E455" s="1"/>
      <c r="F455" s="1"/>
      <c r="G455" s="1"/>
      <c r="H455" t="s">
        <v>752</v>
      </c>
      <c r="I455">
        <v>1</v>
      </c>
      <c r="J455" t="s">
        <v>758</v>
      </c>
      <c r="K455" s="1"/>
      <c r="P455" t="str">
        <f t="shared" si="14"/>
        <v>Not Applicable</v>
      </c>
      <c r="R455" t="s">
        <v>1036</v>
      </c>
      <c r="T455" t="s">
        <v>1036</v>
      </c>
      <c r="U455" t="str">
        <f t="shared" si="15"/>
        <v>No</v>
      </c>
    </row>
    <row r="456" spans="1:21" x14ac:dyDescent="0.3">
      <c r="A456" t="s">
        <v>931</v>
      </c>
      <c r="B456" t="s">
        <v>15</v>
      </c>
      <c r="C456" t="s">
        <v>841</v>
      </c>
      <c r="D456" s="1">
        <v>45941</v>
      </c>
      <c r="E456" s="1"/>
      <c r="F456" s="1"/>
      <c r="G456" s="1"/>
      <c r="H456" t="s">
        <v>752</v>
      </c>
      <c r="I456">
        <v>1</v>
      </c>
      <c r="J456" t="s">
        <v>753</v>
      </c>
      <c r="K456" s="1"/>
      <c r="P456" t="str">
        <f t="shared" si="14"/>
        <v>Not Applicable</v>
      </c>
      <c r="R456" t="s">
        <v>1036</v>
      </c>
      <c r="T456" t="s">
        <v>1036</v>
      </c>
      <c r="U456" t="str">
        <f t="shared" si="15"/>
        <v>No</v>
      </c>
    </row>
    <row r="457" spans="1:21" x14ac:dyDescent="0.3">
      <c r="A457" t="s">
        <v>356</v>
      </c>
      <c r="B457" t="s">
        <v>15</v>
      </c>
      <c r="C457" t="s">
        <v>16</v>
      </c>
      <c r="D457" s="1">
        <v>45960</v>
      </c>
      <c r="E457" s="1">
        <v>45961</v>
      </c>
      <c r="F457" s="1">
        <v>45963</v>
      </c>
      <c r="G457" s="1">
        <v>45965</v>
      </c>
      <c r="H457" t="s">
        <v>17</v>
      </c>
      <c r="I457">
        <v>0</v>
      </c>
      <c r="J457" t="s">
        <v>18</v>
      </c>
      <c r="K457" s="1">
        <v>45984</v>
      </c>
      <c r="L457">
        <v>1</v>
      </c>
      <c r="M457">
        <v>2</v>
      </c>
      <c r="N457">
        <v>2</v>
      </c>
      <c r="O457">
        <v>9</v>
      </c>
      <c r="P457" t="str">
        <f t="shared" si="14"/>
        <v>Promoter</v>
      </c>
      <c r="Q457">
        <v>10</v>
      </c>
      <c r="R457" t="s">
        <v>1034</v>
      </c>
      <c r="S457">
        <v>11</v>
      </c>
      <c r="T457" t="s">
        <v>1035</v>
      </c>
      <c r="U457" t="str">
        <f t="shared" si="15"/>
        <v>Yes</v>
      </c>
    </row>
    <row r="458" spans="1:21" x14ac:dyDescent="0.3">
      <c r="A458" t="s">
        <v>797</v>
      </c>
      <c r="B458" t="s">
        <v>15</v>
      </c>
      <c r="C458" t="s">
        <v>16</v>
      </c>
      <c r="D458" s="1">
        <v>45956</v>
      </c>
      <c r="E458" s="1">
        <v>45958</v>
      </c>
      <c r="F458" s="1">
        <v>45961</v>
      </c>
      <c r="G458" s="1">
        <v>45968</v>
      </c>
      <c r="H458" t="s">
        <v>752</v>
      </c>
      <c r="I458">
        <v>1</v>
      </c>
      <c r="J458" t="s">
        <v>756</v>
      </c>
      <c r="K458" s="1"/>
      <c r="L458">
        <v>2</v>
      </c>
      <c r="M458">
        <v>3</v>
      </c>
      <c r="N458">
        <v>7</v>
      </c>
      <c r="P458" t="str">
        <f t="shared" si="14"/>
        <v>Not Applicable</v>
      </c>
      <c r="Q458">
        <v>10</v>
      </c>
      <c r="R458" t="s">
        <v>1034</v>
      </c>
      <c r="S458">
        <v>11</v>
      </c>
      <c r="T458" t="s">
        <v>1035</v>
      </c>
      <c r="U458" t="str">
        <f t="shared" si="15"/>
        <v>No</v>
      </c>
    </row>
    <row r="459" spans="1:21" x14ac:dyDescent="0.3">
      <c r="A459" t="s">
        <v>268</v>
      </c>
      <c r="B459" t="s">
        <v>22</v>
      </c>
      <c r="C459" t="s">
        <v>16</v>
      </c>
      <c r="D459" s="1">
        <v>45947</v>
      </c>
      <c r="E459" s="1">
        <v>45951</v>
      </c>
      <c r="F459" s="1">
        <v>45955</v>
      </c>
      <c r="G459" s="1">
        <v>45959</v>
      </c>
      <c r="H459" t="s">
        <v>17</v>
      </c>
      <c r="I459">
        <v>0</v>
      </c>
      <c r="J459" t="s">
        <v>18</v>
      </c>
      <c r="K459" s="1">
        <v>45985</v>
      </c>
      <c r="L459">
        <v>4</v>
      </c>
      <c r="M459">
        <v>4</v>
      </c>
      <c r="N459">
        <v>4</v>
      </c>
      <c r="O459">
        <v>5</v>
      </c>
      <c r="P459" t="str">
        <f t="shared" si="14"/>
        <v>Detractor</v>
      </c>
      <c r="Q459">
        <v>10</v>
      </c>
      <c r="R459" t="s">
        <v>1034</v>
      </c>
      <c r="S459">
        <v>10</v>
      </c>
      <c r="T459" t="s">
        <v>1034</v>
      </c>
      <c r="U459" t="str">
        <f t="shared" si="15"/>
        <v>Yes</v>
      </c>
    </row>
    <row r="460" spans="1:21" x14ac:dyDescent="0.3">
      <c r="A460" t="s">
        <v>567</v>
      </c>
      <c r="B460" t="s">
        <v>27</v>
      </c>
      <c r="C460" t="s">
        <v>474</v>
      </c>
      <c r="D460" s="1">
        <v>45939</v>
      </c>
      <c r="E460" s="1">
        <v>45942</v>
      </c>
      <c r="F460" s="1">
        <v>45944</v>
      </c>
      <c r="G460" s="1">
        <v>45947</v>
      </c>
      <c r="H460" t="s">
        <v>17</v>
      </c>
      <c r="I460">
        <v>0</v>
      </c>
      <c r="J460" t="s">
        <v>18</v>
      </c>
      <c r="K460" s="1">
        <v>45969</v>
      </c>
      <c r="L460">
        <v>3</v>
      </c>
      <c r="M460">
        <v>2</v>
      </c>
      <c r="N460">
        <v>3</v>
      </c>
      <c r="O460">
        <v>5</v>
      </c>
      <c r="P460" t="str">
        <f t="shared" si="14"/>
        <v>Detractor</v>
      </c>
      <c r="Q460">
        <v>10</v>
      </c>
      <c r="R460" t="s">
        <v>1034</v>
      </c>
      <c r="S460">
        <v>10</v>
      </c>
      <c r="T460" t="s">
        <v>1034</v>
      </c>
      <c r="U460" t="str">
        <f t="shared" si="15"/>
        <v>Yes</v>
      </c>
    </row>
    <row r="461" spans="1:21" x14ac:dyDescent="0.3">
      <c r="A461" t="s">
        <v>357</v>
      </c>
      <c r="B461" t="s">
        <v>27</v>
      </c>
      <c r="C461" t="s">
        <v>16</v>
      </c>
      <c r="D461" s="1">
        <v>45957</v>
      </c>
      <c r="E461" s="1">
        <v>45958</v>
      </c>
      <c r="F461" s="1">
        <v>45963</v>
      </c>
      <c r="G461" s="1">
        <v>45969</v>
      </c>
      <c r="H461" t="s">
        <v>17</v>
      </c>
      <c r="I461">
        <v>0</v>
      </c>
      <c r="J461" t="s">
        <v>18</v>
      </c>
      <c r="K461" s="1">
        <v>45983</v>
      </c>
      <c r="L461">
        <v>1</v>
      </c>
      <c r="M461">
        <v>5</v>
      </c>
      <c r="N461">
        <v>6</v>
      </c>
      <c r="O461">
        <v>1</v>
      </c>
      <c r="P461" t="str">
        <f t="shared" si="14"/>
        <v>Detractor</v>
      </c>
      <c r="Q461">
        <v>10</v>
      </c>
      <c r="R461" t="s">
        <v>1034</v>
      </c>
      <c r="S461">
        <v>11</v>
      </c>
      <c r="T461" t="s">
        <v>1035</v>
      </c>
      <c r="U461" t="str">
        <f t="shared" si="15"/>
        <v>Yes</v>
      </c>
    </row>
    <row r="462" spans="1:21" x14ac:dyDescent="0.3">
      <c r="A462" t="s">
        <v>798</v>
      </c>
      <c r="B462" t="s">
        <v>15</v>
      </c>
      <c r="C462" t="s">
        <v>16</v>
      </c>
      <c r="D462" s="1">
        <v>45931</v>
      </c>
      <c r="E462" s="1">
        <v>45935</v>
      </c>
      <c r="F462" s="1">
        <v>45939</v>
      </c>
      <c r="G462" s="1">
        <v>45945</v>
      </c>
      <c r="H462" t="s">
        <v>752</v>
      </c>
      <c r="I462">
        <v>1</v>
      </c>
      <c r="J462" t="s">
        <v>756</v>
      </c>
      <c r="K462" s="1"/>
      <c r="L462">
        <v>4</v>
      </c>
      <c r="M462">
        <v>4</v>
      </c>
      <c r="N462">
        <v>6</v>
      </c>
      <c r="P462" t="str">
        <f t="shared" si="14"/>
        <v>Not Applicable</v>
      </c>
      <c r="Q462">
        <v>10</v>
      </c>
      <c r="R462" t="s">
        <v>1034</v>
      </c>
      <c r="S462">
        <v>10</v>
      </c>
      <c r="T462" t="s">
        <v>1034</v>
      </c>
      <c r="U462" t="str">
        <f t="shared" si="15"/>
        <v>No</v>
      </c>
    </row>
    <row r="463" spans="1:21" x14ac:dyDescent="0.3">
      <c r="A463" t="s">
        <v>932</v>
      </c>
      <c r="B463" t="s">
        <v>27</v>
      </c>
      <c r="C463" t="s">
        <v>841</v>
      </c>
      <c r="D463" s="1">
        <v>45940</v>
      </c>
      <c r="E463" s="1"/>
      <c r="F463" s="1"/>
      <c r="G463" s="1"/>
      <c r="H463" t="s">
        <v>752</v>
      </c>
      <c r="I463">
        <v>1</v>
      </c>
      <c r="J463" t="s">
        <v>753</v>
      </c>
      <c r="K463" s="1"/>
      <c r="P463" t="str">
        <f t="shared" si="14"/>
        <v>Not Applicable</v>
      </c>
      <c r="R463" t="s">
        <v>1036</v>
      </c>
      <c r="T463" t="s">
        <v>1036</v>
      </c>
      <c r="U463" t="str">
        <f t="shared" si="15"/>
        <v>No</v>
      </c>
    </row>
    <row r="464" spans="1:21" x14ac:dyDescent="0.3">
      <c r="A464" t="s">
        <v>933</v>
      </c>
      <c r="B464" t="s">
        <v>15</v>
      </c>
      <c r="C464" t="s">
        <v>841</v>
      </c>
      <c r="D464" s="1">
        <v>45954</v>
      </c>
      <c r="E464" s="1"/>
      <c r="F464" s="1"/>
      <c r="G464" s="1"/>
      <c r="H464" t="s">
        <v>752</v>
      </c>
      <c r="I464">
        <v>1</v>
      </c>
      <c r="J464" t="s">
        <v>753</v>
      </c>
      <c r="K464" s="1"/>
      <c r="P464" t="str">
        <f t="shared" si="14"/>
        <v>Not Applicable</v>
      </c>
      <c r="R464" t="s">
        <v>1036</v>
      </c>
      <c r="T464" t="s">
        <v>1036</v>
      </c>
      <c r="U464" t="str">
        <f t="shared" si="15"/>
        <v>No</v>
      </c>
    </row>
    <row r="465" spans="1:21" x14ac:dyDescent="0.3">
      <c r="A465" t="s">
        <v>358</v>
      </c>
      <c r="B465" t="s">
        <v>22</v>
      </c>
      <c r="C465" t="s">
        <v>16</v>
      </c>
      <c r="D465" s="1">
        <v>45940</v>
      </c>
      <c r="E465" s="1">
        <v>45941</v>
      </c>
      <c r="F465" s="1">
        <v>45943</v>
      </c>
      <c r="G465" s="1">
        <v>45949</v>
      </c>
      <c r="H465" t="s">
        <v>17</v>
      </c>
      <c r="I465">
        <v>0</v>
      </c>
      <c r="J465" t="s">
        <v>18</v>
      </c>
      <c r="K465" s="1">
        <v>45975</v>
      </c>
      <c r="L465">
        <v>1</v>
      </c>
      <c r="M465">
        <v>2</v>
      </c>
      <c r="N465">
        <v>6</v>
      </c>
      <c r="O465">
        <v>1</v>
      </c>
      <c r="P465" t="str">
        <f t="shared" si="14"/>
        <v>Detractor</v>
      </c>
      <c r="Q465">
        <v>10</v>
      </c>
      <c r="R465" t="s">
        <v>1034</v>
      </c>
      <c r="S465">
        <v>10</v>
      </c>
      <c r="T465" t="s">
        <v>1034</v>
      </c>
      <c r="U465" t="str">
        <f t="shared" si="15"/>
        <v>Yes</v>
      </c>
    </row>
    <row r="466" spans="1:21" x14ac:dyDescent="0.3">
      <c r="A466" t="s">
        <v>568</v>
      </c>
      <c r="B466" t="s">
        <v>22</v>
      </c>
      <c r="C466" t="s">
        <v>474</v>
      </c>
      <c r="D466" s="1">
        <v>45957</v>
      </c>
      <c r="E466" s="1">
        <v>45961</v>
      </c>
      <c r="F466" s="1">
        <v>45963</v>
      </c>
      <c r="G466" s="1">
        <v>45966</v>
      </c>
      <c r="H466" t="s">
        <v>17</v>
      </c>
      <c r="I466">
        <v>0</v>
      </c>
      <c r="J466" t="s">
        <v>18</v>
      </c>
      <c r="K466" s="1">
        <v>45994</v>
      </c>
      <c r="L466">
        <v>4</v>
      </c>
      <c r="M466">
        <v>2</v>
      </c>
      <c r="N466">
        <v>3</v>
      </c>
      <c r="O466">
        <v>4</v>
      </c>
      <c r="P466" t="str">
        <f t="shared" si="14"/>
        <v>Detractor</v>
      </c>
      <c r="Q466">
        <v>10</v>
      </c>
      <c r="R466" t="s">
        <v>1034</v>
      </c>
      <c r="S466">
        <v>11</v>
      </c>
      <c r="T466" t="s">
        <v>1035</v>
      </c>
      <c r="U466" t="str">
        <f t="shared" si="15"/>
        <v>Yes</v>
      </c>
    </row>
    <row r="467" spans="1:21" x14ac:dyDescent="0.3">
      <c r="A467" t="s">
        <v>714</v>
      </c>
      <c r="B467" t="s">
        <v>29</v>
      </c>
      <c r="C467" t="s">
        <v>474</v>
      </c>
      <c r="D467" s="1">
        <v>45949</v>
      </c>
      <c r="E467" s="1">
        <v>45954</v>
      </c>
      <c r="F467" s="1">
        <v>45957</v>
      </c>
      <c r="G467" s="1">
        <v>45964</v>
      </c>
      <c r="H467" t="s">
        <v>17</v>
      </c>
      <c r="I467">
        <v>0</v>
      </c>
      <c r="J467" t="s">
        <v>18</v>
      </c>
      <c r="K467" s="1">
        <v>45974</v>
      </c>
      <c r="L467">
        <v>5</v>
      </c>
      <c r="M467">
        <v>3</v>
      </c>
      <c r="N467">
        <v>7</v>
      </c>
      <c r="O467">
        <v>4</v>
      </c>
      <c r="P467" t="str">
        <f t="shared" si="14"/>
        <v>Detractor</v>
      </c>
      <c r="Q467">
        <v>10</v>
      </c>
      <c r="R467" t="s">
        <v>1034</v>
      </c>
      <c r="S467">
        <v>11</v>
      </c>
      <c r="T467" t="s">
        <v>1035</v>
      </c>
      <c r="U467" t="str">
        <f t="shared" si="15"/>
        <v>Yes</v>
      </c>
    </row>
    <row r="468" spans="1:21" x14ac:dyDescent="0.3">
      <c r="A468" t="s">
        <v>569</v>
      </c>
      <c r="B468" t="s">
        <v>22</v>
      </c>
      <c r="C468" t="s">
        <v>474</v>
      </c>
      <c r="D468" s="1">
        <v>45949</v>
      </c>
      <c r="E468" s="1">
        <v>45952</v>
      </c>
      <c r="F468" s="1">
        <v>45954</v>
      </c>
      <c r="G468" s="1">
        <v>45959</v>
      </c>
      <c r="H468" t="s">
        <v>17</v>
      </c>
      <c r="I468">
        <v>0</v>
      </c>
      <c r="J468" t="s">
        <v>18</v>
      </c>
      <c r="K468" s="1">
        <v>45974</v>
      </c>
      <c r="L468">
        <v>3</v>
      </c>
      <c r="M468">
        <v>2</v>
      </c>
      <c r="N468">
        <v>5</v>
      </c>
      <c r="O468">
        <v>1</v>
      </c>
      <c r="P468" t="str">
        <f t="shared" si="14"/>
        <v>Detractor</v>
      </c>
      <c r="Q468">
        <v>10</v>
      </c>
      <c r="R468" t="s">
        <v>1034</v>
      </c>
      <c r="S468">
        <v>10</v>
      </c>
      <c r="T468" t="s">
        <v>1034</v>
      </c>
      <c r="U468" t="str">
        <f t="shared" si="15"/>
        <v>Yes</v>
      </c>
    </row>
    <row r="469" spans="1:21" x14ac:dyDescent="0.3">
      <c r="A469" t="s">
        <v>432</v>
      </c>
      <c r="B469" t="s">
        <v>15</v>
      </c>
      <c r="C469" t="s">
        <v>16</v>
      </c>
      <c r="D469" s="1">
        <v>45952</v>
      </c>
      <c r="E469" s="1">
        <v>45954</v>
      </c>
      <c r="F469" s="1">
        <v>45958</v>
      </c>
      <c r="G469" s="1">
        <v>45962</v>
      </c>
      <c r="H469" t="s">
        <v>17</v>
      </c>
      <c r="I469">
        <v>0</v>
      </c>
      <c r="J469" t="s">
        <v>18</v>
      </c>
      <c r="K469" s="1">
        <v>45978</v>
      </c>
      <c r="L469">
        <v>2</v>
      </c>
      <c r="M469">
        <v>4</v>
      </c>
      <c r="N469">
        <v>4</v>
      </c>
      <c r="O469">
        <v>1</v>
      </c>
      <c r="P469" t="str">
        <f t="shared" si="14"/>
        <v>Detractor</v>
      </c>
      <c r="Q469">
        <v>10</v>
      </c>
      <c r="R469" t="s">
        <v>1034</v>
      </c>
      <c r="S469">
        <v>11</v>
      </c>
      <c r="T469" t="s">
        <v>1035</v>
      </c>
      <c r="U469" t="str">
        <f t="shared" si="15"/>
        <v>Yes</v>
      </c>
    </row>
    <row r="470" spans="1:21" x14ac:dyDescent="0.3">
      <c r="A470" t="s">
        <v>269</v>
      </c>
      <c r="B470" t="s">
        <v>22</v>
      </c>
      <c r="C470" t="s">
        <v>16</v>
      </c>
      <c r="D470" s="1">
        <v>45946</v>
      </c>
      <c r="E470" s="1">
        <v>45950</v>
      </c>
      <c r="F470" s="1">
        <v>45951</v>
      </c>
      <c r="G470" s="1">
        <v>45958</v>
      </c>
      <c r="H470" t="s">
        <v>17</v>
      </c>
      <c r="I470">
        <v>0</v>
      </c>
      <c r="J470" t="s">
        <v>18</v>
      </c>
      <c r="K470" s="1">
        <v>45974</v>
      </c>
      <c r="L470">
        <v>4</v>
      </c>
      <c r="M470">
        <v>1</v>
      </c>
      <c r="N470">
        <v>7</v>
      </c>
      <c r="O470">
        <v>0</v>
      </c>
      <c r="P470" t="str">
        <f t="shared" si="14"/>
        <v>Detractor</v>
      </c>
      <c r="Q470">
        <v>10</v>
      </c>
      <c r="R470" t="s">
        <v>1034</v>
      </c>
      <c r="S470">
        <v>10</v>
      </c>
      <c r="T470" t="s">
        <v>1034</v>
      </c>
      <c r="U470" t="str">
        <f t="shared" si="15"/>
        <v>Yes</v>
      </c>
    </row>
    <row r="471" spans="1:21" x14ac:dyDescent="0.3">
      <c r="A471" t="s">
        <v>934</v>
      </c>
      <c r="B471" t="s">
        <v>29</v>
      </c>
      <c r="C471" t="s">
        <v>841</v>
      </c>
      <c r="D471" s="1">
        <v>45958</v>
      </c>
      <c r="E471" s="1"/>
      <c r="F471" s="1"/>
      <c r="G471" s="1"/>
      <c r="H471" t="s">
        <v>752</v>
      </c>
      <c r="I471">
        <v>1</v>
      </c>
      <c r="J471" t="s">
        <v>753</v>
      </c>
      <c r="K471" s="1"/>
      <c r="P471" t="str">
        <f t="shared" si="14"/>
        <v>Not Applicable</v>
      </c>
      <c r="R471" t="s">
        <v>1036</v>
      </c>
      <c r="T471" t="s">
        <v>1036</v>
      </c>
      <c r="U471" t="str">
        <f t="shared" si="15"/>
        <v>No</v>
      </c>
    </row>
    <row r="472" spans="1:21" x14ac:dyDescent="0.3">
      <c r="A472" t="s">
        <v>359</v>
      </c>
      <c r="B472" t="s">
        <v>27</v>
      </c>
      <c r="C472" t="s">
        <v>16</v>
      </c>
      <c r="D472" s="1">
        <v>45935</v>
      </c>
      <c r="E472" s="1">
        <v>45936</v>
      </c>
      <c r="F472" s="1">
        <v>45941</v>
      </c>
      <c r="G472" s="1">
        <v>45943</v>
      </c>
      <c r="H472" t="s">
        <v>17</v>
      </c>
      <c r="I472">
        <v>0</v>
      </c>
      <c r="J472" t="s">
        <v>18</v>
      </c>
      <c r="K472" s="1">
        <v>45954</v>
      </c>
      <c r="L472">
        <v>1</v>
      </c>
      <c r="M472">
        <v>5</v>
      </c>
      <c r="N472">
        <v>2</v>
      </c>
      <c r="O472">
        <v>7</v>
      </c>
      <c r="P472" t="str">
        <f t="shared" si="14"/>
        <v>Passive</v>
      </c>
      <c r="Q472">
        <v>10</v>
      </c>
      <c r="R472" t="s">
        <v>1034</v>
      </c>
      <c r="S472">
        <v>10</v>
      </c>
      <c r="T472" t="s">
        <v>1034</v>
      </c>
      <c r="U472" t="str">
        <f t="shared" si="15"/>
        <v>Yes</v>
      </c>
    </row>
    <row r="473" spans="1:21" x14ac:dyDescent="0.3">
      <c r="A473" t="s">
        <v>935</v>
      </c>
      <c r="B473" t="s">
        <v>15</v>
      </c>
      <c r="C473" t="s">
        <v>841</v>
      </c>
      <c r="D473" s="1">
        <v>45945</v>
      </c>
      <c r="E473" s="1"/>
      <c r="F473" s="1"/>
      <c r="G473" s="1"/>
      <c r="H473" t="s">
        <v>752</v>
      </c>
      <c r="I473">
        <v>1</v>
      </c>
      <c r="J473" t="s">
        <v>756</v>
      </c>
      <c r="K473" s="1"/>
      <c r="P473" t="str">
        <f t="shared" si="14"/>
        <v>Not Applicable</v>
      </c>
      <c r="R473" t="s">
        <v>1036</v>
      </c>
      <c r="T473" t="s">
        <v>1036</v>
      </c>
      <c r="U473" t="str">
        <f t="shared" si="15"/>
        <v>No</v>
      </c>
    </row>
    <row r="474" spans="1:21" x14ac:dyDescent="0.3">
      <c r="A474" t="s">
        <v>936</v>
      </c>
      <c r="B474" t="s">
        <v>27</v>
      </c>
      <c r="C474" t="s">
        <v>841</v>
      </c>
      <c r="D474" s="1">
        <v>45948</v>
      </c>
      <c r="E474" s="1"/>
      <c r="F474" s="1"/>
      <c r="G474" s="1"/>
      <c r="H474" t="s">
        <v>752</v>
      </c>
      <c r="I474">
        <v>1</v>
      </c>
      <c r="J474" t="s">
        <v>753</v>
      </c>
      <c r="K474" s="1"/>
      <c r="P474" t="str">
        <f t="shared" si="14"/>
        <v>Not Applicable</v>
      </c>
      <c r="R474" t="s">
        <v>1036</v>
      </c>
      <c r="T474" t="s">
        <v>1036</v>
      </c>
      <c r="U474" t="str">
        <f t="shared" si="15"/>
        <v>No</v>
      </c>
    </row>
    <row r="475" spans="1:21" x14ac:dyDescent="0.3">
      <c r="A475" t="s">
        <v>71</v>
      </c>
      <c r="B475" t="s">
        <v>29</v>
      </c>
      <c r="C475" t="s">
        <v>16</v>
      </c>
      <c r="D475" s="1">
        <v>45946</v>
      </c>
      <c r="E475" s="1">
        <v>45949</v>
      </c>
      <c r="F475" s="1">
        <v>45953</v>
      </c>
      <c r="G475" s="1">
        <v>45956</v>
      </c>
      <c r="H475" t="s">
        <v>17</v>
      </c>
      <c r="I475">
        <v>0</v>
      </c>
      <c r="J475" t="s">
        <v>18</v>
      </c>
      <c r="K475" s="1">
        <v>45973</v>
      </c>
      <c r="L475">
        <v>3</v>
      </c>
      <c r="M475">
        <v>4</v>
      </c>
      <c r="N475">
        <v>3</v>
      </c>
      <c r="O475">
        <v>8</v>
      </c>
      <c r="P475" t="str">
        <f t="shared" si="14"/>
        <v>Passive</v>
      </c>
      <c r="Q475">
        <v>10</v>
      </c>
      <c r="R475" t="s">
        <v>1034</v>
      </c>
      <c r="S475">
        <v>10</v>
      </c>
      <c r="T475" t="s">
        <v>1034</v>
      </c>
      <c r="U475" t="str">
        <f t="shared" si="15"/>
        <v>Yes</v>
      </c>
    </row>
    <row r="476" spans="1:21" x14ac:dyDescent="0.3">
      <c r="A476" t="s">
        <v>937</v>
      </c>
      <c r="B476" t="s">
        <v>29</v>
      </c>
      <c r="C476" t="s">
        <v>841</v>
      </c>
      <c r="D476" s="1">
        <v>45942</v>
      </c>
      <c r="E476" s="1"/>
      <c r="F476" s="1"/>
      <c r="G476" s="1"/>
      <c r="H476" t="s">
        <v>752</v>
      </c>
      <c r="I476">
        <v>1</v>
      </c>
      <c r="J476" t="s">
        <v>765</v>
      </c>
      <c r="K476" s="1"/>
      <c r="P476" t="str">
        <f t="shared" si="14"/>
        <v>Not Applicable</v>
      </c>
      <c r="R476" t="s">
        <v>1036</v>
      </c>
      <c r="T476" t="s">
        <v>1036</v>
      </c>
      <c r="U476" t="str">
        <f t="shared" si="15"/>
        <v>No</v>
      </c>
    </row>
    <row r="477" spans="1:21" x14ac:dyDescent="0.3">
      <c r="A477" t="s">
        <v>799</v>
      </c>
      <c r="B477" t="s">
        <v>29</v>
      </c>
      <c r="C477" t="s">
        <v>16</v>
      </c>
      <c r="D477" s="1">
        <v>45941</v>
      </c>
      <c r="E477" s="1">
        <v>45943</v>
      </c>
      <c r="F477" s="1">
        <v>45947</v>
      </c>
      <c r="G477" s="1">
        <v>45952</v>
      </c>
      <c r="H477" t="s">
        <v>752</v>
      </c>
      <c r="I477">
        <v>1</v>
      </c>
      <c r="J477" t="s">
        <v>758</v>
      </c>
      <c r="K477" s="1"/>
      <c r="L477">
        <v>2</v>
      </c>
      <c r="M477">
        <v>4</v>
      </c>
      <c r="N477">
        <v>5</v>
      </c>
      <c r="P477" t="str">
        <f t="shared" si="14"/>
        <v>Not Applicable</v>
      </c>
      <c r="Q477">
        <v>10</v>
      </c>
      <c r="R477" t="s">
        <v>1034</v>
      </c>
      <c r="S477">
        <v>10</v>
      </c>
      <c r="T477" t="s">
        <v>1034</v>
      </c>
      <c r="U477" t="str">
        <f t="shared" si="15"/>
        <v>No</v>
      </c>
    </row>
    <row r="478" spans="1:21" x14ac:dyDescent="0.3">
      <c r="A478" t="s">
        <v>570</v>
      </c>
      <c r="B478" t="s">
        <v>27</v>
      </c>
      <c r="C478" t="s">
        <v>474</v>
      </c>
      <c r="D478" s="1">
        <v>45948</v>
      </c>
      <c r="E478" s="1">
        <v>45949</v>
      </c>
      <c r="F478" s="1">
        <v>45954</v>
      </c>
      <c r="G478" s="1">
        <v>45959</v>
      </c>
      <c r="H478" t="s">
        <v>17</v>
      </c>
      <c r="I478">
        <v>0</v>
      </c>
      <c r="J478" t="s">
        <v>18</v>
      </c>
      <c r="K478" s="1">
        <v>45970</v>
      </c>
      <c r="L478">
        <v>1</v>
      </c>
      <c r="M478">
        <v>5</v>
      </c>
      <c r="N478">
        <v>5</v>
      </c>
      <c r="O478">
        <v>2</v>
      </c>
      <c r="P478" t="str">
        <f t="shared" si="14"/>
        <v>Detractor</v>
      </c>
      <c r="Q478">
        <v>10</v>
      </c>
      <c r="R478" t="s">
        <v>1034</v>
      </c>
      <c r="S478">
        <v>10</v>
      </c>
      <c r="T478" t="s">
        <v>1034</v>
      </c>
      <c r="U478" t="str">
        <f t="shared" si="15"/>
        <v>Yes</v>
      </c>
    </row>
    <row r="479" spans="1:21" x14ac:dyDescent="0.3">
      <c r="A479" t="s">
        <v>800</v>
      </c>
      <c r="B479" t="s">
        <v>27</v>
      </c>
      <c r="C479" t="s">
        <v>16</v>
      </c>
      <c r="D479" s="1">
        <v>45955</v>
      </c>
      <c r="E479" s="1">
        <v>45958</v>
      </c>
      <c r="F479" s="1">
        <v>45963</v>
      </c>
      <c r="G479" s="1">
        <v>45965</v>
      </c>
      <c r="H479" t="s">
        <v>752</v>
      </c>
      <c r="I479">
        <v>1</v>
      </c>
      <c r="J479" t="s">
        <v>758</v>
      </c>
      <c r="K479" s="1"/>
      <c r="L479">
        <v>3</v>
      </c>
      <c r="M479">
        <v>5</v>
      </c>
      <c r="N479">
        <v>2</v>
      </c>
      <c r="P479" t="str">
        <f t="shared" si="14"/>
        <v>Not Applicable</v>
      </c>
      <c r="Q479">
        <v>10</v>
      </c>
      <c r="R479" t="s">
        <v>1034</v>
      </c>
      <c r="S479">
        <v>11</v>
      </c>
      <c r="T479" t="s">
        <v>1035</v>
      </c>
      <c r="U479" t="str">
        <f t="shared" si="15"/>
        <v>No</v>
      </c>
    </row>
    <row r="480" spans="1:21" x14ac:dyDescent="0.3">
      <c r="A480" t="s">
        <v>360</v>
      </c>
      <c r="B480" t="s">
        <v>27</v>
      </c>
      <c r="C480" t="s">
        <v>16</v>
      </c>
      <c r="D480" s="1">
        <v>45948</v>
      </c>
      <c r="E480" s="1">
        <v>45949</v>
      </c>
      <c r="F480" s="1">
        <v>45951</v>
      </c>
      <c r="G480" s="1">
        <v>45954</v>
      </c>
      <c r="H480" t="s">
        <v>17</v>
      </c>
      <c r="I480">
        <v>0</v>
      </c>
      <c r="J480" t="s">
        <v>18</v>
      </c>
      <c r="K480" s="1">
        <v>45978</v>
      </c>
      <c r="L480">
        <v>1</v>
      </c>
      <c r="M480">
        <v>2</v>
      </c>
      <c r="N480">
        <v>3</v>
      </c>
      <c r="O480">
        <v>7</v>
      </c>
      <c r="P480" t="str">
        <f t="shared" si="14"/>
        <v>Passive</v>
      </c>
      <c r="Q480">
        <v>10</v>
      </c>
      <c r="R480" t="s">
        <v>1034</v>
      </c>
      <c r="S480">
        <v>10</v>
      </c>
      <c r="T480" t="s">
        <v>1034</v>
      </c>
      <c r="U480" t="str">
        <f t="shared" si="15"/>
        <v>Yes</v>
      </c>
    </row>
    <row r="481" spans="1:21" x14ac:dyDescent="0.3">
      <c r="A481" t="s">
        <v>801</v>
      </c>
      <c r="B481" t="s">
        <v>27</v>
      </c>
      <c r="C481" t="s">
        <v>16</v>
      </c>
      <c r="D481" s="1">
        <v>45943</v>
      </c>
      <c r="E481" s="1">
        <v>45946</v>
      </c>
      <c r="F481" s="1">
        <v>45950</v>
      </c>
      <c r="G481" s="1">
        <v>45955</v>
      </c>
      <c r="H481" t="s">
        <v>752</v>
      </c>
      <c r="I481">
        <v>1</v>
      </c>
      <c r="J481" t="s">
        <v>777</v>
      </c>
      <c r="K481" s="1"/>
      <c r="L481">
        <v>3</v>
      </c>
      <c r="M481">
        <v>4</v>
      </c>
      <c r="N481">
        <v>5</v>
      </c>
      <c r="P481" t="str">
        <f t="shared" si="14"/>
        <v>Not Applicable</v>
      </c>
      <c r="Q481">
        <v>10</v>
      </c>
      <c r="R481" t="s">
        <v>1034</v>
      </c>
      <c r="S481">
        <v>10</v>
      </c>
      <c r="T481" t="s">
        <v>1034</v>
      </c>
      <c r="U481" t="str">
        <f t="shared" si="15"/>
        <v>No</v>
      </c>
    </row>
    <row r="482" spans="1:21" x14ac:dyDescent="0.3">
      <c r="A482" t="s">
        <v>433</v>
      </c>
      <c r="B482" t="s">
        <v>29</v>
      </c>
      <c r="C482" t="s">
        <v>16</v>
      </c>
      <c r="D482" s="1">
        <v>45945</v>
      </c>
      <c r="E482" s="1">
        <v>45947</v>
      </c>
      <c r="F482" s="1">
        <v>45949</v>
      </c>
      <c r="G482" s="1">
        <v>45956</v>
      </c>
      <c r="H482" t="s">
        <v>17</v>
      </c>
      <c r="I482">
        <v>0</v>
      </c>
      <c r="J482" t="s">
        <v>18</v>
      </c>
      <c r="K482" s="1">
        <v>45967</v>
      </c>
      <c r="L482">
        <v>2</v>
      </c>
      <c r="M482">
        <v>2</v>
      </c>
      <c r="N482">
        <v>7</v>
      </c>
      <c r="O482">
        <v>2</v>
      </c>
      <c r="P482" t="str">
        <f t="shared" si="14"/>
        <v>Detractor</v>
      </c>
      <c r="Q482">
        <v>10</v>
      </c>
      <c r="R482" t="s">
        <v>1034</v>
      </c>
      <c r="S482">
        <v>10</v>
      </c>
      <c r="T482" t="s">
        <v>1034</v>
      </c>
      <c r="U482" t="str">
        <f t="shared" si="15"/>
        <v>Yes</v>
      </c>
    </row>
    <row r="483" spans="1:21" x14ac:dyDescent="0.3">
      <c r="A483" t="s">
        <v>434</v>
      </c>
      <c r="B483" t="s">
        <v>29</v>
      </c>
      <c r="C483" t="s">
        <v>16</v>
      </c>
      <c r="D483" s="1">
        <v>45960</v>
      </c>
      <c r="E483" s="1">
        <v>45962</v>
      </c>
      <c r="F483" s="1">
        <v>45965</v>
      </c>
      <c r="G483" s="1">
        <v>45971</v>
      </c>
      <c r="H483" t="s">
        <v>17</v>
      </c>
      <c r="I483">
        <v>0</v>
      </c>
      <c r="J483" t="s">
        <v>18</v>
      </c>
      <c r="K483" s="1">
        <v>45992</v>
      </c>
      <c r="L483">
        <v>2</v>
      </c>
      <c r="M483">
        <v>3</v>
      </c>
      <c r="N483">
        <v>6</v>
      </c>
      <c r="O483">
        <v>8</v>
      </c>
      <c r="P483" t="str">
        <f t="shared" si="14"/>
        <v>Passive</v>
      </c>
      <c r="Q483">
        <v>11</v>
      </c>
      <c r="R483" t="s">
        <v>1035</v>
      </c>
      <c r="S483">
        <v>11</v>
      </c>
      <c r="T483" t="s">
        <v>1035</v>
      </c>
      <c r="U483" t="str">
        <f t="shared" si="15"/>
        <v>Yes</v>
      </c>
    </row>
    <row r="484" spans="1:21" x14ac:dyDescent="0.3">
      <c r="A484" t="s">
        <v>361</v>
      </c>
      <c r="B484" t="s">
        <v>15</v>
      </c>
      <c r="C484" t="s">
        <v>16</v>
      </c>
      <c r="D484" s="1">
        <v>45941</v>
      </c>
      <c r="E484" s="1">
        <v>45942</v>
      </c>
      <c r="F484" s="1">
        <v>45944</v>
      </c>
      <c r="G484" s="1">
        <v>45946</v>
      </c>
      <c r="H484" t="s">
        <v>17</v>
      </c>
      <c r="I484">
        <v>0</v>
      </c>
      <c r="J484" t="s">
        <v>18</v>
      </c>
      <c r="K484" s="1">
        <v>45962</v>
      </c>
      <c r="L484">
        <v>1</v>
      </c>
      <c r="M484">
        <v>2</v>
      </c>
      <c r="N484">
        <v>2</v>
      </c>
      <c r="O484">
        <v>5</v>
      </c>
      <c r="P484" t="str">
        <f t="shared" si="14"/>
        <v>Detractor</v>
      </c>
      <c r="Q484">
        <v>10</v>
      </c>
      <c r="R484" t="s">
        <v>1034</v>
      </c>
      <c r="S484">
        <v>10</v>
      </c>
      <c r="T484" t="s">
        <v>1034</v>
      </c>
      <c r="U484" t="str">
        <f t="shared" si="15"/>
        <v>Yes</v>
      </c>
    </row>
    <row r="485" spans="1:21" x14ac:dyDescent="0.3">
      <c r="A485" t="s">
        <v>72</v>
      </c>
      <c r="B485" t="s">
        <v>15</v>
      </c>
      <c r="C485" t="s">
        <v>16</v>
      </c>
      <c r="D485" s="1">
        <v>45958</v>
      </c>
      <c r="E485" s="1">
        <v>45961</v>
      </c>
      <c r="F485" s="1">
        <v>45964</v>
      </c>
      <c r="G485" s="1">
        <v>45970</v>
      </c>
      <c r="H485" t="s">
        <v>17</v>
      </c>
      <c r="I485">
        <v>0</v>
      </c>
      <c r="J485" t="s">
        <v>18</v>
      </c>
      <c r="K485" s="1">
        <v>45988</v>
      </c>
      <c r="L485">
        <v>3</v>
      </c>
      <c r="M485">
        <v>3</v>
      </c>
      <c r="N485">
        <v>6</v>
      </c>
      <c r="O485">
        <v>5</v>
      </c>
      <c r="P485" t="str">
        <f t="shared" si="14"/>
        <v>Detractor</v>
      </c>
      <c r="Q485">
        <v>10</v>
      </c>
      <c r="R485" t="s">
        <v>1034</v>
      </c>
      <c r="S485">
        <v>11</v>
      </c>
      <c r="T485" t="s">
        <v>1035</v>
      </c>
      <c r="U485" t="str">
        <f t="shared" si="15"/>
        <v>Yes</v>
      </c>
    </row>
    <row r="486" spans="1:21" x14ac:dyDescent="0.3">
      <c r="A486" t="s">
        <v>270</v>
      </c>
      <c r="B486" t="s">
        <v>27</v>
      </c>
      <c r="C486" t="s">
        <v>16</v>
      </c>
      <c r="D486" s="1">
        <v>45937</v>
      </c>
      <c r="E486" s="1">
        <v>45941</v>
      </c>
      <c r="F486" s="1">
        <v>45942</v>
      </c>
      <c r="G486" s="1">
        <v>45944</v>
      </c>
      <c r="H486" t="s">
        <v>17</v>
      </c>
      <c r="I486">
        <v>0</v>
      </c>
      <c r="J486" t="s">
        <v>18</v>
      </c>
      <c r="K486" s="1">
        <v>45965</v>
      </c>
      <c r="L486">
        <v>4</v>
      </c>
      <c r="M486">
        <v>1</v>
      </c>
      <c r="N486">
        <v>2</v>
      </c>
      <c r="O486">
        <v>6</v>
      </c>
      <c r="P486" t="str">
        <f t="shared" si="14"/>
        <v>Detractor</v>
      </c>
      <c r="Q486">
        <v>10</v>
      </c>
      <c r="R486" t="s">
        <v>1034</v>
      </c>
      <c r="S486">
        <v>10</v>
      </c>
      <c r="T486" t="s">
        <v>1034</v>
      </c>
      <c r="U486" t="str">
        <f t="shared" si="15"/>
        <v>Yes</v>
      </c>
    </row>
    <row r="487" spans="1:21" x14ac:dyDescent="0.3">
      <c r="A487" t="s">
        <v>802</v>
      </c>
      <c r="B487" t="s">
        <v>22</v>
      </c>
      <c r="C487" t="s">
        <v>16</v>
      </c>
      <c r="D487" s="1">
        <v>45953</v>
      </c>
      <c r="E487" s="1">
        <v>45955</v>
      </c>
      <c r="F487" s="1">
        <v>45959</v>
      </c>
      <c r="G487" s="1">
        <v>45963</v>
      </c>
      <c r="H487" t="s">
        <v>752</v>
      </c>
      <c r="I487">
        <v>1</v>
      </c>
      <c r="J487" t="s">
        <v>777</v>
      </c>
      <c r="K487" s="1"/>
      <c r="L487">
        <v>2</v>
      </c>
      <c r="M487">
        <v>4</v>
      </c>
      <c r="N487">
        <v>4</v>
      </c>
      <c r="P487" t="str">
        <f t="shared" si="14"/>
        <v>Not Applicable</v>
      </c>
      <c r="Q487">
        <v>10</v>
      </c>
      <c r="R487" t="s">
        <v>1034</v>
      </c>
      <c r="S487">
        <v>11</v>
      </c>
      <c r="T487" t="s">
        <v>1035</v>
      </c>
      <c r="U487" t="str">
        <f t="shared" si="15"/>
        <v>No</v>
      </c>
    </row>
    <row r="488" spans="1:21" x14ac:dyDescent="0.3">
      <c r="A488" t="s">
        <v>271</v>
      </c>
      <c r="B488" t="s">
        <v>22</v>
      </c>
      <c r="C488" t="s">
        <v>16</v>
      </c>
      <c r="D488" s="1">
        <v>45938</v>
      </c>
      <c r="E488" s="1">
        <v>45942</v>
      </c>
      <c r="F488" s="1">
        <v>45945</v>
      </c>
      <c r="G488" s="1">
        <v>45949</v>
      </c>
      <c r="H488" t="s">
        <v>17</v>
      </c>
      <c r="I488">
        <v>0</v>
      </c>
      <c r="J488" t="s">
        <v>18</v>
      </c>
      <c r="K488" s="1">
        <v>45973</v>
      </c>
      <c r="L488">
        <v>4</v>
      </c>
      <c r="M488">
        <v>3</v>
      </c>
      <c r="N488">
        <v>4</v>
      </c>
      <c r="O488">
        <v>9</v>
      </c>
      <c r="P488" t="str">
        <f t="shared" si="14"/>
        <v>Promoter</v>
      </c>
      <c r="Q488">
        <v>10</v>
      </c>
      <c r="R488" t="s">
        <v>1034</v>
      </c>
      <c r="S488">
        <v>10</v>
      </c>
      <c r="T488" t="s">
        <v>1034</v>
      </c>
      <c r="U488" t="str">
        <f t="shared" si="15"/>
        <v>Yes</v>
      </c>
    </row>
    <row r="489" spans="1:21" x14ac:dyDescent="0.3">
      <c r="A489" t="s">
        <v>571</v>
      </c>
      <c r="B489" t="s">
        <v>29</v>
      </c>
      <c r="C489" t="s">
        <v>474</v>
      </c>
      <c r="D489" s="1">
        <v>45949</v>
      </c>
      <c r="E489" s="1">
        <v>45953</v>
      </c>
      <c r="F489" s="1">
        <v>45954</v>
      </c>
      <c r="G489" s="1">
        <v>45957</v>
      </c>
      <c r="H489" t="s">
        <v>17</v>
      </c>
      <c r="I489">
        <v>0</v>
      </c>
      <c r="J489" t="s">
        <v>18</v>
      </c>
      <c r="K489" s="1">
        <v>45983</v>
      </c>
      <c r="L489">
        <v>4</v>
      </c>
      <c r="M489">
        <v>1</v>
      </c>
      <c r="N489">
        <v>3</v>
      </c>
      <c r="O489">
        <v>4</v>
      </c>
      <c r="P489" t="str">
        <f t="shared" si="14"/>
        <v>Detractor</v>
      </c>
      <c r="Q489">
        <v>10</v>
      </c>
      <c r="R489" t="s">
        <v>1034</v>
      </c>
      <c r="S489">
        <v>10</v>
      </c>
      <c r="T489" t="s">
        <v>1034</v>
      </c>
      <c r="U489" t="str">
        <f t="shared" si="15"/>
        <v>Yes</v>
      </c>
    </row>
    <row r="490" spans="1:21" x14ac:dyDescent="0.3">
      <c r="A490" t="s">
        <v>174</v>
      </c>
      <c r="B490" t="s">
        <v>29</v>
      </c>
      <c r="C490" t="s">
        <v>16</v>
      </c>
      <c r="D490" s="1">
        <v>45943</v>
      </c>
      <c r="E490" s="1">
        <v>45948</v>
      </c>
      <c r="F490" s="1">
        <v>45953</v>
      </c>
      <c r="G490" s="1">
        <v>45958</v>
      </c>
      <c r="H490" t="s">
        <v>17</v>
      </c>
      <c r="I490">
        <v>0</v>
      </c>
      <c r="J490" t="s">
        <v>18</v>
      </c>
      <c r="K490" s="1">
        <v>45980</v>
      </c>
      <c r="L490">
        <v>5</v>
      </c>
      <c r="M490">
        <v>5</v>
      </c>
      <c r="N490">
        <v>5</v>
      </c>
      <c r="O490">
        <v>5</v>
      </c>
      <c r="P490" t="str">
        <f t="shared" si="14"/>
        <v>Detractor</v>
      </c>
      <c r="Q490">
        <v>10</v>
      </c>
      <c r="R490" t="s">
        <v>1034</v>
      </c>
      <c r="S490">
        <v>10</v>
      </c>
      <c r="T490" t="s">
        <v>1034</v>
      </c>
      <c r="U490" t="str">
        <f t="shared" si="15"/>
        <v>Yes</v>
      </c>
    </row>
    <row r="491" spans="1:21" x14ac:dyDescent="0.3">
      <c r="A491" t="s">
        <v>572</v>
      </c>
      <c r="B491" t="s">
        <v>29</v>
      </c>
      <c r="C491" t="s">
        <v>474</v>
      </c>
      <c r="D491" s="1">
        <v>45938</v>
      </c>
      <c r="E491" s="1">
        <v>45939</v>
      </c>
      <c r="F491" s="1">
        <v>45941</v>
      </c>
      <c r="G491" s="1">
        <v>45947</v>
      </c>
      <c r="H491" t="s">
        <v>17</v>
      </c>
      <c r="I491">
        <v>0</v>
      </c>
      <c r="J491" t="s">
        <v>18</v>
      </c>
      <c r="K491" s="1">
        <v>45977</v>
      </c>
      <c r="L491">
        <v>1</v>
      </c>
      <c r="M491">
        <v>2</v>
      </c>
      <c r="N491">
        <v>6</v>
      </c>
      <c r="O491">
        <v>2</v>
      </c>
      <c r="P491" t="str">
        <f t="shared" si="14"/>
        <v>Detractor</v>
      </c>
      <c r="Q491">
        <v>10</v>
      </c>
      <c r="R491" t="s">
        <v>1034</v>
      </c>
      <c r="S491">
        <v>10</v>
      </c>
      <c r="T491" t="s">
        <v>1034</v>
      </c>
      <c r="U491" t="str">
        <f t="shared" si="15"/>
        <v>Yes</v>
      </c>
    </row>
    <row r="492" spans="1:21" x14ac:dyDescent="0.3">
      <c r="A492" t="s">
        <v>362</v>
      </c>
      <c r="B492" t="s">
        <v>15</v>
      </c>
      <c r="C492" t="s">
        <v>16</v>
      </c>
      <c r="D492" s="1">
        <v>45958</v>
      </c>
      <c r="E492" s="1">
        <v>45959</v>
      </c>
      <c r="F492" s="1">
        <v>45960</v>
      </c>
      <c r="G492" s="1">
        <v>45965</v>
      </c>
      <c r="H492" t="s">
        <v>17</v>
      </c>
      <c r="I492">
        <v>0</v>
      </c>
      <c r="J492" t="s">
        <v>18</v>
      </c>
      <c r="K492" s="1">
        <v>45978</v>
      </c>
      <c r="L492">
        <v>1</v>
      </c>
      <c r="M492">
        <v>1</v>
      </c>
      <c r="N492">
        <v>5</v>
      </c>
      <c r="O492">
        <v>9</v>
      </c>
      <c r="P492" t="str">
        <f t="shared" si="14"/>
        <v>Promoter</v>
      </c>
      <c r="Q492">
        <v>10</v>
      </c>
      <c r="R492" t="s">
        <v>1034</v>
      </c>
      <c r="S492">
        <v>11</v>
      </c>
      <c r="T492" t="s">
        <v>1035</v>
      </c>
      <c r="U492" t="str">
        <f t="shared" si="15"/>
        <v>Yes</v>
      </c>
    </row>
    <row r="493" spans="1:21" x14ac:dyDescent="0.3">
      <c r="A493" t="s">
        <v>803</v>
      </c>
      <c r="B493" t="s">
        <v>15</v>
      </c>
      <c r="C493" t="s">
        <v>16</v>
      </c>
      <c r="D493" s="1">
        <v>45955</v>
      </c>
      <c r="E493" s="1">
        <v>45956</v>
      </c>
      <c r="F493" s="1">
        <v>45959</v>
      </c>
      <c r="G493" s="1">
        <v>45963</v>
      </c>
      <c r="H493" t="s">
        <v>752</v>
      </c>
      <c r="I493">
        <v>1</v>
      </c>
      <c r="J493" t="s">
        <v>758</v>
      </c>
      <c r="K493" s="1"/>
      <c r="L493">
        <v>1</v>
      </c>
      <c r="M493">
        <v>3</v>
      </c>
      <c r="N493">
        <v>4</v>
      </c>
      <c r="P493" t="str">
        <f t="shared" si="14"/>
        <v>Not Applicable</v>
      </c>
      <c r="Q493">
        <v>10</v>
      </c>
      <c r="R493" t="s">
        <v>1034</v>
      </c>
      <c r="S493">
        <v>11</v>
      </c>
      <c r="T493" t="s">
        <v>1035</v>
      </c>
      <c r="U493" t="str">
        <f t="shared" si="15"/>
        <v>No</v>
      </c>
    </row>
    <row r="494" spans="1:21" x14ac:dyDescent="0.3">
      <c r="A494" t="s">
        <v>73</v>
      </c>
      <c r="B494" t="s">
        <v>29</v>
      </c>
      <c r="C494" t="s">
        <v>16</v>
      </c>
      <c r="D494" s="1">
        <v>45944</v>
      </c>
      <c r="E494" s="1">
        <v>45947</v>
      </c>
      <c r="F494" s="1">
        <v>45951</v>
      </c>
      <c r="G494" s="1">
        <v>45957</v>
      </c>
      <c r="H494" t="s">
        <v>17</v>
      </c>
      <c r="I494">
        <v>0</v>
      </c>
      <c r="J494" t="s">
        <v>18</v>
      </c>
      <c r="K494" s="1">
        <v>45967</v>
      </c>
      <c r="L494">
        <v>3</v>
      </c>
      <c r="M494">
        <v>4</v>
      </c>
      <c r="N494">
        <v>6</v>
      </c>
      <c r="O494">
        <v>3</v>
      </c>
      <c r="P494" t="str">
        <f t="shared" si="14"/>
        <v>Detractor</v>
      </c>
      <c r="Q494">
        <v>10</v>
      </c>
      <c r="R494" t="s">
        <v>1034</v>
      </c>
      <c r="S494">
        <v>10</v>
      </c>
      <c r="T494" t="s">
        <v>1034</v>
      </c>
      <c r="U494" t="str">
        <f t="shared" si="15"/>
        <v>Yes</v>
      </c>
    </row>
    <row r="495" spans="1:21" x14ac:dyDescent="0.3">
      <c r="A495" t="s">
        <v>435</v>
      </c>
      <c r="B495" t="s">
        <v>29</v>
      </c>
      <c r="C495" t="s">
        <v>16</v>
      </c>
      <c r="D495" s="1">
        <v>45932</v>
      </c>
      <c r="E495" s="1">
        <v>45934</v>
      </c>
      <c r="F495" s="1">
        <v>45939</v>
      </c>
      <c r="G495" s="1">
        <v>45946</v>
      </c>
      <c r="H495" t="s">
        <v>17</v>
      </c>
      <c r="I495">
        <v>0</v>
      </c>
      <c r="J495" t="s">
        <v>18</v>
      </c>
      <c r="K495" s="1">
        <v>45963</v>
      </c>
      <c r="L495">
        <v>2</v>
      </c>
      <c r="M495">
        <v>5</v>
      </c>
      <c r="N495">
        <v>7</v>
      </c>
      <c r="O495">
        <v>1</v>
      </c>
      <c r="P495" t="str">
        <f t="shared" si="14"/>
        <v>Detractor</v>
      </c>
      <c r="Q495">
        <v>10</v>
      </c>
      <c r="R495" t="s">
        <v>1034</v>
      </c>
      <c r="S495">
        <v>10</v>
      </c>
      <c r="T495" t="s">
        <v>1034</v>
      </c>
      <c r="U495" t="str">
        <f t="shared" si="15"/>
        <v>Yes</v>
      </c>
    </row>
    <row r="496" spans="1:21" x14ac:dyDescent="0.3">
      <c r="A496" t="s">
        <v>938</v>
      </c>
      <c r="B496" t="s">
        <v>29</v>
      </c>
      <c r="C496" t="s">
        <v>841</v>
      </c>
      <c r="D496" s="1">
        <v>45941</v>
      </c>
      <c r="E496" s="1"/>
      <c r="F496" s="1"/>
      <c r="G496" s="1"/>
      <c r="H496" t="s">
        <v>752</v>
      </c>
      <c r="I496">
        <v>1</v>
      </c>
      <c r="J496" t="s">
        <v>765</v>
      </c>
      <c r="K496" s="1"/>
      <c r="P496" t="str">
        <f t="shared" si="14"/>
        <v>Not Applicable</v>
      </c>
      <c r="R496" t="s">
        <v>1036</v>
      </c>
      <c r="T496" t="s">
        <v>1036</v>
      </c>
      <c r="U496" t="str">
        <f t="shared" si="15"/>
        <v>No</v>
      </c>
    </row>
    <row r="497" spans="1:21" x14ac:dyDescent="0.3">
      <c r="A497" t="s">
        <v>939</v>
      </c>
      <c r="B497" t="s">
        <v>22</v>
      </c>
      <c r="C497" t="s">
        <v>841</v>
      </c>
      <c r="D497" s="1">
        <v>45954</v>
      </c>
      <c r="E497" s="1"/>
      <c r="F497" s="1"/>
      <c r="G497" s="1"/>
      <c r="H497" t="s">
        <v>752</v>
      </c>
      <c r="I497">
        <v>1</v>
      </c>
      <c r="J497" t="s">
        <v>756</v>
      </c>
      <c r="K497" s="1"/>
      <c r="P497" t="str">
        <f t="shared" si="14"/>
        <v>Not Applicable</v>
      </c>
      <c r="R497" t="s">
        <v>1036</v>
      </c>
      <c r="T497" t="s">
        <v>1036</v>
      </c>
      <c r="U497" t="str">
        <f t="shared" si="15"/>
        <v>No</v>
      </c>
    </row>
    <row r="498" spans="1:21" x14ac:dyDescent="0.3">
      <c r="A498" t="s">
        <v>940</v>
      </c>
      <c r="B498" t="s">
        <v>15</v>
      </c>
      <c r="C498" t="s">
        <v>841</v>
      </c>
      <c r="D498" s="1">
        <v>45946</v>
      </c>
      <c r="E498" s="1"/>
      <c r="F498" s="1"/>
      <c r="G498" s="1"/>
      <c r="H498" t="s">
        <v>752</v>
      </c>
      <c r="I498">
        <v>1</v>
      </c>
      <c r="J498" t="s">
        <v>756</v>
      </c>
      <c r="K498" s="1"/>
      <c r="P498" t="str">
        <f t="shared" si="14"/>
        <v>Not Applicable</v>
      </c>
      <c r="R498" t="s">
        <v>1036</v>
      </c>
      <c r="T498" t="s">
        <v>1036</v>
      </c>
      <c r="U498" t="str">
        <f t="shared" si="15"/>
        <v>No</v>
      </c>
    </row>
    <row r="499" spans="1:21" x14ac:dyDescent="0.3">
      <c r="A499" t="s">
        <v>941</v>
      </c>
      <c r="B499" t="s">
        <v>22</v>
      </c>
      <c r="C499" t="s">
        <v>841</v>
      </c>
      <c r="D499" s="1">
        <v>45953</v>
      </c>
      <c r="E499" s="1"/>
      <c r="F499" s="1"/>
      <c r="G499" s="1"/>
      <c r="H499" t="s">
        <v>752</v>
      </c>
      <c r="I499">
        <v>1</v>
      </c>
      <c r="J499" t="s">
        <v>765</v>
      </c>
      <c r="K499" s="1"/>
      <c r="P499" t="str">
        <f t="shared" si="14"/>
        <v>Not Applicable</v>
      </c>
      <c r="R499" t="s">
        <v>1036</v>
      </c>
      <c r="T499" t="s">
        <v>1036</v>
      </c>
      <c r="U499" t="str">
        <f t="shared" si="15"/>
        <v>No</v>
      </c>
    </row>
    <row r="500" spans="1:21" x14ac:dyDescent="0.3">
      <c r="A500" t="s">
        <v>573</v>
      </c>
      <c r="B500" t="s">
        <v>22</v>
      </c>
      <c r="C500" t="s">
        <v>474</v>
      </c>
      <c r="D500" s="1">
        <v>45960</v>
      </c>
      <c r="E500" s="1">
        <v>45962</v>
      </c>
      <c r="F500" s="1">
        <v>45967</v>
      </c>
      <c r="G500" s="1">
        <v>45970</v>
      </c>
      <c r="H500" t="s">
        <v>17</v>
      </c>
      <c r="I500">
        <v>0</v>
      </c>
      <c r="J500" t="s">
        <v>18</v>
      </c>
      <c r="K500" s="1">
        <v>45991</v>
      </c>
      <c r="L500">
        <v>2</v>
      </c>
      <c r="M500">
        <v>5</v>
      </c>
      <c r="N500">
        <v>3</v>
      </c>
      <c r="O500">
        <v>8</v>
      </c>
      <c r="P500" t="str">
        <f t="shared" si="14"/>
        <v>Passive</v>
      </c>
      <c r="Q500">
        <v>11</v>
      </c>
      <c r="R500" t="s">
        <v>1035</v>
      </c>
      <c r="S500">
        <v>11</v>
      </c>
      <c r="T500" t="s">
        <v>1035</v>
      </c>
      <c r="U500" t="str">
        <f t="shared" si="15"/>
        <v>Yes</v>
      </c>
    </row>
    <row r="501" spans="1:21" x14ac:dyDescent="0.3">
      <c r="A501" t="s">
        <v>715</v>
      </c>
      <c r="B501" t="s">
        <v>29</v>
      </c>
      <c r="C501" t="s">
        <v>474</v>
      </c>
      <c r="D501" s="1">
        <v>45956</v>
      </c>
      <c r="E501" s="1">
        <v>45961</v>
      </c>
      <c r="F501" s="1">
        <v>45962</v>
      </c>
      <c r="G501" s="1">
        <v>45967</v>
      </c>
      <c r="H501" t="s">
        <v>17</v>
      </c>
      <c r="I501">
        <v>0</v>
      </c>
      <c r="J501" t="s">
        <v>18</v>
      </c>
      <c r="K501" s="1">
        <v>45992</v>
      </c>
      <c r="L501">
        <v>5</v>
      </c>
      <c r="M501">
        <v>1</v>
      </c>
      <c r="N501">
        <v>5</v>
      </c>
      <c r="O501">
        <v>7</v>
      </c>
      <c r="P501" t="str">
        <f t="shared" si="14"/>
        <v>Passive</v>
      </c>
      <c r="Q501">
        <v>10</v>
      </c>
      <c r="R501" t="s">
        <v>1034</v>
      </c>
      <c r="S501">
        <v>11</v>
      </c>
      <c r="T501" t="s">
        <v>1035</v>
      </c>
      <c r="U501" t="str">
        <f t="shared" si="15"/>
        <v>Yes</v>
      </c>
    </row>
    <row r="502" spans="1:21" x14ac:dyDescent="0.3">
      <c r="A502" t="s">
        <v>175</v>
      </c>
      <c r="B502" t="s">
        <v>29</v>
      </c>
      <c r="C502" t="s">
        <v>16</v>
      </c>
      <c r="D502" s="1">
        <v>45943</v>
      </c>
      <c r="E502" s="1">
        <v>45948</v>
      </c>
      <c r="F502" s="1">
        <v>45949</v>
      </c>
      <c r="G502" s="1">
        <v>45951</v>
      </c>
      <c r="H502" t="s">
        <v>17</v>
      </c>
      <c r="I502">
        <v>0</v>
      </c>
      <c r="J502" t="s">
        <v>18</v>
      </c>
      <c r="K502" s="1">
        <v>45980</v>
      </c>
      <c r="L502">
        <v>5</v>
      </c>
      <c r="M502">
        <v>1</v>
      </c>
      <c r="N502">
        <v>2</v>
      </c>
      <c r="O502">
        <v>9</v>
      </c>
      <c r="P502" t="str">
        <f t="shared" si="14"/>
        <v>Promoter</v>
      </c>
      <c r="Q502">
        <v>10</v>
      </c>
      <c r="R502" t="s">
        <v>1034</v>
      </c>
      <c r="S502">
        <v>10</v>
      </c>
      <c r="T502" t="s">
        <v>1034</v>
      </c>
      <c r="U502" t="str">
        <f t="shared" si="15"/>
        <v>Yes</v>
      </c>
    </row>
    <row r="503" spans="1:21" x14ac:dyDescent="0.3">
      <c r="A503" t="s">
        <v>716</v>
      </c>
      <c r="B503" t="s">
        <v>27</v>
      </c>
      <c r="C503" t="s">
        <v>474</v>
      </c>
      <c r="D503" s="1">
        <v>45943</v>
      </c>
      <c r="E503" s="1">
        <v>45948</v>
      </c>
      <c r="F503" s="1">
        <v>45950</v>
      </c>
      <c r="G503" s="1">
        <v>45952</v>
      </c>
      <c r="H503" t="s">
        <v>17</v>
      </c>
      <c r="I503">
        <v>0</v>
      </c>
      <c r="J503" t="s">
        <v>18</v>
      </c>
      <c r="K503" s="1">
        <v>45976</v>
      </c>
      <c r="L503">
        <v>5</v>
      </c>
      <c r="M503">
        <v>2</v>
      </c>
      <c r="N503">
        <v>2</v>
      </c>
      <c r="O503">
        <v>4</v>
      </c>
      <c r="P503" t="str">
        <f t="shared" si="14"/>
        <v>Detractor</v>
      </c>
      <c r="Q503">
        <v>10</v>
      </c>
      <c r="R503" t="s">
        <v>1034</v>
      </c>
      <c r="S503">
        <v>10</v>
      </c>
      <c r="T503" t="s">
        <v>1034</v>
      </c>
      <c r="U503" t="str">
        <f t="shared" si="15"/>
        <v>Yes</v>
      </c>
    </row>
    <row r="504" spans="1:21" x14ac:dyDescent="0.3">
      <c r="A504" t="s">
        <v>272</v>
      </c>
      <c r="B504" t="s">
        <v>27</v>
      </c>
      <c r="C504" t="s">
        <v>16</v>
      </c>
      <c r="D504" s="1">
        <v>45952</v>
      </c>
      <c r="E504" s="1">
        <v>45956</v>
      </c>
      <c r="F504" s="1">
        <v>45961</v>
      </c>
      <c r="G504" s="1">
        <v>45967</v>
      </c>
      <c r="H504" t="s">
        <v>17</v>
      </c>
      <c r="I504">
        <v>0</v>
      </c>
      <c r="J504" t="s">
        <v>18</v>
      </c>
      <c r="K504" s="1">
        <v>45982</v>
      </c>
      <c r="L504">
        <v>4</v>
      </c>
      <c r="M504">
        <v>5</v>
      </c>
      <c r="N504">
        <v>6</v>
      </c>
      <c r="O504">
        <v>5</v>
      </c>
      <c r="P504" t="str">
        <f t="shared" si="14"/>
        <v>Detractor</v>
      </c>
      <c r="Q504">
        <v>10</v>
      </c>
      <c r="R504" t="s">
        <v>1034</v>
      </c>
      <c r="S504">
        <v>11</v>
      </c>
      <c r="T504" t="s">
        <v>1035</v>
      </c>
      <c r="U504" t="str">
        <f t="shared" si="15"/>
        <v>Yes</v>
      </c>
    </row>
    <row r="505" spans="1:21" x14ac:dyDescent="0.3">
      <c r="A505" t="s">
        <v>363</v>
      </c>
      <c r="B505" t="s">
        <v>22</v>
      </c>
      <c r="C505" t="s">
        <v>16</v>
      </c>
      <c r="D505" s="1">
        <v>45956</v>
      </c>
      <c r="E505" s="1">
        <v>45957</v>
      </c>
      <c r="F505" s="1">
        <v>45962</v>
      </c>
      <c r="G505" s="1">
        <v>45964</v>
      </c>
      <c r="H505" t="s">
        <v>17</v>
      </c>
      <c r="I505">
        <v>0</v>
      </c>
      <c r="J505" t="s">
        <v>18</v>
      </c>
      <c r="K505" s="1">
        <v>45989</v>
      </c>
      <c r="L505">
        <v>1</v>
      </c>
      <c r="M505">
        <v>5</v>
      </c>
      <c r="N505">
        <v>2</v>
      </c>
      <c r="O505">
        <v>10</v>
      </c>
      <c r="P505" t="str">
        <f t="shared" si="14"/>
        <v>Promoter</v>
      </c>
      <c r="Q505">
        <v>10</v>
      </c>
      <c r="R505" t="s">
        <v>1034</v>
      </c>
      <c r="S505">
        <v>11</v>
      </c>
      <c r="T505" t="s">
        <v>1035</v>
      </c>
      <c r="U505" t="str">
        <f t="shared" si="15"/>
        <v>Yes</v>
      </c>
    </row>
    <row r="506" spans="1:21" x14ac:dyDescent="0.3">
      <c r="A506" t="s">
        <v>74</v>
      </c>
      <c r="B506" t="s">
        <v>15</v>
      </c>
      <c r="C506" t="s">
        <v>16</v>
      </c>
      <c r="D506" s="1">
        <v>45957</v>
      </c>
      <c r="E506" s="1">
        <v>45960</v>
      </c>
      <c r="F506" s="1">
        <v>45962</v>
      </c>
      <c r="G506" s="1">
        <v>45964</v>
      </c>
      <c r="H506" t="s">
        <v>17</v>
      </c>
      <c r="I506">
        <v>0</v>
      </c>
      <c r="J506" t="s">
        <v>18</v>
      </c>
      <c r="K506" s="1">
        <v>45992</v>
      </c>
      <c r="L506">
        <v>3</v>
      </c>
      <c r="M506">
        <v>2</v>
      </c>
      <c r="N506">
        <v>2</v>
      </c>
      <c r="O506">
        <v>1</v>
      </c>
      <c r="P506" t="str">
        <f t="shared" si="14"/>
        <v>Detractor</v>
      </c>
      <c r="Q506">
        <v>10</v>
      </c>
      <c r="R506" t="s">
        <v>1034</v>
      </c>
      <c r="S506">
        <v>11</v>
      </c>
      <c r="T506" t="s">
        <v>1035</v>
      </c>
      <c r="U506" t="str">
        <f t="shared" si="15"/>
        <v>Yes</v>
      </c>
    </row>
    <row r="507" spans="1:21" x14ac:dyDescent="0.3">
      <c r="A507" t="s">
        <v>436</v>
      </c>
      <c r="B507" t="s">
        <v>29</v>
      </c>
      <c r="C507" t="s">
        <v>16</v>
      </c>
      <c r="D507" s="1">
        <v>45951</v>
      </c>
      <c r="E507" s="1">
        <v>45953</v>
      </c>
      <c r="F507" s="1">
        <v>45957</v>
      </c>
      <c r="G507" s="1">
        <v>45961</v>
      </c>
      <c r="H507" t="s">
        <v>17</v>
      </c>
      <c r="I507">
        <v>0</v>
      </c>
      <c r="J507" t="s">
        <v>18</v>
      </c>
      <c r="K507" s="1">
        <v>45988</v>
      </c>
      <c r="L507">
        <v>2</v>
      </c>
      <c r="M507">
        <v>4</v>
      </c>
      <c r="N507">
        <v>4</v>
      </c>
      <c r="O507">
        <v>10</v>
      </c>
      <c r="P507" t="str">
        <f t="shared" si="14"/>
        <v>Promoter</v>
      </c>
      <c r="Q507">
        <v>10</v>
      </c>
      <c r="R507" t="s">
        <v>1034</v>
      </c>
      <c r="S507">
        <v>10</v>
      </c>
      <c r="T507" t="s">
        <v>1034</v>
      </c>
      <c r="U507" t="str">
        <f t="shared" si="15"/>
        <v>Yes</v>
      </c>
    </row>
    <row r="508" spans="1:21" x14ac:dyDescent="0.3">
      <c r="A508" t="s">
        <v>75</v>
      </c>
      <c r="B508" t="s">
        <v>29</v>
      </c>
      <c r="C508" t="s">
        <v>16</v>
      </c>
      <c r="D508" s="1">
        <v>45935</v>
      </c>
      <c r="E508" s="1">
        <v>45938</v>
      </c>
      <c r="F508" s="1">
        <v>45940</v>
      </c>
      <c r="G508" s="1">
        <v>45943</v>
      </c>
      <c r="H508" t="s">
        <v>17</v>
      </c>
      <c r="I508">
        <v>0</v>
      </c>
      <c r="J508" t="s">
        <v>18</v>
      </c>
      <c r="K508" s="1">
        <v>45964</v>
      </c>
      <c r="L508">
        <v>3</v>
      </c>
      <c r="M508">
        <v>2</v>
      </c>
      <c r="N508">
        <v>3</v>
      </c>
      <c r="O508">
        <v>5</v>
      </c>
      <c r="P508" t="str">
        <f t="shared" si="14"/>
        <v>Detractor</v>
      </c>
      <c r="Q508">
        <v>10</v>
      </c>
      <c r="R508" t="s">
        <v>1034</v>
      </c>
      <c r="S508">
        <v>10</v>
      </c>
      <c r="T508" t="s">
        <v>1034</v>
      </c>
      <c r="U508" t="str">
        <f t="shared" si="15"/>
        <v>Yes</v>
      </c>
    </row>
    <row r="509" spans="1:21" x14ac:dyDescent="0.3">
      <c r="A509" t="s">
        <v>364</v>
      </c>
      <c r="B509" t="s">
        <v>22</v>
      </c>
      <c r="C509" t="s">
        <v>16</v>
      </c>
      <c r="D509" s="1">
        <v>45946</v>
      </c>
      <c r="E509" s="1">
        <v>45947</v>
      </c>
      <c r="F509" s="1">
        <v>45950</v>
      </c>
      <c r="G509" s="1">
        <v>45952</v>
      </c>
      <c r="H509" t="s">
        <v>17</v>
      </c>
      <c r="I509">
        <v>0</v>
      </c>
      <c r="J509" t="s">
        <v>18</v>
      </c>
      <c r="K509" s="1">
        <v>45973</v>
      </c>
      <c r="L509">
        <v>1</v>
      </c>
      <c r="M509">
        <v>3</v>
      </c>
      <c r="N509">
        <v>2</v>
      </c>
      <c r="O509">
        <v>5</v>
      </c>
      <c r="P509" t="str">
        <f t="shared" si="14"/>
        <v>Detractor</v>
      </c>
      <c r="Q509">
        <v>10</v>
      </c>
      <c r="R509" t="s">
        <v>1034</v>
      </c>
      <c r="S509">
        <v>10</v>
      </c>
      <c r="T509" t="s">
        <v>1034</v>
      </c>
      <c r="U509" t="str">
        <f t="shared" si="15"/>
        <v>Yes</v>
      </c>
    </row>
    <row r="510" spans="1:21" x14ac:dyDescent="0.3">
      <c r="A510" t="s">
        <v>942</v>
      </c>
      <c r="B510" t="s">
        <v>27</v>
      </c>
      <c r="C510" t="s">
        <v>841</v>
      </c>
      <c r="D510" s="1">
        <v>45961</v>
      </c>
      <c r="E510" s="1"/>
      <c r="F510" s="1"/>
      <c r="G510" s="1"/>
      <c r="H510" t="s">
        <v>752</v>
      </c>
      <c r="I510">
        <v>1</v>
      </c>
      <c r="J510" t="s">
        <v>756</v>
      </c>
      <c r="K510" s="1"/>
      <c r="P510" t="str">
        <f t="shared" si="14"/>
        <v>Not Applicable</v>
      </c>
      <c r="R510" t="s">
        <v>1036</v>
      </c>
      <c r="T510" t="s">
        <v>1036</v>
      </c>
      <c r="U510" t="str">
        <f t="shared" si="15"/>
        <v>No</v>
      </c>
    </row>
    <row r="511" spans="1:21" x14ac:dyDescent="0.3">
      <c r="A511" t="s">
        <v>365</v>
      </c>
      <c r="B511" t="s">
        <v>15</v>
      </c>
      <c r="C511" t="s">
        <v>16</v>
      </c>
      <c r="D511" s="1">
        <v>45932</v>
      </c>
      <c r="E511" s="1">
        <v>45933</v>
      </c>
      <c r="F511" s="1">
        <v>45936</v>
      </c>
      <c r="G511" s="1">
        <v>45938</v>
      </c>
      <c r="H511" t="s">
        <v>17</v>
      </c>
      <c r="I511">
        <v>0</v>
      </c>
      <c r="J511" t="s">
        <v>18</v>
      </c>
      <c r="K511" s="1">
        <v>45953</v>
      </c>
      <c r="L511">
        <v>1</v>
      </c>
      <c r="M511">
        <v>3</v>
      </c>
      <c r="N511">
        <v>2</v>
      </c>
      <c r="O511">
        <v>7</v>
      </c>
      <c r="P511" t="str">
        <f t="shared" si="14"/>
        <v>Passive</v>
      </c>
      <c r="Q511">
        <v>10</v>
      </c>
      <c r="R511" t="s">
        <v>1034</v>
      </c>
      <c r="S511">
        <v>10</v>
      </c>
      <c r="T511" t="s">
        <v>1034</v>
      </c>
      <c r="U511" t="str">
        <f t="shared" si="15"/>
        <v>Yes</v>
      </c>
    </row>
    <row r="512" spans="1:21" x14ac:dyDescent="0.3">
      <c r="A512" t="s">
        <v>943</v>
      </c>
      <c r="B512" t="s">
        <v>27</v>
      </c>
      <c r="C512" t="s">
        <v>841</v>
      </c>
      <c r="D512" s="1">
        <v>45935</v>
      </c>
      <c r="E512" s="1"/>
      <c r="F512" s="1"/>
      <c r="G512" s="1"/>
      <c r="H512" t="s">
        <v>752</v>
      </c>
      <c r="I512">
        <v>1</v>
      </c>
      <c r="J512" t="s">
        <v>753</v>
      </c>
      <c r="K512" s="1"/>
      <c r="P512" t="str">
        <f t="shared" si="14"/>
        <v>Not Applicable</v>
      </c>
      <c r="R512" t="s">
        <v>1036</v>
      </c>
      <c r="T512" t="s">
        <v>1036</v>
      </c>
      <c r="U512" t="str">
        <f t="shared" si="15"/>
        <v>No</v>
      </c>
    </row>
    <row r="513" spans="1:21" x14ac:dyDescent="0.3">
      <c r="A513" t="s">
        <v>574</v>
      </c>
      <c r="B513" t="s">
        <v>27</v>
      </c>
      <c r="C513" t="s">
        <v>474</v>
      </c>
      <c r="D513" s="1">
        <v>45947</v>
      </c>
      <c r="E513" s="1">
        <v>45949</v>
      </c>
      <c r="F513" s="1">
        <v>45950</v>
      </c>
      <c r="G513" s="1">
        <v>45955</v>
      </c>
      <c r="H513" t="s">
        <v>17</v>
      </c>
      <c r="I513">
        <v>0</v>
      </c>
      <c r="J513" t="s">
        <v>18</v>
      </c>
      <c r="K513" s="1">
        <v>45973</v>
      </c>
      <c r="L513">
        <v>2</v>
      </c>
      <c r="M513">
        <v>1</v>
      </c>
      <c r="N513">
        <v>5</v>
      </c>
      <c r="O513">
        <v>7</v>
      </c>
      <c r="P513" t="str">
        <f t="shared" si="14"/>
        <v>Passive</v>
      </c>
      <c r="Q513">
        <v>10</v>
      </c>
      <c r="R513" t="s">
        <v>1034</v>
      </c>
      <c r="S513">
        <v>10</v>
      </c>
      <c r="T513" t="s">
        <v>1034</v>
      </c>
      <c r="U513" t="str">
        <f t="shared" si="15"/>
        <v>Yes</v>
      </c>
    </row>
    <row r="514" spans="1:21" x14ac:dyDescent="0.3">
      <c r="A514" t="s">
        <v>944</v>
      </c>
      <c r="B514" t="s">
        <v>27</v>
      </c>
      <c r="C514" t="s">
        <v>841</v>
      </c>
      <c r="D514" s="1">
        <v>45961</v>
      </c>
      <c r="E514" s="1"/>
      <c r="F514" s="1"/>
      <c r="G514" s="1"/>
      <c r="H514" t="s">
        <v>752</v>
      </c>
      <c r="I514">
        <v>1</v>
      </c>
      <c r="J514" t="s">
        <v>758</v>
      </c>
      <c r="K514" s="1"/>
      <c r="P514" t="str">
        <f t="shared" ref="P514:P577" si="16">IF(ISBLANK(O514), "Not Applicable", IF(O514&gt;=9, "Promoter", IF(O514&gt;=7, "Passive", "Detractor")))</f>
        <v>Not Applicable</v>
      </c>
      <c r="R514" t="s">
        <v>1036</v>
      </c>
      <c r="T514" t="s">
        <v>1036</v>
      </c>
      <c r="U514" t="str">
        <f t="shared" ref="U514:U577" si="17">IF(
H514="Yes","No",
IF(
OR(
C514="Hot",
AND(C514="Warm",NOT(ISBLANK(E514)))
),
"Yes",
"No"
)
)</f>
        <v>No</v>
      </c>
    </row>
    <row r="515" spans="1:21" x14ac:dyDescent="0.3">
      <c r="A515" t="s">
        <v>273</v>
      </c>
      <c r="B515" t="s">
        <v>27</v>
      </c>
      <c r="C515" t="s">
        <v>16</v>
      </c>
      <c r="D515" s="1">
        <v>45949</v>
      </c>
      <c r="E515" s="1">
        <v>45953</v>
      </c>
      <c r="F515" s="1">
        <v>45955</v>
      </c>
      <c r="G515" s="1">
        <v>45961</v>
      </c>
      <c r="H515" t="s">
        <v>17</v>
      </c>
      <c r="I515">
        <v>0</v>
      </c>
      <c r="J515" t="s">
        <v>18</v>
      </c>
      <c r="K515" s="1">
        <v>45973</v>
      </c>
      <c r="L515">
        <v>4</v>
      </c>
      <c r="M515">
        <v>2</v>
      </c>
      <c r="N515">
        <v>6</v>
      </c>
      <c r="O515">
        <v>3</v>
      </c>
      <c r="P515" t="str">
        <f t="shared" si="16"/>
        <v>Detractor</v>
      </c>
      <c r="Q515">
        <v>10</v>
      </c>
      <c r="R515" t="s">
        <v>1034</v>
      </c>
      <c r="S515">
        <v>10</v>
      </c>
      <c r="T515" t="s">
        <v>1034</v>
      </c>
      <c r="U515" t="str">
        <f t="shared" si="17"/>
        <v>Yes</v>
      </c>
    </row>
    <row r="516" spans="1:21" x14ac:dyDescent="0.3">
      <c r="A516" t="s">
        <v>176</v>
      </c>
      <c r="B516" t="s">
        <v>29</v>
      </c>
      <c r="C516" t="s">
        <v>16</v>
      </c>
      <c r="D516" s="1">
        <v>45941</v>
      </c>
      <c r="E516" s="1">
        <v>45946</v>
      </c>
      <c r="F516" s="1">
        <v>45948</v>
      </c>
      <c r="G516" s="1">
        <v>45952</v>
      </c>
      <c r="H516" t="s">
        <v>17</v>
      </c>
      <c r="I516">
        <v>0</v>
      </c>
      <c r="J516" t="s">
        <v>18</v>
      </c>
      <c r="K516" s="1">
        <v>45971</v>
      </c>
      <c r="L516">
        <v>5</v>
      </c>
      <c r="M516">
        <v>2</v>
      </c>
      <c r="N516">
        <v>4</v>
      </c>
      <c r="O516">
        <v>5</v>
      </c>
      <c r="P516" t="str">
        <f t="shared" si="16"/>
        <v>Detractor</v>
      </c>
      <c r="Q516">
        <v>10</v>
      </c>
      <c r="R516" t="s">
        <v>1034</v>
      </c>
      <c r="S516">
        <v>10</v>
      </c>
      <c r="T516" t="s">
        <v>1034</v>
      </c>
      <c r="U516" t="str">
        <f t="shared" si="17"/>
        <v>Yes</v>
      </c>
    </row>
    <row r="517" spans="1:21" x14ac:dyDescent="0.3">
      <c r="A517" t="s">
        <v>804</v>
      </c>
      <c r="B517" t="s">
        <v>29</v>
      </c>
      <c r="C517" t="s">
        <v>474</v>
      </c>
      <c r="D517" s="1">
        <v>45958</v>
      </c>
      <c r="E517" s="1">
        <v>45962</v>
      </c>
      <c r="F517" s="1">
        <v>45963</v>
      </c>
      <c r="G517" s="1">
        <v>45970</v>
      </c>
      <c r="H517" t="s">
        <v>752</v>
      </c>
      <c r="I517">
        <v>1</v>
      </c>
      <c r="J517" t="s">
        <v>758</v>
      </c>
      <c r="K517" s="1"/>
      <c r="L517">
        <v>4</v>
      </c>
      <c r="M517">
        <v>1</v>
      </c>
      <c r="N517">
        <v>7</v>
      </c>
      <c r="P517" t="str">
        <f t="shared" si="16"/>
        <v>Not Applicable</v>
      </c>
      <c r="Q517">
        <v>11</v>
      </c>
      <c r="R517" t="s">
        <v>1035</v>
      </c>
      <c r="S517">
        <v>11</v>
      </c>
      <c r="T517" t="s">
        <v>1035</v>
      </c>
      <c r="U517" t="str">
        <f t="shared" si="17"/>
        <v>No</v>
      </c>
    </row>
    <row r="518" spans="1:21" x14ac:dyDescent="0.3">
      <c r="A518" t="s">
        <v>366</v>
      </c>
      <c r="B518" t="s">
        <v>27</v>
      </c>
      <c r="C518" t="s">
        <v>16</v>
      </c>
      <c r="D518" s="1">
        <v>45934</v>
      </c>
      <c r="E518" s="1">
        <v>45935</v>
      </c>
      <c r="F518" s="1">
        <v>45939</v>
      </c>
      <c r="G518" s="1">
        <v>45946</v>
      </c>
      <c r="H518" t="s">
        <v>17</v>
      </c>
      <c r="I518">
        <v>0</v>
      </c>
      <c r="J518" t="s">
        <v>18</v>
      </c>
      <c r="K518" s="1">
        <v>45956</v>
      </c>
      <c r="L518">
        <v>1</v>
      </c>
      <c r="M518">
        <v>4</v>
      </c>
      <c r="N518">
        <v>7</v>
      </c>
      <c r="O518">
        <v>2</v>
      </c>
      <c r="P518" t="str">
        <f t="shared" si="16"/>
        <v>Detractor</v>
      </c>
      <c r="Q518">
        <v>10</v>
      </c>
      <c r="R518" t="s">
        <v>1034</v>
      </c>
      <c r="S518">
        <v>10</v>
      </c>
      <c r="T518" t="s">
        <v>1034</v>
      </c>
      <c r="U518" t="str">
        <f t="shared" si="17"/>
        <v>Yes</v>
      </c>
    </row>
    <row r="519" spans="1:21" x14ac:dyDescent="0.3">
      <c r="A519" t="s">
        <v>575</v>
      </c>
      <c r="B519" t="s">
        <v>15</v>
      </c>
      <c r="C519" t="s">
        <v>474</v>
      </c>
      <c r="D519" s="1">
        <v>45958</v>
      </c>
      <c r="E519" s="1">
        <v>45959</v>
      </c>
      <c r="F519" s="1">
        <v>45961</v>
      </c>
      <c r="G519" s="1">
        <v>45967</v>
      </c>
      <c r="H519" t="s">
        <v>17</v>
      </c>
      <c r="I519">
        <v>0</v>
      </c>
      <c r="J519" t="s">
        <v>18</v>
      </c>
      <c r="K519" s="1">
        <v>45989</v>
      </c>
      <c r="L519">
        <v>1</v>
      </c>
      <c r="M519">
        <v>2</v>
      </c>
      <c r="N519">
        <v>6</v>
      </c>
      <c r="O519">
        <v>1</v>
      </c>
      <c r="P519" t="str">
        <f t="shared" si="16"/>
        <v>Detractor</v>
      </c>
      <c r="Q519">
        <v>10</v>
      </c>
      <c r="R519" t="s">
        <v>1034</v>
      </c>
      <c r="S519">
        <v>11</v>
      </c>
      <c r="T519" t="s">
        <v>1035</v>
      </c>
      <c r="U519" t="str">
        <f t="shared" si="17"/>
        <v>Yes</v>
      </c>
    </row>
    <row r="520" spans="1:21" x14ac:dyDescent="0.3">
      <c r="A520" t="s">
        <v>576</v>
      </c>
      <c r="B520" t="s">
        <v>22</v>
      </c>
      <c r="C520" t="s">
        <v>474</v>
      </c>
      <c r="D520" s="1">
        <v>45958</v>
      </c>
      <c r="E520" s="1">
        <v>45962</v>
      </c>
      <c r="F520" s="1">
        <v>45967</v>
      </c>
      <c r="G520" s="1">
        <v>45972</v>
      </c>
      <c r="H520" t="s">
        <v>17</v>
      </c>
      <c r="I520">
        <v>0</v>
      </c>
      <c r="J520" t="s">
        <v>18</v>
      </c>
      <c r="K520" s="1">
        <v>45983</v>
      </c>
      <c r="L520">
        <v>4</v>
      </c>
      <c r="M520">
        <v>5</v>
      </c>
      <c r="N520">
        <v>5</v>
      </c>
      <c r="O520">
        <v>10</v>
      </c>
      <c r="P520" t="str">
        <f t="shared" si="16"/>
        <v>Promoter</v>
      </c>
      <c r="Q520">
        <v>11</v>
      </c>
      <c r="R520" t="s">
        <v>1035</v>
      </c>
      <c r="S520">
        <v>11</v>
      </c>
      <c r="T520" t="s">
        <v>1035</v>
      </c>
      <c r="U520" t="str">
        <f t="shared" si="17"/>
        <v>Yes</v>
      </c>
    </row>
    <row r="521" spans="1:21" x14ac:dyDescent="0.3">
      <c r="A521" t="s">
        <v>177</v>
      </c>
      <c r="B521" t="s">
        <v>15</v>
      </c>
      <c r="C521" t="s">
        <v>16</v>
      </c>
      <c r="D521" s="1">
        <v>45945</v>
      </c>
      <c r="E521" s="1">
        <v>45950</v>
      </c>
      <c r="F521" s="1">
        <v>45952</v>
      </c>
      <c r="G521" s="1">
        <v>45957</v>
      </c>
      <c r="H521" t="s">
        <v>17</v>
      </c>
      <c r="I521">
        <v>0</v>
      </c>
      <c r="J521" t="s">
        <v>18</v>
      </c>
      <c r="K521" s="1">
        <v>45972</v>
      </c>
      <c r="L521">
        <v>5</v>
      </c>
      <c r="M521">
        <v>2</v>
      </c>
      <c r="N521">
        <v>5</v>
      </c>
      <c r="O521">
        <v>6</v>
      </c>
      <c r="P521" t="str">
        <f t="shared" si="16"/>
        <v>Detractor</v>
      </c>
      <c r="Q521">
        <v>10</v>
      </c>
      <c r="R521" t="s">
        <v>1034</v>
      </c>
      <c r="S521">
        <v>10</v>
      </c>
      <c r="T521" t="s">
        <v>1034</v>
      </c>
      <c r="U521" t="str">
        <f t="shared" si="17"/>
        <v>Yes</v>
      </c>
    </row>
    <row r="522" spans="1:21" x14ac:dyDescent="0.3">
      <c r="A522" t="s">
        <v>178</v>
      </c>
      <c r="B522" t="s">
        <v>15</v>
      </c>
      <c r="C522" t="s">
        <v>16</v>
      </c>
      <c r="D522" s="1">
        <v>45934</v>
      </c>
      <c r="E522" s="1">
        <v>45939</v>
      </c>
      <c r="F522" s="1">
        <v>45943</v>
      </c>
      <c r="G522" s="1">
        <v>45950</v>
      </c>
      <c r="H522" t="s">
        <v>17</v>
      </c>
      <c r="I522">
        <v>0</v>
      </c>
      <c r="J522" t="s">
        <v>18</v>
      </c>
      <c r="K522" s="1">
        <v>45978</v>
      </c>
      <c r="L522">
        <v>5</v>
      </c>
      <c r="M522">
        <v>4</v>
      </c>
      <c r="N522">
        <v>7</v>
      </c>
      <c r="O522">
        <v>7</v>
      </c>
      <c r="P522" t="str">
        <f t="shared" si="16"/>
        <v>Passive</v>
      </c>
      <c r="Q522">
        <v>10</v>
      </c>
      <c r="R522" t="s">
        <v>1034</v>
      </c>
      <c r="S522">
        <v>10</v>
      </c>
      <c r="T522" t="s">
        <v>1034</v>
      </c>
      <c r="U522" t="str">
        <f t="shared" si="17"/>
        <v>Yes</v>
      </c>
    </row>
    <row r="523" spans="1:21" x14ac:dyDescent="0.3">
      <c r="A523" t="s">
        <v>367</v>
      </c>
      <c r="B523" t="s">
        <v>15</v>
      </c>
      <c r="C523" t="s">
        <v>16</v>
      </c>
      <c r="D523" s="1">
        <v>45947</v>
      </c>
      <c r="E523" s="1">
        <v>45948</v>
      </c>
      <c r="F523" s="1">
        <v>45950</v>
      </c>
      <c r="G523" s="1">
        <v>45955</v>
      </c>
      <c r="H523" t="s">
        <v>17</v>
      </c>
      <c r="I523">
        <v>0</v>
      </c>
      <c r="J523" t="s">
        <v>18</v>
      </c>
      <c r="K523" s="1">
        <v>45971</v>
      </c>
      <c r="L523">
        <v>1</v>
      </c>
      <c r="M523">
        <v>2</v>
      </c>
      <c r="N523">
        <v>5</v>
      </c>
      <c r="O523">
        <v>4</v>
      </c>
      <c r="P523" t="str">
        <f t="shared" si="16"/>
        <v>Detractor</v>
      </c>
      <c r="Q523">
        <v>10</v>
      </c>
      <c r="R523" t="s">
        <v>1034</v>
      </c>
      <c r="S523">
        <v>10</v>
      </c>
      <c r="T523" t="s">
        <v>1034</v>
      </c>
      <c r="U523" t="str">
        <f t="shared" si="17"/>
        <v>Yes</v>
      </c>
    </row>
    <row r="524" spans="1:21" x14ac:dyDescent="0.3">
      <c r="A524" t="s">
        <v>945</v>
      </c>
      <c r="B524" t="s">
        <v>27</v>
      </c>
      <c r="C524" t="s">
        <v>841</v>
      </c>
      <c r="D524" s="1">
        <v>45960</v>
      </c>
      <c r="E524" s="1"/>
      <c r="F524" s="1"/>
      <c r="G524" s="1"/>
      <c r="H524" t="s">
        <v>752</v>
      </c>
      <c r="I524">
        <v>1</v>
      </c>
      <c r="J524" t="s">
        <v>765</v>
      </c>
      <c r="K524" s="1"/>
      <c r="P524" t="str">
        <f t="shared" si="16"/>
        <v>Not Applicable</v>
      </c>
      <c r="R524" t="s">
        <v>1036</v>
      </c>
      <c r="T524" t="s">
        <v>1036</v>
      </c>
      <c r="U524" t="str">
        <f t="shared" si="17"/>
        <v>No</v>
      </c>
    </row>
    <row r="525" spans="1:21" x14ac:dyDescent="0.3">
      <c r="A525" t="s">
        <v>179</v>
      </c>
      <c r="B525" t="s">
        <v>29</v>
      </c>
      <c r="C525" t="s">
        <v>16</v>
      </c>
      <c r="D525" s="1">
        <v>45945</v>
      </c>
      <c r="E525" s="1">
        <v>45950</v>
      </c>
      <c r="F525" s="1">
        <v>45955</v>
      </c>
      <c r="G525" s="1">
        <v>45957</v>
      </c>
      <c r="H525" t="s">
        <v>17</v>
      </c>
      <c r="I525">
        <v>0</v>
      </c>
      <c r="J525" t="s">
        <v>18</v>
      </c>
      <c r="K525" s="1">
        <v>45974</v>
      </c>
      <c r="L525">
        <v>5</v>
      </c>
      <c r="M525">
        <v>5</v>
      </c>
      <c r="N525">
        <v>2</v>
      </c>
      <c r="O525">
        <v>4</v>
      </c>
      <c r="P525" t="str">
        <f t="shared" si="16"/>
        <v>Detractor</v>
      </c>
      <c r="Q525">
        <v>10</v>
      </c>
      <c r="R525" t="s">
        <v>1034</v>
      </c>
      <c r="S525">
        <v>10</v>
      </c>
      <c r="T525" t="s">
        <v>1034</v>
      </c>
      <c r="U525" t="str">
        <f t="shared" si="17"/>
        <v>Yes</v>
      </c>
    </row>
    <row r="526" spans="1:21" x14ac:dyDescent="0.3">
      <c r="A526" t="s">
        <v>180</v>
      </c>
      <c r="B526" t="s">
        <v>15</v>
      </c>
      <c r="C526" t="s">
        <v>16</v>
      </c>
      <c r="D526" s="1">
        <v>45931</v>
      </c>
      <c r="E526" s="1">
        <v>45936</v>
      </c>
      <c r="F526" s="1">
        <v>45939</v>
      </c>
      <c r="G526" s="1">
        <v>45946</v>
      </c>
      <c r="H526" t="s">
        <v>17</v>
      </c>
      <c r="I526">
        <v>0</v>
      </c>
      <c r="J526" t="s">
        <v>18</v>
      </c>
      <c r="K526" s="1">
        <v>45976</v>
      </c>
      <c r="L526">
        <v>5</v>
      </c>
      <c r="M526">
        <v>3</v>
      </c>
      <c r="N526">
        <v>7</v>
      </c>
      <c r="O526">
        <v>8</v>
      </c>
      <c r="P526" t="str">
        <f t="shared" si="16"/>
        <v>Passive</v>
      </c>
      <c r="Q526">
        <v>10</v>
      </c>
      <c r="R526" t="s">
        <v>1034</v>
      </c>
      <c r="S526">
        <v>10</v>
      </c>
      <c r="T526" t="s">
        <v>1034</v>
      </c>
      <c r="U526" t="str">
        <f t="shared" si="17"/>
        <v>Yes</v>
      </c>
    </row>
    <row r="527" spans="1:21" x14ac:dyDescent="0.3">
      <c r="A527" t="s">
        <v>577</v>
      </c>
      <c r="B527" t="s">
        <v>27</v>
      </c>
      <c r="C527" t="s">
        <v>474</v>
      </c>
      <c r="D527" s="1">
        <v>45954</v>
      </c>
      <c r="E527" s="1">
        <v>45956</v>
      </c>
      <c r="F527" s="1">
        <v>45959</v>
      </c>
      <c r="G527" s="1">
        <v>45965</v>
      </c>
      <c r="H527" t="s">
        <v>17</v>
      </c>
      <c r="I527">
        <v>0</v>
      </c>
      <c r="J527" t="s">
        <v>18</v>
      </c>
      <c r="K527" s="1">
        <v>45982</v>
      </c>
      <c r="L527">
        <v>2</v>
      </c>
      <c r="M527">
        <v>3</v>
      </c>
      <c r="N527">
        <v>6</v>
      </c>
      <c r="O527">
        <v>8</v>
      </c>
      <c r="P527" t="str">
        <f t="shared" si="16"/>
        <v>Passive</v>
      </c>
      <c r="Q527">
        <v>10</v>
      </c>
      <c r="R527" t="s">
        <v>1034</v>
      </c>
      <c r="S527">
        <v>11</v>
      </c>
      <c r="T527" t="s">
        <v>1035</v>
      </c>
      <c r="U527" t="str">
        <f t="shared" si="17"/>
        <v>Yes</v>
      </c>
    </row>
    <row r="528" spans="1:21" x14ac:dyDescent="0.3">
      <c r="A528" t="s">
        <v>437</v>
      </c>
      <c r="B528" t="s">
        <v>15</v>
      </c>
      <c r="C528" t="s">
        <v>16</v>
      </c>
      <c r="D528" s="1">
        <v>45935</v>
      </c>
      <c r="E528" s="1">
        <v>45937</v>
      </c>
      <c r="F528" s="1">
        <v>45941</v>
      </c>
      <c r="G528" s="1">
        <v>45947</v>
      </c>
      <c r="H528" t="s">
        <v>17</v>
      </c>
      <c r="I528">
        <v>0</v>
      </c>
      <c r="J528" t="s">
        <v>18</v>
      </c>
      <c r="K528" s="1">
        <v>45963</v>
      </c>
      <c r="L528">
        <v>2</v>
      </c>
      <c r="M528">
        <v>4</v>
      </c>
      <c r="N528">
        <v>6</v>
      </c>
      <c r="O528">
        <v>6</v>
      </c>
      <c r="P528" t="str">
        <f t="shared" si="16"/>
        <v>Detractor</v>
      </c>
      <c r="Q528">
        <v>10</v>
      </c>
      <c r="R528" t="s">
        <v>1034</v>
      </c>
      <c r="S528">
        <v>10</v>
      </c>
      <c r="T528" t="s">
        <v>1034</v>
      </c>
      <c r="U528" t="str">
        <f t="shared" si="17"/>
        <v>Yes</v>
      </c>
    </row>
    <row r="529" spans="1:21" x14ac:dyDescent="0.3">
      <c r="A529" t="s">
        <v>76</v>
      </c>
      <c r="B529" t="s">
        <v>15</v>
      </c>
      <c r="C529" t="s">
        <v>16</v>
      </c>
      <c r="D529" s="1">
        <v>45944</v>
      </c>
      <c r="E529" s="1">
        <v>45947</v>
      </c>
      <c r="F529" s="1">
        <v>45951</v>
      </c>
      <c r="G529" s="1">
        <v>45957</v>
      </c>
      <c r="H529" t="s">
        <v>17</v>
      </c>
      <c r="I529">
        <v>0</v>
      </c>
      <c r="J529" t="s">
        <v>18</v>
      </c>
      <c r="K529" s="1">
        <v>45975</v>
      </c>
      <c r="L529">
        <v>3</v>
      </c>
      <c r="M529">
        <v>4</v>
      </c>
      <c r="N529">
        <v>6</v>
      </c>
      <c r="O529">
        <v>4</v>
      </c>
      <c r="P529" t="str">
        <f t="shared" si="16"/>
        <v>Detractor</v>
      </c>
      <c r="Q529">
        <v>10</v>
      </c>
      <c r="R529" t="s">
        <v>1034</v>
      </c>
      <c r="S529">
        <v>10</v>
      </c>
      <c r="T529" t="s">
        <v>1034</v>
      </c>
      <c r="U529" t="str">
        <f t="shared" si="17"/>
        <v>Yes</v>
      </c>
    </row>
    <row r="530" spans="1:21" x14ac:dyDescent="0.3">
      <c r="A530" t="s">
        <v>946</v>
      </c>
      <c r="B530" t="s">
        <v>27</v>
      </c>
      <c r="C530" t="s">
        <v>841</v>
      </c>
      <c r="D530" s="1">
        <v>45958</v>
      </c>
      <c r="E530" s="1"/>
      <c r="F530" s="1"/>
      <c r="G530" s="1"/>
      <c r="H530" t="s">
        <v>752</v>
      </c>
      <c r="I530">
        <v>1</v>
      </c>
      <c r="J530" t="s">
        <v>756</v>
      </c>
      <c r="K530" s="1"/>
      <c r="P530" t="str">
        <f t="shared" si="16"/>
        <v>Not Applicable</v>
      </c>
      <c r="R530" t="s">
        <v>1036</v>
      </c>
      <c r="T530" t="s">
        <v>1036</v>
      </c>
      <c r="U530" t="str">
        <f t="shared" si="17"/>
        <v>No</v>
      </c>
    </row>
    <row r="531" spans="1:21" x14ac:dyDescent="0.3">
      <c r="A531" t="s">
        <v>947</v>
      </c>
      <c r="B531" t="s">
        <v>29</v>
      </c>
      <c r="C531" t="s">
        <v>841</v>
      </c>
      <c r="D531" s="1">
        <v>45951</v>
      </c>
      <c r="E531" s="1"/>
      <c r="F531" s="1"/>
      <c r="G531" s="1"/>
      <c r="H531" t="s">
        <v>752</v>
      </c>
      <c r="I531">
        <v>1</v>
      </c>
      <c r="J531" t="s">
        <v>777</v>
      </c>
      <c r="K531" s="1"/>
      <c r="P531" t="str">
        <f t="shared" si="16"/>
        <v>Not Applicable</v>
      </c>
      <c r="R531" t="s">
        <v>1036</v>
      </c>
      <c r="T531" t="s">
        <v>1036</v>
      </c>
      <c r="U531" t="str">
        <f t="shared" si="17"/>
        <v>No</v>
      </c>
    </row>
    <row r="532" spans="1:21" x14ac:dyDescent="0.3">
      <c r="A532" t="s">
        <v>274</v>
      </c>
      <c r="B532" t="s">
        <v>29</v>
      </c>
      <c r="C532" t="s">
        <v>16</v>
      </c>
      <c r="D532" s="1">
        <v>45935</v>
      </c>
      <c r="E532" s="1">
        <v>45939</v>
      </c>
      <c r="F532" s="1">
        <v>45944</v>
      </c>
      <c r="G532" s="1">
        <v>45947</v>
      </c>
      <c r="H532" t="s">
        <v>17</v>
      </c>
      <c r="I532">
        <v>0</v>
      </c>
      <c r="J532" t="s">
        <v>18</v>
      </c>
      <c r="K532" s="1">
        <v>45977</v>
      </c>
      <c r="L532">
        <v>4</v>
      </c>
      <c r="M532">
        <v>5</v>
      </c>
      <c r="N532">
        <v>3</v>
      </c>
      <c r="O532">
        <v>2</v>
      </c>
      <c r="P532" t="str">
        <f t="shared" si="16"/>
        <v>Detractor</v>
      </c>
      <c r="Q532">
        <v>10</v>
      </c>
      <c r="R532" t="s">
        <v>1034</v>
      </c>
      <c r="S532">
        <v>10</v>
      </c>
      <c r="T532" t="s">
        <v>1034</v>
      </c>
      <c r="U532" t="str">
        <f t="shared" si="17"/>
        <v>Yes</v>
      </c>
    </row>
    <row r="533" spans="1:21" x14ac:dyDescent="0.3">
      <c r="A533" t="s">
        <v>578</v>
      </c>
      <c r="B533" t="s">
        <v>22</v>
      </c>
      <c r="C533" t="s">
        <v>474</v>
      </c>
      <c r="D533" s="1">
        <v>45933</v>
      </c>
      <c r="E533" s="1">
        <v>45934</v>
      </c>
      <c r="F533" s="1">
        <v>45937</v>
      </c>
      <c r="G533" s="1">
        <v>45941</v>
      </c>
      <c r="H533" t="s">
        <v>17</v>
      </c>
      <c r="I533">
        <v>0</v>
      </c>
      <c r="J533" t="s">
        <v>18</v>
      </c>
      <c r="K533" s="1">
        <v>45964</v>
      </c>
      <c r="L533">
        <v>1</v>
      </c>
      <c r="M533">
        <v>3</v>
      </c>
      <c r="N533">
        <v>4</v>
      </c>
      <c r="O533">
        <v>2</v>
      </c>
      <c r="P533" t="str">
        <f t="shared" si="16"/>
        <v>Detractor</v>
      </c>
      <c r="Q533">
        <v>10</v>
      </c>
      <c r="R533" t="s">
        <v>1034</v>
      </c>
      <c r="S533">
        <v>10</v>
      </c>
      <c r="T533" t="s">
        <v>1034</v>
      </c>
      <c r="U533" t="str">
        <f t="shared" si="17"/>
        <v>Yes</v>
      </c>
    </row>
    <row r="534" spans="1:21" x14ac:dyDescent="0.3">
      <c r="A534" t="s">
        <v>948</v>
      </c>
      <c r="B534" t="s">
        <v>27</v>
      </c>
      <c r="C534" t="s">
        <v>841</v>
      </c>
      <c r="D534" s="1">
        <v>45946</v>
      </c>
      <c r="E534" s="1"/>
      <c r="F534" s="1"/>
      <c r="G534" s="1"/>
      <c r="H534" t="s">
        <v>752</v>
      </c>
      <c r="I534">
        <v>1</v>
      </c>
      <c r="J534" t="s">
        <v>777</v>
      </c>
      <c r="K534" s="1"/>
      <c r="P534" t="str">
        <f t="shared" si="16"/>
        <v>Not Applicable</v>
      </c>
      <c r="R534" t="s">
        <v>1036</v>
      </c>
      <c r="T534" t="s">
        <v>1036</v>
      </c>
      <c r="U534" t="str">
        <f t="shared" si="17"/>
        <v>No</v>
      </c>
    </row>
    <row r="535" spans="1:21" x14ac:dyDescent="0.3">
      <c r="A535" t="s">
        <v>181</v>
      </c>
      <c r="B535" t="s">
        <v>22</v>
      </c>
      <c r="C535" t="s">
        <v>16</v>
      </c>
      <c r="D535" s="1">
        <v>45956</v>
      </c>
      <c r="E535" s="1">
        <v>45961</v>
      </c>
      <c r="F535" s="1">
        <v>45964</v>
      </c>
      <c r="G535" s="1">
        <v>45966</v>
      </c>
      <c r="H535" t="s">
        <v>17</v>
      </c>
      <c r="I535">
        <v>0</v>
      </c>
      <c r="J535" t="s">
        <v>18</v>
      </c>
      <c r="K535" s="1">
        <v>45992</v>
      </c>
      <c r="L535">
        <v>5</v>
      </c>
      <c r="M535">
        <v>3</v>
      </c>
      <c r="N535">
        <v>2</v>
      </c>
      <c r="O535">
        <v>1</v>
      </c>
      <c r="P535" t="str">
        <f t="shared" si="16"/>
        <v>Detractor</v>
      </c>
      <c r="Q535">
        <v>10</v>
      </c>
      <c r="R535" t="s">
        <v>1034</v>
      </c>
      <c r="S535">
        <v>11</v>
      </c>
      <c r="T535" t="s">
        <v>1035</v>
      </c>
      <c r="U535" t="str">
        <f t="shared" si="17"/>
        <v>Yes</v>
      </c>
    </row>
    <row r="536" spans="1:21" x14ac:dyDescent="0.3">
      <c r="A536" t="s">
        <v>579</v>
      </c>
      <c r="B536" t="s">
        <v>22</v>
      </c>
      <c r="C536" t="s">
        <v>474</v>
      </c>
      <c r="D536" s="1">
        <v>45939</v>
      </c>
      <c r="E536" s="1">
        <v>45942</v>
      </c>
      <c r="F536" s="1">
        <v>45945</v>
      </c>
      <c r="G536" s="1">
        <v>45949</v>
      </c>
      <c r="H536" t="s">
        <v>17</v>
      </c>
      <c r="I536">
        <v>0</v>
      </c>
      <c r="J536" t="s">
        <v>18</v>
      </c>
      <c r="K536" s="1">
        <v>45959</v>
      </c>
      <c r="L536">
        <v>3</v>
      </c>
      <c r="M536">
        <v>3</v>
      </c>
      <c r="N536">
        <v>4</v>
      </c>
      <c r="O536">
        <v>0</v>
      </c>
      <c r="P536" t="str">
        <f t="shared" si="16"/>
        <v>Detractor</v>
      </c>
      <c r="Q536">
        <v>10</v>
      </c>
      <c r="R536" t="s">
        <v>1034</v>
      </c>
      <c r="S536">
        <v>10</v>
      </c>
      <c r="T536" t="s">
        <v>1034</v>
      </c>
      <c r="U536" t="str">
        <f t="shared" si="17"/>
        <v>Yes</v>
      </c>
    </row>
    <row r="537" spans="1:21" x14ac:dyDescent="0.3">
      <c r="A537" t="s">
        <v>805</v>
      </c>
      <c r="B537" t="s">
        <v>22</v>
      </c>
      <c r="C537" t="s">
        <v>474</v>
      </c>
      <c r="D537" s="1">
        <v>45941</v>
      </c>
      <c r="E537" s="1">
        <v>45943</v>
      </c>
      <c r="F537" s="1">
        <v>45946</v>
      </c>
      <c r="G537" s="1">
        <v>45948</v>
      </c>
      <c r="H537" t="s">
        <v>752</v>
      </c>
      <c r="I537">
        <v>1</v>
      </c>
      <c r="J537" t="s">
        <v>756</v>
      </c>
      <c r="K537" s="1"/>
      <c r="L537">
        <v>2</v>
      </c>
      <c r="M537">
        <v>3</v>
      </c>
      <c r="N537">
        <v>2</v>
      </c>
      <c r="P537" t="str">
        <f t="shared" si="16"/>
        <v>Not Applicable</v>
      </c>
      <c r="Q537">
        <v>10</v>
      </c>
      <c r="R537" t="s">
        <v>1034</v>
      </c>
      <c r="S537">
        <v>10</v>
      </c>
      <c r="T537" t="s">
        <v>1034</v>
      </c>
      <c r="U537" t="str">
        <f t="shared" si="17"/>
        <v>No</v>
      </c>
    </row>
    <row r="538" spans="1:21" x14ac:dyDescent="0.3">
      <c r="A538" t="s">
        <v>182</v>
      </c>
      <c r="B538" t="s">
        <v>29</v>
      </c>
      <c r="C538" t="s">
        <v>16</v>
      </c>
      <c r="D538" s="1">
        <v>45950</v>
      </c>
      <c r="E538" s="1">
        <v>45955</v>
      </c>
      <c r="F538" s="1">
        <v>45960</v>
      </c>
      <c r="G538" s="1">
        <v>45966</v>
      </c>
      <c r="H538" t="s">
        <v>17</v>
      </c>
      <c r="I538">
        <v>0</v>
      </c>
      <c r="J538" t="s">
        <v>18</v>
      </c>
      <c r="K538" s="1">
        <v>45976</v>
      </c>
      <c r="L538">
        <v>5</v>
      </c>
      <c r="M538">
        <v>5</v>
      </c>
      <c r="N538">
        <v>6</v>
      </c>
      <c r="O538">
        <v>0</v>
      </c>
      <c r="P538" t="str">
        <f t="shared" si="16"/>
        <v>Detractor</v>
      </c>
      <c r="Q538">
        <v>10</v>
      </c>
      <c r="R538" t="s">
        <v>1034</v>
      </c>
      <c r="S538">
        <v>11</v>
      </c>
      <c r="T538" t="s">
        <v>1035</v>
      </c>
      <c r="U538" t="str">
        <f t="shared" si="17"/>
        <v>Yes</v>
      </c>
    </row>
    <row r="539" spans="1:21" x14ac:dyDescent="0.3">
      <c r="A539" t="s">
        <v>580</v>
      </c>
      <c r="B539" t="s">
        <v>27</v>
      </c>
      <c r="C539" t="s">
        <v>474</v>
      </c>
      <c r="D539" s="1">
        <v>45953</v>
      </c>
      <c r="E539" s="1">
        <v>45957</v>
      </c>
      <c r="F539" s="1">
        <v>45961</v>
      </c>
      <c r="G539" s="1">
        <v>45964</v>
      </c>
      <c r="H539" t="s">
        <v>17</v>
      </c>
      <c r="I539">
        <v>0</v>
      </c>
      <c r="J539" t="s">
        <v>18</v>
      </c>
      <c r="K539" s="1">
        <v>45989</v>
      </c>
      <c r="L539">
        <v>4</v>
      </c>
      <c r="M539">
        <v>4</v>
      </c>
      <c r="N539">
        <v>3</v>
      </c>
      <c r="O539">
        <v>3</v>
      </c>
      <c r="P539" t="str">
        <f t="shared" si="16"/>
        <v>Detractor</v>
      </c>
      <c r="Q539">
        <v>10</v>
      </c>
      <c r="R539" t="s">
        <v>1034</v>
      </c>
      <c r="S539">
        <v>11</v>
      </c>
      <c r="T539" t="s">
        <v>1035</v>
      </c>
      <c r="U539" t="str">
        <f t="shared" si="17"/>
        <v>Yes</v>
      </c>
    </row>
    <row r="540" spans="1:21" x14ac:dyDescent="0.3">
      <c r="A540" t="s">
        <v>949</v>
      </c>
      <c r="B540" t="s">
        <v>22</v>
      </c>
      <c r="C540" t="s">
        <v>841</v>
      </c>
      <c r="D540" s="1">
        <v>45943</v>
      </c>
      <c r="E540" s="1"/>
      <c r="F540" s="1"/>
      <c r="G540" s="1"/>
      <c r="H540" t="s">
        <v>752</v>
      </c>
      <c r="I540">
        <v>1</v>
      </c>
      <c r="J540" t="s">
        <v>777</v>
      </c>
      <c r="K540" s="1"/>
      <c r="P540" t="str">
        <f t="shared" si="16"/>
        <v>Not Applicable</v>
      </c>
      <c r="R540" t="s">
        <v>1036</v>
      </c>
      <c r="T540" t="s">
        <v>1036</v>
      </c>
      <c r="U540" t="str">
        <f t="shared" si="17"/>
        <v>No</v>
      </c>
    </row>
    <row r="541" spans="1:21" x14ac:dyDescent="0.3">
      <c r="A541" t="s">
        <v>806</v>
      </c>
      <c r="B541" t="s">
        <v>27</v>
      </c>
      <c r="C541" t="s">
        <v>16</v>
      </c>
      <c r="D541" s="1">
        <v>45951</v>
      </c>
      <c r="E541" s="1">
        <v>45953</v>
      </c>
      <c r="F541" s="1">
        <v>45957</v>
      </c>
      <c r="G541" s="1">
        <v>45960</v>
      </c>
      <c r="H541" t="s">
        <v>752</v>
      </c>
      <c r="I541">
        <v>1</v>
      </c>
      <c r="J541" t="s">
        <v>765</v>
      </c>
      <c r="K541" s="1"/>
      <c r="L541">
        <v>2</v>
      </c>
      <c r="M541">
        <v>4</v>
      </c>
      <c r="N541">
        <v>3</v>
      </c>
      <c r="P541" t="str">
        <f t="shared" si="16"/>
        <v>Not Applicable</v>
      </c>
      <c r="Q541">
        <v>10</v>
      </c>
      <c r="R541" t="s">
        <v>1034</v>
      </c>
      <c r="S541">
        <v>10</v>
      </c>
      <c r="T541" t="s">
        <v>1034</v>
      </c>
      <c r="U541" t="str">
        <f t="shared" si="17"/>
        <v>No</v>
      </c>
    </row>
    <row r="542" spans="1:21" x14ac:dyDescent="0.3">
      <c r="A542" t="s">
        <v>581</v>
      </c>
      <c r="B542" t="s">
        <v>27</v>
      </c>
      <c r="C542" t="s">
        <v>474</v>
      </c>
      <c r="D542" s="1">
        <v>45933</v>
      </c>
      <c r="E542" s="1">
        <v>45934</v>
      </c>
      <c r="F542" s="1">
        <v>45935</v>
      </c>
      <c r="G542" s="1">
        <v>45941</v>
      </c>
      <c r="H542" t="s">
        <v>17</v>
      </c>
      <c r="I542">
        <v>0</v>
      </c>
      <c r="J542" t="s">
        <v>18</v>
      </c>
      <c r="K542" s="1">
        <v>45955</v>
      </c>
      <c r="L542">
        <v>1</v>
      </c>
      <c r="M542">
        <v>1</v>
      </c>
      <c r="N542">
        <v>6</v>
      </c>
      <c r="O542">
        <v>9</v>
      </c>
      <c r="P542" t="str">
        <f t="shared" si="16"/>
        <v>Promoter</v>
      </c>
      <c r="Q542">
        <v>10</v>
      </c>
      <c r="R542" t="s">
        <v>1034</v>
      </c>
      <c r="S542">
        <v>10</v>
      </c>
      <c r="T542" t="s">
        <v>1034</v>
      </c>
      <c r="U542" t="str">
        <f t="shared" si="17"/>
        <v>Yes</v>
      </c>
    </row>
    <row r="543" spans="1:21" x14ac:dyDescent="0.3">
      <c r="A543" t="s">
        <v>950</v>
      </c>
      <c r="B543" t="s">
        <v>29</v>
      </c>
      <c r="C543" t="s">
        <v>841</v>
      </c>
      <c r="D543" s="1">
        <v>45958</v>
      </c>
      <c r="E543" s="1"/>
      <c r="F543" s="1"/>
      <c r="G543" s="1"/>
      <c r="H543" t="s">
        <v>752</v>
      </c>
      <c r="I543">
        <v>1</v>
      </c>
      <c r="J543" t="s">
        <v>765</v>
      </c>
      <c r="K543" s="1"/>
      <c r="P543" t="str">
        <f t="shared" si="16"/>
        <v>Not Applicable</v>
      </c>
      <c r="R543" t="s">
        <v>1036</v>
      </c>
      <c r="T543" t="s">
        <v>1036</v>
      </c>
      <c r="U543" t="str">
        <f t="shared" si="17"/>
        <v>No</v>
      </c>
    </row>
    <row r="544" spans="1:21" x14ac:dyDescent="0.3">
      <c r="A544" t="s">
        <v>183</v>
      </c>
      <c r="B544" t="s">
        <v>22</v>
      </c>
      <c r="C544" t="s">
        <v>16</v>
      </c>
      <c r="D544" s="1">
        <v>45941</v>
      </c>
      <c r="E544" s="1">
        <v>45946</v>
      </c>
      <c r="F544" s="1">
        <v>45950</v>
      </c>
      <c r="G544" s="1">
        <v>45954</v>
      </c>
      <c r="H544" t="s">
        <v>17</v>
      </c>
      <c r="I544">
        <v>0</v>
      </c>
      <c r="J544" t="s">
        <v>18</v>
      </c>
      <c r="K544" s="1">
        <v>45984</v>
      </c>
      <c r="L544">
        <v>5</v>
      </c>
      <c r="M544">
        <v>4</v>
      </c>
      <c r="N544">
        <v>4</v>
      </c>
      <c r="O544">
        <v>9</v>
      </c>
      <c r="P544" t="str">
        <f t="shared" si="16"/>
        <v>Promoter</v>
      </c>
      <c r="Q544">
        <v>10</v>
      </c>
      <c r="R544" t="s">
        <v>1034</v>
      </c>
      <c r="S544">
        <v>10</v>
      </c>
      <c r="T544" t="s">
        <v>1034</v>
      </c>
      <c r="U544" t="str">
        <f t="shared" si="17"/>
        <v>Yes</v>
      </c>
    </row>
    <row r="545" spans="1:21" x14ac:dyDescent="0.3">
      <c r="A545" t="s">
        <v>77</v>
      </c>
      <c r="B545" t="s">
        <v>22</v>
      </c>
      <c r="C545" t="s">
        <v>16</v>
      </c>
      <c r="D545" s="1">
        <v>45958</v>
      </c>
      <c r="E545" s="1">
        <v>45961</v>
      </c>
      <c r="F545" s="1">
        <v>45964</v>
      </c>
      <c r="G545" s="1">
        <v>45969</v>
      </c>
      <c r="H545" t="s">
        <v>17</v>
      </c>
      <c r="I545">
        <v>0</v>
      </c>
      <c r="J545" t="s">
        <v>18</v>
      </c>
      <c r="K545" s="1">
        <v>45984</v>
      </c>
      <c r="L545">
        <v>3</v>
      </c>
      <c r="M545">
        <v>3</v>
      </c>
      <c r="N545">
        <v>5</v>
      </c>
      <c r="O545">
        <v>4</v>
      </c>
      <c r="P545" t="str">
        <f t="shared" si="16"/>
        <v>Detractor</v>
      </c>
      <c r="Q545">
        <v>10</v>
      </c>
      <c r="R545" t="s">
        <v>1034</v>
      </c>
      <c r="S545">
        <v>11</v>
      </c>
      <c r="T545" t="s">
        <v>1035</v>
      </c>
      <c r="U545" t="str">
        <f t="shared" si="17"/>
        <v>Yes</v>
      </c>
    </row>
    <row r="546" spans="1:21" x14ac:dyDescent="0.3">
      <c r="A546" t="s">
        <v>582</v>
      </c>
      <c r="B546" t="s">
        <v>27</v>
      </c>
      <c r="C546" t="s">
        <v>474</v>
      </c>
      <c r="D546" s="1">
        <v>45952</v>
      </c>
      <c r="E546" s="1">
        <v>45953</v>
      </c>
      <c r="F546" s="1">
        <v>45955</v>
      </c>
      <c r="G546" s="1">
        <v>45961</v>
      </c>
      <c r="H546" t="s">
        <v>17</v>
      </c>
      <c r="I546">
        <v>0</v>
      </c>
      <c r="J546" t="s">
        <v>18</v>
      </c>
      <c r="K546" s="1">
        <v>45990</v>
      </c>
      <c r="L546">
        <v>1</v>
      </c>
      <c r="M546">
        <v>2</v>
      </c>
      <c r="N546">
        <v>6</v>
      </c>
      <c r="O546">
        <v>1</v>
      </c>
      <c r="P546" t="str">
        <f t="shared" si="16"/>
        <v>Detractor</v>
      </c>
      <c r="Q546">
        <v>10</v>
      </c>
      <c r="R546" t="s">
        <v>1034</v>
      </c>
      <c r="S546">
        <v>10</v>
      </c>
      <c r="T546" t="s">
        <v>1034</v>
      </c>
      <c r="U546" t="str">
        <f t="shared" si="17"/>
        <v>Yes</v>
      </c>
    </row>
    <row r="547" spans="1:21" x14ac:dyDescent="0.3">
      <c r="A547" t="s">
        <v>717</v>
      </c>
      <c r="B547" t="s">
        <v>15</v>
      </c>
      <c r="C547" t="s">
        <v>474</v>
      </c>
      <c r="D547" s="1">
        <v>45958</v>
      </c>
      <c r="E547" s="1">
        <v>45963</v>
      </c>
      <c r="F547" s="1">
        <v>45966</v>
      </c>
      <c r="G547" s="1">
        <v>45973</v>
      </c>
      <c r="H547" t="s">
        <v>17</v>
      </c>
      <c r="I547">
        <v>0</v>
      </c>
      <c r="J547" t="s">
        <v>18</v>
      </c>
      <c r="K547" s="1">
        <v>45983</v>
      </c>
      <c r="L547">
        <v>5</v>
      </c>
      <c r="M547">
        <v>3</v>
      </c>
      <c r="N547">
        <v>7</v>
      </c>
      <c r="O547">
        <v>6</v>
      </c>
      <c r="P547" t="str">
        <f t="shared" si="16"/>
        <v>Detractor</v>
      </c>
      <c r="Q547">
        <v>11</v>
      </c>
      <c r="R547" t="s">
        <v>1035</v>
      </c>
      <c r="S547">
        <v>11</v>
      </c>
      <c r="T547" t="s">
        <v>1035</v>
      </c>
      <c r="U547" t="str">
        <f t="shared" si="17"/>
        <v>Yes</v>
      </c>
    </row>
    <row r="548" spans="1:21" x14ac:dyDescent="0.3">
      <c r="A548" t="s">
        <v>184</v>
      </c>
      <c r="B548" t="s">
        <v>29</v>
      </c>
      <c r="C548" t="s">
        <v>16</v>
      </c>
      <c r="D548" s="1">
        <v>45948</v>
      </c>
      <c r="E548" s="1">
        <v>45953</v>
      </c>
      <c r="F548" s="1">
        <v>45956</v>
      </c>
      <c r="G548" s="1">
        <v>45963</v>
      </c>
      <c r="H548" t="s">
        <v>17</v>
      </c>
      <c r="I548">
        <v>0</v>
      </c>
      <c r="J548" t="s">
        <v>18</v>
      </c>
      <c r="K548" s="1">
        <v>45980</v>
      </c>
      <c r="L548">
        <v>5</v>
      </c>
      <c r="M548">
        <v>3</v>
      </c>
      <c r="N548">
        <v>7</v>
      </c>
      <c r="O548">
        <v>3</v>
      </c>
      <c r="P548" t="str">
        <f t="shared" si="16"/>
        <v>Detractor</v>
      </c>
      <c r="Q548">
        <v>10</v>
      </c>
      <c r="R548" t="s">
        <v>1034</v>
      </c>
      <c r="S548">
        <v>11</v>
      </c>
      <c r="T548" t="s">
        <v>1035</v>
      </c>
      <c r="U548" t="str">
        <f t="shared" si="17"/>
        <v>Yes</v>
      </c>
    </row>
    <row r="549" spans="1:21" x14ac:dyDescent="0.3">
      <c r="A549" t="s">
        <v>185</v>
      </c>
      <c r="B549" t="s">
        <v>29</v>
      </c>
      <c r="C549" t="s">
        <v>16</v>
      </c>
      <c r="D549" s="1">
        <v>45943</v>
      </c>
      <c r="E549" s="1">
        <v>45948</v>
      </c>
      <c r="F549" s="1">
        <v>45952</v>
      </c>
      <c r="G549" s="1">
        <v>45959</v>
      </c>
      <c r="H549" t="s">
        <v>17</v>
      </c>
      <c r="I549">
        <v>0</v>
      </c>
      <c r="J549" t="s">
        <v>18</v>
      </c>
      <c r="K549" s="1">
        <v>45977</v>
      </c>
      <c r="L549">
        <v>5</v>
      </c>
      <c r="M549">
        <v>4</v>
      </c>
      <c r="N549">
        <v>7</v>
      </c>
      <c r="O549">
        <v>4</v>
      </c>
      <c r="P549" t="str">
        <f t="shared" si="16"/>
        <v>Detractor</v>
      </c>
      <c r="Q549">
        <v>10</v>
      </c>
      <c r="R549" t="s">
        <v>1034</v>
      </c>
      <c r="S549">
        <v>10</v>
      </c>
      <c r="T549" t="s">
        <v>1034</v>
      </c>
      <c r="U549" t="str">
        <f t="shared" si="17"/>
        <v>Yes</v>
      </c>
    </row>
    <row r="550" spans="1:21" x14ac:dyDescent="0.3">
      <c r="A550" t="s">
        <v>186</v>
      </c>
      <c r="B550" t="s">
        <v>29</v>
      </c>
      <c r="C550" t="s">
        <v>16</v>
      </c>
      <c r="D550" s="1">
        <v>45961</v>
      </c>
      <c r="E550" s="1">
        <v>45966</v>
      </c>
      <c r="F550" s="1">
        <v>45967</v>
      </c>
      <c r="G550" s="1">
        <v>45974</v>
      </c>
      <c r="H550" t="s">
        <v>17</v>
      </c>
      <c r="I550">
        <v>0</v>
      </c>
      <c r="J550" t="s">
        <v>18</v>
      </c>
      <c r="K550" s="1">
        <v>46003</v>
      </c>
      <c r="L550">
        <v>5</v>
      </c>
      <c r="M550">
        <v>1</v>
      </c>
      <c r="N550">
        <v>7</v>
      </c>
      <c r="O550">
        <v>6</v>
      </c>
      <c r="P550" t="str">
        <f t="shared" si="16"/>
        <v>Detractor</v>
      </c>
      <c r="Q550">
        <v>11</v>
      </c>
      <c r="R550" t="s">
        <v>1035</v>
      </c>
      <c r="S550">
        <v>11</v>
      </c>
      <c r="T550" t="s">
        <v>1035</v>
      </c>
      <c r="U550" t="str">
        <f t="shared" si="17"/>
        <v>Yes</v>
      </c>
    </row>
    <row r="551" spans="1:21" x14ac:dyDescent="0.3">
      <c r="A551" t="s">
        <v>187</v>
      </c>
      <c r="B551" t="s">
        <v>29</v>
      </c>
      <c r="C551" t="s">
        <v>16</v>
      </c>
      <c r="D551" s="1">
        <v>45941</v>
      </c>
      <c r="E551" s="1">
        <v>45946</v>
      </c>
      <c r="F551" s="1">
        <v>45951</v>
      </c>
      <c r="G551" s="1">
        <v>45953</v>
      </c>
      <c r="H551" t="s">
        <v>17</v>
      </c>
      <c r="I551">
        <v>0</v>
      </c>
      <c r="J551" t="s">
        <v>18</v>
      </c>
      <c r="K551" s="1">
        <v>45972</v>
      </c>
      <c r="L551">
        <v>5</v>
      </c>
      <c r="M551">
        <v>5</v>
      </c>
      <c r="N551">
        <v>2</v>
      </c>
      <c r="O551">
        <v>5</v>
      </c>
      <c r="P551" t="str">
        <f t="shared" si="16"/>
        <v>Detractor</v>
      </c>
      <c r="Q551">
        <v>10</v>
      </c>
      <c r="R551" t="s">
        <v>1034</v>
      </c>
      <c r="S551">
        <v>10</v>
      </c>
      <c r="T551" t="s">
        <v>1034</v>
      </c>
      <c r="U551" t="str">
        <f t="shared" si="17"/>
        <v>Yes</v>
      </c>
    </row>
    <row r="552" spans="1:21" x14ac:dyDescent="0.3">
      <c r="A552" t="s">
        <v>368</v>
      </c>
      <c r="B552" t="s">
        <v>22</v>
      </c>
      <c r="C552" t="s">
        <v>16</v>
      </c>
      <c r="D552" s="1">
        <v>45951</v>
      </c>
      <c r="E552" s="1">
        <v>45952</v>
      </c>
      <c r="F552" s="1">
        <v>45954</v>
      </c>
      <c r="G552" s="1">
        <v>45958</v>
      </c>
      <c r="H552" t="s">
        <v>17</v>
      </c>
      <c r="I552">
        <v>0</v>
      </c>
      <c r="J552" t="s">
        <v>18</v>
      </c>
      <c r="K552" s="1">
        <v>45988</v>
      </c>
      <c r="L552">
        <v>1</v>
      </c>
      <c r="M552">
        <v>2</v>
      </c>
      <c r="N552">
        <v>4</v>
      </c>
      <c r="O552">
        <v>3</v>
      </c>
      <c r="P552" t="str">
        <f t="shared" si="16"/>
        <v>Detractor</v>
      </c>
      <c r="Q552">
        <v>10</v>
      </c>
      <c r="R552" t="s">
        <v>1034</v>
      </c>
      <c r="S552">
        <v>10</v>
      </c>
      <c r="T552" t="s">
        <v>1034</v>
      </c>
      <c r="U552" t="str">
        <f t="shared" si="17"/>
        <v>Yes</v>
      </c>
    </row>
    <row r="553" spans="1:21" x14ac:dyDescent="0.3">
      <c r="A553" t="s">
        <v>583</v>
      </c>
      <c r="B553" t="s">
        <v>22</v>
      </c>
      <c r="C553" t="s">
        <v>474</v>
      </c>
      <c r="D553" s="1">
        <v>45953</v>
      </c>
      <c r="E553" s="1">
        <v>45957</v>
      </c>
      <c r="F553" s="1">
        <v>45959</v>
      </c>
      <c r="G553" s="1">
        <v>45966</v>
      </c>
      <c r="H553" t="s">
        <v>17</v>
      </c>
      <c r="I553">
        <v>0</v>
      </c>
      <c r="J553" t="s">
        <v>18</v>
      </c>
      <c r="K553" s="1">
        <v>45984</v>
      </c>
      <c r="L553">
        <v>4</v>
      </c>
      <c r="M553">
        <v>2</v>
      </c>
      <c r="N553">
        <v>7</v>
      </c>
      <c r="O553">
        <v>3</v>
      </c>
      <c r="P553" t="str">
        <f t="shared" si="16"/>
        <v>Detractor</v>
      </c>
      <c r="Q553">
        <v>10</v>
      </c>
      <c r="R553" t="s">
        <v>1034</v>
      </c>
      <c r="S553">
        <v>11</v>
      </c>
      <c r="T553" t="s">
        <v>1035</v>
      </c>
      <c r="U553" t="str">
        <f t="shared" si="17"/>
        <v>Yes</v>
      </c>
    </row>
    <row r="554" spans="1:21" x14ac:dyDescent="0.3">
      <c r="A554" t="s">
        <v>275</v>
      </c>
      <c r="B554" t="s">
        <v>15</v>
      </c>
      <c r="C554" t="s">
        <v>16</v>
      </c>
      <c r="D554" s="1">
        <v>45959</v>
      </c>
      <c r="E554" s="1">
        <v>45963</v>
      </c>
      <c r="F554" s="1">
        <v>45964</v>
      </c>
      <c r="G554" s="1">
        <v>45969</v>
      </c>
      <c r="H554" t="s">
        <v>17</v>
      </c>
      <c r="I554">
        <v>0</v>
      </c>
      <c r="J554" t="s">
        <v>18</v>
      </c>
      <c r="K554" s="1">
        <v>45992</v>
      </c>
      <c r="L554">
        <v>4</v>
      </c>
      <c r="M554">
        <v>1</v>
      </c>
      <c r="N554">
        <v>5</v>
      </c>
      <c r="O554">
        <v>9</v>
      </c>
      <c r="P554" t="str">
        <f t="shared" si="16"/>
        <v>Promoter</v>
      </c>
      <c r="Q554">
        <v>11</v>
      </c>
      <c r="R554" t="s">
        <v>1035</v>
      </c>
      <c r="S554">
        <v>11</v>
      </c>
      <c r="T554" t="s">
        <v>1035</v>
      </c>
      <c r="U554" t="str">
        <f t="shared" si="17"/>
        <v>Yes</v>
      </c>
    </row>
    <row r="555" spans="1:21" x14ac:dyDescent="0.3">
      <c r="A555" t="s">
        <v>951</v>
      </c>
      <c r="B555" t="s">
        <v>29</v>
      </c>
      <c r="C555" t="s">
        <v>841</v>
      </c>
      <c r="D555" s="1">
        <v>45955</v>
      </c>
      <c r="E555" s="1"/>
      <c r="F555" s="1"/>
      <c r="G555" s="1"/>
      <c r="H555" t="s">
        <v>752</v>
      </c>
      <c r="I555">
        <v>1</v>
      </c>
      <c r="J555" t="s">
        <v>756</v>
      </c>
      <c r="K555" s="1"/>
      <c r="P555" t="str">
        <f t="shared" si="16"/>
        <v>Not Applicable</v>
      </c>
      <c r="R555" t="s">
        <v>1036</v>
      </c>
      <c r="T555" t="s">
        <v>1036</v>
      </c>
      <c r="U555" t="str">
        <f t="shared" si="17"/>
        <v>No</v>
      </c>
    </row>
    <row r="556" spans="1:21" x14ac:dyDescent="0.3">
      <c r="A556" t="s">
        <v>369</v>
      </c>
      <c r="B556" t="s">
        <v>29</v>
      </c>
      <c r="C556" t="s">
        <v>16</v>
      </c>
      <c r="D556" s="1">
        <v>45946</v>
      </c>
      <c r="E556" s="1">
        <v>45947</v>
      </c>
      <c r="F556" s="1">
        <v>45950</v>
      </c>
      <c r="G556" s="1">
        <v>45957</v>
      </c>
      <c r="H556" t="s">
        <v>17</v>
      </c>
      <c r="I556">
        <v>0</v>
      </c>
      <c r="J556" t="s">
        <v>18</v>
      </c>
      <c r="K556" s="1">
        <v>45979</v>
      </c>
      <c r="L556">
        <v>1</v>
      </c>
      <c r="M556">
        <v>3</v>
      </c>
      <c r="N556">
        <v>7</v>
      </c>
      <c r="O556">
        <v>2</v>
      </c>
      <c r="P556" t="str">
        <f t="shared" si="16"/>
        <v>Detractor</v>
      </c>
      <c r="Q556">
        <v>10</v>
      </c>
      <c r="R556" t="s">
        <v>1034</v>
      </c>
      <c r="S556">
        <v>10</v>
      </c>
      <c r="T556" t="s">
        <v>1034</v>
      </c>
      <c r="U556" t="str">
        <f t="shared" si="17"/>
        <v>Yes</v>
      </c>
    </row>
    <row r="557" spans="1:21" x14ac:dyDescent="0.3">
      <c r="A557" t="s">
        <v>276</v>
      </c>
      <c r="B557" t="s">
        <v>27</v>
      </c>
      <c r="C557" t="s">
        <v>16</v>
      </c>
      <c r="D557" s="1">
        <v>45958</v>
      </c>
      <c r="E557" s="1">
        <v>45962</v>
      </c>
      <c r="F557" s="1">
        <v>45967</v>
      </c>
      <c r="G557" s="1">
        <v>45970</v>
      </c>
      <c r="H557" t="s">
        <v>17</v>
      </c>
      <c r="I557">
        <v>0</v>
      </c>
      <c r="J557" t="s">
        <v>18</v>
      </c>
      <c r="K557" s="1">
        <v>45991</v>
      </c>
      <c r="L557">
        <v>4</v>
      </c>
      <c r="M557">
        <v>5</v>
      </c>
      <c r="N557">
        <v>3</v>
      </c>
      <c r="O557">
        <v>8</v>
      </c>
      <c r="P557" t="str">
        <f t="shared" si="16"/>
        <v>Passive</v>
      </c>
      <c r="Q557">
        <v>11</v>
      </c>
      <c r="R557" t="s">
        <v>1035</v>
      </c>
      <c r="S557">
        <v>11</v>
      </c>
      <c r="T557" t="s">
        <v>1035</v>
      </c>
      <c r="U557" t="str">
        <f t="shared" si="17"/>
        <v>Yes</v>
      </c>
    </row>
    <row r="558" spans="1:21" x14ac:dyDescent="0.3">
      <c r="A558" t="s">
        <v>584</v>
      </c>
      <c r="B558" t="s">
        <v>22</v>
      </c>
      <c r="C558" t="s">
        <v>474</v>
      </c>
      <c r="D558" s="1">
        <v>45948</v>
      </c>
      <c r="E558" s="1">
        <v>45951</v>
      </c>
      <c r="F558" s="1">
        <v>45956</v>
      </c>
      <c r="G558" s="1">
        <v>45958</v>
      </c>
      <c r="H558" t="s">
        <v>17</v>
      </c>
      <c r="I558">
        <v>0</v>
      </c>
      <c r="J558" t="s">
        <v>18</v>
      </c>
      <c r="K558" s="1">
        <v>45982</v>
      </c>
      <c r="L558">
        <v>3</v>
      </c>
      <c r="M558">
        <v>5</v>
      </c>
      <c r="N558">
        <v>2</v>
      </c>
      <c r="O558">
        <v>1</v>
      </c>
      <c r="P558" t="str">
        <f t="shared" si="16"/>
        <v>Detractor</v>
      </c>
      <c r="Q558">
        <v>10</v>
      </c>
      <c r="R558" t="s">
        <v>1034</v>
      </c>
      <c r="S558">
        <v>10</v>
      </c>
      <c r="T558" t="s">
        <v>1034</v>
      </c>
      <c r="U558" t="str">
        <f t="shared" si="17"/>
        <v>Yes</v>
      </c>
    </row>
    <row r="559" spans="1:21" x14ac:dyDescent="0.3">
      <c r="A559" t="s">
        <v>78</v>
      </c>
      <c r="B559" t="s">
        <v>29</v>
      </c>
      <c r="C559" t="s">
        <v>16</v>
      </c>
      <c r="D559" s="1">
        <v>45932</v>
      </c>
      <c r="E559" s="1">
        <v>45935</v>
      </c>
      <c r="F559" s="1">
        <v>45940</v>
      </c>
      <c r="G559" s="1">
        <v>45943</v>
      </c>
      <c r="H559" t="s">
        <v>17</v>
      </c>
      <c r="I559">
        <v>0</v>
      </c>
      <c r="J559" t="s">
        <v>18</v>
      </c>
      <c r="K559" s="1">
        <v>45961</v>
      </c>
      <c r="L559">
        <v>3</v>
      </c>
      <c r="M559">
        <v>5</v>
      </c>
      <c r="N559">
        <v>3</v>
      </c>
      <c r="O559">
        <v>2</v>
      </c>
      <c r="P559" t="str">
        <f t="shared" si="16"/>
        <v>Detractor</v>
      </c>
      <c r="Q559">
        <v>10</v>
      </c>
      <c r="R559" t="s">
        <v>1034</v>
      </c>
      <c r="S559">
        <v>10</v>
      </c>
      <c r="T559" t="s">
        <v>1034</v>
      </c>
      <c r="U559" t="str">
        <f t="shared" si="17"/>
        <v>Yes</v>
      </c>
    </row>
    <row r="560" spans="1:21" x14ac:dyDescent="0.3">
      <c r="A560" t="s">
        <v>370</v>
      </c>
      <c r="B560" t="s">
        <v>15</v>
      </c>
      <c r="C560" t="s">
        <v>16</v>
      </c>
      <c r="D560" s="1">
        <v>45950</v>
      </c>
      <c r="E560" s="1">
        <v>45951</v>
      </c>
      <c r="F560" s="1">
        <v>45955</v>
      </c>
      <c r="G560" s="1">
        <v>45957</v>
      </c>
      <c r="H560" t="s">
        <v>17</v>
      </c>
      <c r="I560">
        <v>0</v>
      </c>
      <c r="J560" t="s">
        <v>18</v>
      </c>
      <c r="K560" s="1">
        <v>45973</v>
      </c>
      <c r="L560">
        <v>1</v>
      </c>
      <c r="M560">
        <v>4</v>
      </c>
      <c r="N560">
        <v>2</v>
      </c>
      <c r="O560">
        <v>6</v>
      </c>
      <c r="P560" t="str">
        <f t="shared" si="16"/>
        <v>Detractor</v>
      </c>
      <c r="Q560">
        <v>10</v>
      </c>
      <c r="R560" t="s">
        <v>1034</v>
      </c>
      <c r="S560">
        <v>10</v>
      </c>
      <c r="T560" t="s">
        <v>1034</v>
      </c>
      <c r="U560" t="str">
        <f t="shared" si="17"/>
        <v>Yes</v>
      </c>
    </row>
    <row r="561" spans="1:21" x14ac:dyDescent="0.3">
      <c r="A561" t="s">
        <v>952</v>
      </c>
      <c r="B561" t="s">
        <v>15</v>
      </c>
      <c r="C561" t="s">
        <v>841</v>
      </c>
      <c r="D561" s="1">
        <v>45933</v>
      </c>
      <c r="E561" s="1"/>
      <c r="F561" s="1"/>
      <c r="G561" s="1"/>
      <c r="H561" t="s">
        <v>752</v>
      </c>
      <c r="I561">
        <v>1</v>
      </c>
      <c r="J561" t="s">
        <v>777</v>
      </c>
      <c r="K561" s="1"/>
      <c r="P561" t="str">
        <f t="shared" si="16"/>
        <v>Not Applicable</v>
      </c>
      <c r="R561" t="s">
        <v>1036</v>
      </c>
      <c r="T561" t="s">
        <v>1036</v>
      </c>
      <c r="U561" t="str">
        <f t="shared" si="17"/>
        <v>No</v>
      </c>
    </row>
    <row r="562" spans="1:21" x14ac:dyDescent="0.3">
      <c r="A562" t="s">
        <v>79</v>
      </c>
      <c r="B562" t="s">
        <v>22</v>
      </c>
      <c r="C562" t="s">
        <v>16</v>
      </c>
      <c r="D562" s="1">
        <v>45938</v>
      </c>
      <c r="E562" s="1">
        <v>45941</v>
      </c>
      <c r="F562" s="1">
        <v>45944</v>
      </c>
      <c r="G562" s="1">
        <v>45949</v>
      </c>
      <c r="H562" t="s">
        <v>17</v>
      </c>
      <c r="I562">
        <v>0</v>
      </c>
      <c r="J562" t="s">
        <v>18</v>
      </c>
      <c r="K562" s="1">
        <v>45973</v>
      </c>
      <c r="L562">
        <v>3</v>
      </c>
      <c r="M562">
        <v>3</v>
      </c>
      <c r="N562">
        <v>5</v>
      </c>
      <c r="O562">
        <v>6</v>
      </c>
      <c r="P562" t="str">
        <f t="shared" si="16"/>
        <v>Detractor</v>
      </c>
      <c r="Q562">
        <v>10</v>
      </c>
      <c r="R562" t="s">
        <v>1034</v>
      </c>
      <c r="S562">
        <v>10</v>
      </c>
      <c r="T562" t="s">
        <v>1034</v>
      </c>
      <c r="U562" t="str">
        <f t="shared" si="17"/>
        <v>Yes</v>
      </c>
    </row>
    <row r="563" spans="1:21" x14ac:dyDescent="0.3">
      <c r="A563" t="s">
        <v>953</v>
      </c>
      <c r="B563" t="s">
        <v>15</v>
      </c>
      <c r="C563" t="s">
        <v>841</v>
      </c>
      <c r="D563" s="1">
        <v>45951</v>
      </c>
      <c r="E563" s="1"/>
      <c r="F563" s="1"/>
      <c r="G563" s="1"/>
      <c r="H563" t="s">
        <v>752</v>
      </c>
      <c r="I563">
        <v>1</v>
      </c>
      <c r="J563" t="s">
        <v>765</v>
      </c>
      <c r="K563" s="1"/>
      <c r="P563" t="str">
        <f t="shared" si="16"/>
        <v>Not Applicable</v>
      </c>
      <c r="R563" t="s">
        <v>1036</v>
      </c>
      <c r="T563" t="s">
        <v>1036</v>
      </c>
      <c r="U563" t="str">
        <f t="shared" si="17"/>
        <v>No</v>
      </c>
    </row>
    <row r="564" spans="1:21" x14ac:dyDescent="0.3">
      <c r="A564" t="s">
        <v>371</v>
      </c>
      <c r="B564" t="s">
        <v>15</v>
      </c>
      <c r="C564" t="s">
        <v>16</v>
      </c>
      <c r="D564" s="1">
        <v>45952</v>
      </c>
      <c r="E564" s="1">
        <v>45953</v>
      </c>
      <c r="F564" s="1">
        <v>45955</v>
      </c>
      <c r="G564" s="1">
        <v>45957</v>
      </c>
      <c r="H564" t="s">
        <v>17</v>
      </c>
      <c r="I564">
        <v>0</v>
      </c>
      <c r="J564" t="s">
        <v>18</v>
      </c>
      <c r="K564" s="1">
        <v>45976</v>
      </c>
      <c r="L564">
        <v>1</v>
      </c>
      <c r="M564">
        <v>2</v>
      </c>
      <c r="N564">
        <v>2</v>
      </c>
      <c r="O564">
        <v>1</v>
      </c>
      <c r="P564" t="str">
        <f t="shared" si="16"/>
        <v>Detractor</v>
      </c>
      <c r="Q564">
        <v>10</v>
      </c>
      <c r="R564" t="s">
        <v>1034</v>
      </c>
      <c r="S564">
        <v>10</v>
      </c>
      <c r="T564" t="s">
        <v>1034</v>
      </c>
      <c r="U564" t="str">
        <f t="shared" si="17"/>
        <v>Yes</v>
      </c>
    </row>
    <row r="565" spans="1:21" x14ac:dyDescent="0.3">
      <c r="A565" t="s">
        <v>585</v>
      </c>
      <c r="B565" t="s">
        <v>22</v>
      </c>
      <c r="C565" t="s">
        <v>474</v>
      </c>
      <c r="D565" s="1">
        <v>45960</v>
      </c>
      <c r="E565" s="1">
        <v>45963</v>
      </c>
      <c r="F565" s="1">
        <v>45965</v>
      </c>
      <c r="G565" s="1">
        <v>45970</v>
      </c>
      <c r="H565" t="s">
        <v>17</v>
      </c>
      <c r="I565">
        <v>0</v>
      </c>
      <c r="J565" t="s">
        <v>18</v>
      </c>
      <c r="K565" s="1">
        <v>45996</v>
      </c>
      <c r="L565">
        <v>3</v>
      </c>
      <c r="M565">
        <v>2</v>
      </c>
      <c r="N565">
        <v>5</v>
      </c>
      <c r="O565">
        <v>3</v>
      </c>
      <c r="P565" t="str">
        <f t="shared" si="16"/>
        <v>Detractor</v>
      </c>
      <c r="Q565">
        <v>11</v>
      </c>
      <c r="R565" t="s">
        <v>1035</v>
      </c>
      <c r="S565">
        <v>11</v>
      </c>
      <c r="T565" t="s">
        <v>1035</v>
      </c>
      <c r="U565" t="str">
        <f t="shared" si="17"/>
        <v>Yes</v>
      </c>
    </row>
    <row r="566" spans="1:21" x14ac:dyDescent="0.3">
      <c r="A566" t="s">
        <v>438</v>
      </c>
      <c r="B566" t="s">
        <v>29</v>
      </c>
      <c r="C566" t="s">
        <v>16</v>
      </c>
      <c r="D566" s="1">
        <v>45940</v>
      </c>
      <c r="E566" s="1">
        <v>45942</v>
      </c>
      <c r="F566" s="1">
        <v>45945</v>
      </c>
      <c r="G566" s="1">
        <v>45951</v>
      </c>
      <c r="H566" t="s">
        <v>17</v>
      </c>
      <c r="I566">
        <v>0</v>
      </c>
      <c r="J566" t="s">
        <v>18</v>
      </c>
      <c r="K566" s="1">
        <v>45980</v>
      </c>
      <c r="L566">
        <v>2</v>
      </c>
      <c r="M566">
        <v>3</v>
      </c>
      <c r="N566">
        <v>6</v>
      </c>
      <c r="O566">
        <v>4</v>
      </c>
      <c r="P566" t="str">
        <f t="shared" si="16"/>
        <v>Detractor</v>
      </c>
      <c r="Q566">
        <v>10</v>
      </c>
      <c r="R566" t="s">
        <v>1034</v>
      </c>
      <c r="S566">
        <v>10</v>
      </c>
      <c r="T566" t="s">
        <v>1034</v>
      </c>
      <c r="U566" t="str">
        <f t="shared" si="17"/>
        <v>Yes</v>
      </c>
    </row>
    <row r="567" spans="1:21" x14ac:dyDescent="0.3">
      <c r="A567" t="s">
        <v>586</v>
      </c>
      <c r="B567" t="s">
        <v>29</v>
      </c>
      <c r="C567" t="s">
        <v>474</v>
      </c>
      <c r="D567" s="1">
        <v>45938</v>
      </c>
      <c r="E567" s="1">
        <v>45939</v>
      </c>
      <c r="F567" s="1">
        <v>45941</v>
      </c>
      <c r="G567" s="1">
        <v>45947</v>
      </c>
      <c r="H567" t="s">
        <v>17</v>
      </c>
      <c r="I567">
        <v>0</v>
      </c>
      <c r="J567" t="s">
        <v>18</v>
      </c>
      <c r="K567" s="1">
        <v>45969</v>
      </c>
      <c r="L567">
        <v>1</v>
      </c>
      <c r="M567">
        <v>2</v>
      </c>
      <c r="N567">
        <v>6</v>
      </c>
      <c r="O567">
        <v>5</v>
      </c>
      <c r="P567" t="str">
        <f t="shared" si="16"/>
        <v>Detractor</v>
      </c>
      <c r="Q567">
        <v>10</v>
      </c>
      <c r="R567" t="s">
        <v>1034</v>
      </c>
      <c r="S567">
        <v>10</v>
      </c>
      <c r="T567" t="s">
        <v>1034</v>
      </c>
      <c r="U567" t="str">
        <f t="shared" si="17"/>
        <v>Yes</v>
      </c>
    </row>
    <row r="568" spans="1:21" x14ac:dyDescent="0.3">
      <c r="A568" t="s">
        <v>718</v>
      </c>
      <c r="B568" t="s">
        <v>15</v>
      </c>
      <c r="C568" t="s">
        <v>474</v>
      </c>
      <c r="D568" s="1">
        <v>45954</v>
      </c>
      <c r="E568" s="1">
        <v>45959</v>
      </c>
      <c r="F568" s="1">
        <v>45963</v>
      </c>
      <c r="G568" s="1">
        <v>45965</v>
      </c>
      <c r="H568" t="s">
        <v>17</v>
      </c>
      <c r="I568">
        <v>0</v>
      </c>
      <c r="J568" t="s">
        <v>18</v>
      </c>
      <c r="K568" s="1">
        <v>45993</v>
      </c>
      <c r="L568">
        <v>5</v>
      </c>
      <c r="M568">
        <v>4</v>
      </c>
      <c r="N568">
        <v>2</v>
      </c>
      <c r="O568">
        <v>3</v>
      </c>
      <c r="P568" t="str">
        <f t="shared" si="16"/>
        <v>Detractor</v>
      </c>
      <c r="Q568">
        <v>10</v>
      </c>
      <c r="R568" t="s">
        <v>1034</v>
      </c>
      <c r="S568">
        <v>11</v>
      </c>
      <c r="T568" t="s">
        <v>1035</v>
      </c>
      <c r="U568" t="str">
        <f t="shared" si="17"/>
        <v>Yes</v>
      </c>
    </row>
    <row r="569" spans="1:21" x14ac:dyDescent="0.3">
      <c r="A569" t="s">
        <v>954</v>
      </c>
      <c r="B569" t="s">
        <v>15</v>
      </c>
      <c r="C569" t="s">
        <v>841</v>
      </c>
      <c r="D569" s="1">
        <v>45933</v>
      </c>
      <c r="E569" s="1"/>
      <c r="F569" s="1"/>
      <c r="G569" s="1"/>
      <c r="H569" t="s">
        <v>752</v>
      </c>
      <c r="I569">
        <v>1</v>
      </c>
      <c r="J569" t="s">
        <v>765</v>
      </c>
      <c r="K569" s="1"/>
      <c r="P569" t="str">
        <f t="shared" si="16"/>
        <v>Not Applicable</v>
      </c>
      <c r="R569" t="s">
        <v>1036</v>
      </c>
      <c r="T569" t="s">
        <v>1036</v>
      </c>
      <c r="U569" t="str">
        <f t="shared" si="17"/>
        <v>No</v>
      </c>
    </row>
    <row r="570" spans="1:21" x14ac:dyDescent="0.3">
      <c r="A570" t="s">
        <v>80</v>
      </c>
      <c r="B570" t="s">
        <v>29</v>
      </c>
      <c r="C570" t="s">
        <v>16</v>
      </c>
      <c r="D570" s="1">
        <v>45944</v>
      </c>
      <c r="E570" s="1">
        <v>45947</v>
      </c>
      <c r="F570" s="1">
        <v>45952</v>
      </c>
      <c r="G570" s="1">
        <v>45956</v>
      </c>
      <c r="H570" t="s">
        <v>17</v>
      </c>
      <c r="I570">
        <v>0</v>
      </c>
      <c r="J570" t="s">
        <v>18</v>
      </c>
      <c r="K570" s="1">
        <v>45969</v>
      </c>
      <c r="L570">
        <v>3</v>
      </c>
      <c r="M570">
        <v>5</v>
      </c>
      <c r="N570">
        <v>4</v>
      </c>
      <c r="O570">
        <v>9</v>
      </c>
      <c r="P570" t="str">
        <f t="shared" si="16"/>
        <v>Promoter</v>
      </c>
      <c r="Q570">
        <v>10</v>
      </c>
      <c r="R570" t="s">
        <v>1034</v>
      </c>
      <c r="S570">
        <v>10</v>
      </c>
      <c r="T570" t="s">
        <v>1034</v>
      </c>
      <c r="U570" t="str">
        <f t="shared" si="17"/>
        <v>Yes</v>
      </c>
    </row>
    <row r="571" spans="1:21" x14ac:dyDescent="0.3">
      <c r="A571" t="s">
        <v>439</v>
      </c>
      <c r="B571" t="s">
        <v>22</v>
      </c>
      <c r="C571" t="s">
        <v>16</v>
      </c>
      <c r="D571" s="1">
        <v>45934</v>
      </c>
      <c r="E571" s="1">
        <v>45936</v>
      </c>
      <c r="F571" s="1">
        <v>45938</v>
      </c>
      <c r="G571" s="1">
        <v>45945</v>
      </c>
      <c r="H571" t="s">
        <v>17</v>
      </c>
      <c r="I571">
        <v>0</v>
      </c>
      <c r="J571" t="s">
        <v>18</v>
      </c>
      <c r="K571" s="1">
        <v>45955</v>
      </c>
      <c r="L571">
        <v>2</v>
      </c>
      <c r="M571">
        <v>2</v>
      </c>
      <c r="N571">
        <v>7</v>
      </c>
      <c r="O571">
        <v>4</v>
      </c>
      <c r="P571" t="str">
        <f t="shared" si="16"/>
        <v>Detractor</v>
      </c>
      <c r="Q571">
        <v>10</v>
      </c>
      <c r="R571" t="s">
        <v>1034</v>
      </c>
      <c r="S571">
        <v>10</v>
      </c>
      <c r="T571" t="s">
        <v>1034</v>
      </c>
      <c r="U571" t="str">
        <f t="shared" si="17"/>
        <v>Yes</v>
      </c>
    </row>
    <row r="572" spans="1:21" x14ac:dyDescent="0.3">
      <c r="A572" t="s">
        <v>587</v>
      </c>
      <c r="B572" t="s">
        <v>15</v>
      </c>
      <c r="C572" t="s">
        <v>474</v>
      </c>
      <c r="D572" s="1">
        <v>45955</v>
      </c>
      <c r="E572" s="1">
        <v>45956</v>
      </c>
      <c r="F572" s="1">
        <v>45960</v>
      </c>
      <c r="G572" s="1">
        <v>45967</v>
      </c>
      <c r="H572" t="s">
        <v>17</v>
      </c>
      <c r="I572">
        <v>0</v>
      </c>
      <c r="J572" t="s">
        <v>18</v>
      </c>
      <c r="K572" s="1">
        <v>45993</v>
      </c>
      <c r="L572">
        <v>1</v>
      </c>
      <c r="M572">
        <v>4</v>
      </c>
      <c r="N572">
        <v>7</v>
      </c>
      <c r="O572">
        <v>9</v>
      </c>
      <c r="P572" t="str">
        <f t="shared" si="16"/>
        <v>Promoter</v>
      </c>
      <c r="Q572">
        <v>10</v>
      </c>
      <c r="R572" t="s">
        <v>1034</v>
      </c>
      <c r="S572">
        <v>11</v>
      </c>
      <c r="T572" t="s">
        <v>1035</v>
      </c>
      <c r="U572" t="str">
        <f t="shared" si="17"/>
        <v>Yes</v>
      </c>
    </row>
    <row r="573" spans="1:21" x14ac:dyDescent="0.3">
      <c r="A573" t="s">
        <v>81</v>
      </c>
      <c r="B573" t="s">
        <v>27</v>
      </c>
      <c r="C573" t="s">
        <v>16</v>
      </c>
      <c r="D573" s="1">
        <v>45951</v>
      </c>
      <c r="E573" s="1">
        <v>45954</v>
      </c>
      <c r="F573" s="1">
        <v>45959</v>
      </c>
      <c r="G573" s="1">
        <v>45966</v>
      </c>
      <c r="H573" t="s">
        <v>17</v>
      </c>
      <c r="I573">
        <v>0</v>
      </c>
      <c r="J573" t="s">
        <v>18</v>
      </c>
      <c r="K573" s="1">
        <v>45987</v>
      </c>
      <c r="L573">
        <v>3</v>
      </c>
      <c r="M573">
        <v>5</v>
      </c>
      <c r="N573">
        <v>7</v>
      </c>
      <c r="O573">
        <v>2</v>
      </c>
      <c r="P573" t="str">
        <f t="shared" si="16"/>
        <v>Detractor</v>
      </c>
      <c r="Q573">
        <v>10</v>
      </c>
      <c r="R573" t="s">
        <v>1034</v>
      </c>
      <c r="S573">
        <v>11</v>
      </c>
      <c r="T573" t="s">
        <v>1035</v>
      </c>
      <c r="U573" t="str">
        <f t="shared" si="17"/>
        <v>Yes</v>
      </c>
    </row>
    <row r="574" spans="1:21" x14ac:dyDescent="0.3">
      <c r="A574" t="s">
        <v>719</v>
      </c>
      <c r="B574" t="s">
        <v>22</v>
      </c>
      <c r="C574" t="s">
        <v>474</v>
      </c>
      <c r="D574" s="1">
        <v>45953</v>
      </c>
      <c r="E574" s="1">
        <v>45958</v>
      </c>
      <c r="F574" s="1">
        <v>45961</v>
      </c>
      <c r="G574" s="1">
        <v>45968</v>
      </c>
      <c r="H574" t="s">
        <v>17</v>
      </c>
      <c r="I574">
        <v>0</v>
      </c>
      <c r="J574" t="s">
        <v>18</v>
      </c>
      <c r="K574" s="1">
        <v>45995</v>
      </c>
      <c r="L574">
        <v>5</v>
      </c>
      <c r="M574">
        <v>3</v>
      </c>
      <c r="N574">
        <v>7</v>
      </c>
      <c r="O574">
        <v>1</v>
      </c>
      <c r="P574" t="str">
        <f t="shared" si="16"/>
        <v>Detractor</v>
      </c>
      <c r="Q574">
        <v>10</v>
      </c>
      <c r="R574" t="s">
        <v>1034</v>
      </c>
      <c r="S574">
        <v>11</v>
      </c>
      <c r="T574" t="s">
        <v>1035</v>
      </c>
      <c r="U574" t="str">
        <f t="shared" si="17"/>
        <v>Yes</v>
      </c>
    </row>
    <row r="575" spans="1:21" x14ac:dyDescent="0.3">
      <c r="A575" t="s">
        <v>588</v>
      </c>
      <c r="B575" t="s">
        <v>15</v>
      </c>
      <c r="C575" t="s">
        <v>474</v>
      </c>
      <c r="D575" s="1">
        <v>45958</v>
      </c>
      <c r="E575" s="1">
        <v>45961</v>
      </c>
      <c r="F575" s="1">
        <v>45964</v>
      </c>
      <c r="G575" s="1">
        <v>45967</v>
      </c>
      <c r="H575" t="s">
        <v>17</v>
      </c>
      <c r="I575">
        <v>0</v>
      </c>
      <c r="J575" t="s">
        <v>18</v>
      </c>
      <c r="K575" s="1">
        <v>45997</v>
      </c>
      <c r="L575">
        <v>3</v>
      </c>
      <c r="M575">
        <v>3</v>
      </c>
      <c r="N575">
        <v>3</v>
      </c>
      <c r="O575">
        <v>7</v>
      </c>
      <c r="P575" t="str">
        <f t="shared" si="16"/>
        <v>Passive</v>
      </c>
      <c r="Q575">
        <v>10</v>
      </c>
      <c r="R575" t="s">
        <v>1034</v>
      </c>
      <c r="S575">
        <v>11</v>
      </c>
      <c r="T575" t="s">
        <v>1035</v>
      </c>
      <c r="U575" t="str">
        <f t="shared" si="17"/>
        <v>Yes</v>
      </c>
    </row>
    <row r="576" spans="1:21" x14ac:dyDescent="0.3">
      <c r="A576" t="s">
        <v>440</v>
      </c>
      <c r="B576" t="s">
        <v>15</v>
      </c>
      <c r="C576" t="s">
        <v>16</v>
      </c>
      <c r="D576" s="1">
        <v>45934</v>
      </c>
      <c r="E576" s="1">
        <v>45936</v>
      </c>
      <c r="F576" s="1">
        <v>45940</v>
      </c>
      <c r="G576" s="1">
        <v>45942</v>
      </c>
      <c r="H576" t="s">
        <v>17</v>
      </c>
      <c r="I576">
        <v>0</v>
      </c>
      <c r="J576" t="s">
        <v>18</v>
      </c>
      <c r="K576" s="1">
        <v>45971</v>
      </c>
      <c r="L576">
        <v>2</v>
      </c>
      <c r="M576">
        <v>4</v>
      </c>
      <c r="N576">
        <v>2</v>
      </c>
      <c r="O576">
        <v>0</v>
      </c>
      <c r="P576" t="str">
        <f t="shared" si="16"/>
        <v>Detractor</v>
      </c>
      <c r="Q576">
        <v>10</v>
      </c>
      <c r="R576" t="s">
        <v>1034</v>
      </c>
      <c r="S576">
        <v>10</v>
      </c>
      <c r="T576" t="s">
        <v>1034</v>
      </c>
      <c r="U576" t="str">
        <f t="shared" si="17"/>
        <v>Yes</v>
      </c>
    </row>
    <row r="577" spans="1:21" x14ac:dyDescent="0.3">
      <c r="A577" t="s">
        <v>589</v>
      </c>
      <c r="B577" t="s">
        <v>27</v>
      </c>
      <c r="C577" t="s">
        <v>474</v>
      </c>
      <c r="D577" s="1">
        <v>45945</v>
      </c>
      <c r="E577" s="1">
        <v>45949</v>
      </c>
      <c r="F577" s="1">
        <v>45953</v>
      </c>
      <c r="G577" s="1">
        <v>45955</v>
      </c>
      <c r="H577" t="s">
        <v>17</v>
      </c>
      <c r="I577">
        <v>0</v>
      </c>
      <c r="J577" t="s">
        <v>18</v>
      </c>
      <c r="K577" s="1">
        <v>45984</v>
      </c>
      <c r="L577">
        <v>4</v>
      </c>
      <c r="M577">
        <v>4</v>
      </c>
      <c r="N577">
        <v>2</v>
      </c>
      <c r="O577">
        <v>10</v>
      </c>
      <c r="P577" t="str">
        <f t="shared" si="16"/>
        <v>Promoter</v>
      </c>
      <c r="Q577">
        <v>10</v>
      </c>
      <c r="R577" t="s">
        <v>1034</v>
      </c>
      <c r="S577">
        <v>10</v>
      </c>
      <c r="T577" t="s">
        <v>1034</v>
      </c>
      <c r="U577" t="str">
        <f t="shared" si="17"/>
        <v>Yes</v>
      </c>
    </row>
    <row r="578" spans="1:21" x14ac:dyDescent="0.3">
      <c r="A578" t="s">
        <v>277</v>
      </c>
      <c r="B578" t="s">
        <v>27</v>
      </c>
      <c r="C578" t="s">
        <v>16</v>
      </c>
      <c r="D578" s="1">
        <v>45936</v>
      </c>
      <c r="E578" s="1">
        <v>45940</v>
      </c>
      <c r="F578" s="1">
        <v>45944</v>
      </c>
      <c r="G578" s="1">
        <v>45951</v>
      </c>
      <c r="H578" t="s">
        <v>17</v>
      </c>
      <c r="I578">
        <v>0</v>
      </c>
      <c r="J578" t="s">
        <v>18</v>
      </c>
      <c r="K578" s="1">
        <v>45970</v>
      </c>
      <c r="L578">
        <v>4</v>
      </c>
      <c r="M578">
        <v>4</v>
      </c>
      <c r="N578">
        <v>7</v>
      </c>
      <c r="O578">
        <v>7</v>
      </c>
      <c r="P578" t="str">
        <f t="shared" ref="P578:P641" si="18">IF(ISBLANK(O578), "Not Applicable", IF(O578&gt;=9, "Promoter", IF(O578&gt;=7, "Passive", "Detractor")))</f>
        <v>Passive</v>
      </c>
      <c r="Q578">
        <v>10</v>
      </c>
      <c r="R578" t="s">
        <v>1034</v>
      </c>
      <c r="S578">
        <v>10</v>
      </c>
      <c r="T578" t="s">
        <v>1034</v>
      </c>
      <c r="U578" t="str">
        <f t="shared" ref="U578:U641" si="19">IF(
H578="Yes","No",
IF(
OR(
C578="Hot",
AND(C578="Warm",NOT(ISBLANK(E578)))
),
"Yes",
"No"
)
)</f>
        <v>Yes</v>
      </c>
    </row>
    <row r="579" spans="1:21" x14ac:dyDescent="0.3">
      <c r="A579" t="s">
        <v>590</v>
      </c>
      <c r="B579" t="s">
        <v>29</v>
      </c>
      <c r="C579" t="s">
        <v>474</v>
      </c>
      <c r="D579" s="1">
        <v>45953</v>
      </c>
      <c r="E579" s="1">
        <v>45955</v>
      </c>
      <c r="F579" s="1">
        <v>45957</v>
      </c>
      <c r="G579" s="1">
        <v>45960</v>
      </c>
      <c r="H579" t="s">
        <v>17</v>
      </c>
      <c r="I579">
        <v>0</v>
      </c>
      <c r="J579" t="s">
        <v>18</v>
      </c>
      <c r="K579" s="1">
        <v>45979</v>
      </c>
      <c r="L579">
        <v>2</v>
      </c>
      <c r="M579">
        <v>2</v>
      </c>
      <c r="N579">
        <v>3</v>
      </c>
      <c r="O579">
        <v>3</v>
      </c>
      <c r="P579" t="str">
        <f t="shared" si="18"/>
        <v>Detractor</v>
      </c>
      <c r="Q579">
        <v>10</v>
      </c>
      <c r="R579" t="s">
        <v>1034</v>
      </c>
      <c r="S579">
        <v>10</v>
      </c>
      <c r="T579" t="s">
        <v>1034</v>
      </c>
      <c r="U579" t="str">
        <f t="shared" si="19"/>
        <v>Yes</v>
      </c>
    </row>
    <row r="580" spans="1:21" x14ac:dyDescent="0.3">
      <c r="A580" t="s">
        <v>591</v>
      </c>
      <c r="B580" t="s">
        <v>22</v>
      </c>
      <c r="C580" t="s">
        <v>474</v>
      </c>
      <c r="D580" s="1">
        <v>45940</v>
      </c>
      <c r="E580" s="1">
        <v>45942</v>
      </c>
      <c r="F580" s="1">
        <v>45945</v>
      </c>
      <c r="G580" s="1">
        <v>45952</v>
      </c>
      <c r="H580" t="s">
        <v>17</v>
      </c>
      <c r="I580">
        <v>0</v>
      </c>
      <c r="J580" t="s">
        <v>18</v>
      </c>
      <c r="K580" s="1">
        <v>45965</v>
      </c>
      <c r="L580">
        <v>2</v>
      </c>
      <c r="M580">
        <v>3</v>
      </c>
      <c r="N580">
        <v>7</v>
      </c>
      <c r="O580">
        <v>6</v>
      </c>
      <c r="P580" t="str">
        <f t="shared" si="18"/>
        <v>Detractor</v>
      </c>
      <c r="Q580">
        <v>10</v>
      </c>
      <c r="R580" t="s">
        <v>1034</v>
      </c>
      <c r="S580">
        <v>10</v>
      </c>
      <c r="T580" t="s">
        <v>1034</v>
      </c>
      <c r="U580" t="str">
        <f t="shared" si="19"/>
        <v>Yes</v>
      </c>
    </row>
    <row r="581" spans="1:21" x14ac:dyDescent="0.3">
      <c r="A581" t="s">
        <v>592</v>
      </c>
      <c r="B581" t="s">
        <v>22</v>
      </c>
      <c r="C581" t="s">
        <v>474</v>
      </c>
      <c r="D581" s="1">
        <v>45959</v>
      </c>
      <c r="E581" s="1">
        <v>45960</v>
      </c>
      <c r="F581" s="1">
        <v>45962</v>
      </c>
      <c r="G581" s="1">
        <v>45964</v>
      </c>
      <c r="H581" t="s">
        <v>17</v>
      </c>
      <c r="I581">
        <v>0</v>
      </c>
      <c r="J581" t="s">
        <v>18</v>
      </c>
      <c r="K581" s="1">
        <v>45989</v>
      </c>
      <c r="L581">
        <v>1</v>
      </c>
      <c r="M581">
        <v>2</v>
      </c>
      <c r="N581">
        <v>2</v>
      </c>
      <c r="O581">
        <v>9</v>
      </c>
      <c r="P581" t="str">
        <f t="shared" si="18"/>
        <v>Promoter</v>
      </c>
      <c r="Q581">
        <v>10</v>
      </c>
      <c r="R581" t="s">
        <v>1034</v>
      </c>
      <c r="S581">
        <v>11</v>
      </c>
      <c r="T581" t="s">
        <v>1035</v>
      </c>
      <c r="U581" t="str">
        <f t="shared" si="19"/>
        <v>Yes</v>
      </c>
    </row>
    <row r="582" spans="1:21" x14ac:dyDescent="0.3">
      <c r="A582" t="s">
        <v>278</v>
      </c>
      <c r="B582" t="s">
        <v>29</v>
      </c>
      <c r="C582" t="s">
        <v>16</v>
      </c>
      <c r="D582" s="1">
        <v>45931</v>
      </c>
      <c r="E582" s="1">
        <v>45935</v>
      </c>
      <c r="F582" s="1">
        <v>45937</v>
      </c>
      <c r="G582" s="1">
        <v>45940</v>
      </c>
      <c r="H582" t="s">
        <v>17</v>
      </c>
      <c r="I582">
        <v>0</v>
      </c>
      <c r="J582" t="s">
        <v>18</v>
      </c>
      <c r="K582" s="1">
        <v>45952</v>
      </c>
      <c r="L582">
        <v>4</v>
      </c>
      <c r="M582">
        <v>2</v>
      </c>
      <c r="N582">
        <v>3</v>
      </c>
      <c r="O582">
        <v>6</v>
      </c>
      <c r="P582" t="str">
        <f t="shared" si="18"/>
        <v>Detractor</v>
      </c>
      <c r="Q582">
        <v>10</v>
      </c>
      <c r="R582" t="s">
        <v>1034</v>
      </c>
      <c r="S582">
        <v>10</v>
      </c>
      <c r="T582" t="s">
        <v>1034</v>
      </c>
      <c r="U582" t="str">
        <f t="shared" si="19"/>
        <v>Yes</v>
      </c>
    </row>
    <row r="583" spans="1:21" x14ac:dyDescent="0.3">
      <c r="A583" t="s">
        <v>372</v>
      </c>
      <c r="B583" t="s">
        <v>22</v>
      </c>
      <c r="C583" t="s">
        <v>16</v>
      </c>
      <c r="D583" s="1">
        <v>45932</v>
      </c>
      <c r="E583" s="1">
        <v>45933</v>
      </c>
      <c r="F583" s="1">
        <v>45938</v>
      </c>
      <c r="G583" s="1">
        <v>45943</v>
      </c>
      <c r="H583" t="s">
        <v>17</v>
      </c>
      <c r="I583">
        <v>0</v>
      </c>
      <c r="J583" t="s">
        <v>18</v>
      </c>
      <c r="K583" s="1">
        <v>45963</v>
      </c>
      <c r="L583">
        <v>1</v>
      </c>
      <c r="M583">
        <v>5</v>
      </c>
      <c r="N583">
        <v>5</v>
      </c>
      <c r="O583">
        <v>3</v>
      </c>
      <c r="P583" t="str">
        <f t="shared" si="18"/>
        <v>Detractor</v>
      </c>
      <c r="Q583">
        <v>10</v>
      </c>
      <c r="R583" t="s">
        <v>1034</v>
      </c>
      <c r="S583">
        <v>10</v>
      </c>
      <c r="T583" t="s">
        <v>1034</v>
      </c>
      <c r="U583" t="str">
        <f t="shared" si="19"/>
        <v>Yes</v>
      </c>
    </row>
    <row r="584" spans="1:21" x14ac:dyDescent="0.3">
      <c r="A584" t="s">
        <v>82</v>
      </c>
      <c r="B584" t="s">
        <v>22</v>
      </c>
      <c r="C584" t="s">
        <v>16</v>
      </c>
      <c r="D584" s="1">
        <v>45941</v>
      </c>
      <c r="E584" s="1">
        <v>45944</v>
      </c>
      <c r="F584" s="1">
        <v>45948</v>
      </c>
      <c r="G584" s="1">
        <v>45952</v>
      </c>
      <c r="H584" t="s">
        <v>17</v>
      </c>
      <c r="I584">
        <v>0</v>
      </c>
      <c r="J584" t="s">
        <v>18</v>
      </c>
      <c r="K584" s="1">
        <v>45970</v>
      </c>
      <c r="L584">
        <v>3</v>
      </c>
      <c r="M584">
        <v>4</v>
      </c>
      <c r="N584">
        <v>4</v>
      </c>
      <c r="O584">
        <v>1</v>
      </c>
      <c r="P584" t="str">
        <f t="shared" si="18"/>
        <v>Detractor</v>
      </c>
      <c r="Q584">
        <v>10</v>
      </c>
      <c r="R584" t="s">
        <v>1034</v>
      </c>
      <c r="S584">
        <v>10</v>
      </c>
      <c r="T584" t="s">
        <v>1034</v>
      </c>
      <c r="U584" t="str">
        <f t="shared" si="19"/>
        <v>Yes</v>
      </c>
    </row>
    <row r="585" spans="1:21" x14ac:dyDescent="0.3">
      <c r="A585" t="s">
        <v>441</v>
      </c>
      <c r="B585" t="s">
        <v>22</v>
      </c>
      <c r="C585" t="s">
        <v>16</v>
      </c>
      <c r="D585" s="1">
        <v>45956</v>
      </c>
      <c r="E585" s="1">
        <v>45958</v>
      </c>
      <c r="F585" s="1">
        <v>45960</v>
      </c>
      <c r="G585" s="1">
        <v>45966</v>
      </c>
      <c r="H585" t="s">
        <v>17</v>
      </c>
      <c r="I585">
        <v>0</v>
      </c>
      <c r="J585" t="s">
        <v>18</v>
      </c>
      <c r="K585" s="1">
        <v>45996</v>
      </c>
      <c r="L585">
        <v>2</v>
      </c>
      <c r="M585">
        <v>2</v>
      </c>
      <c r="N585">
        <v>6</v>
      </c>
      <c r="O585">
        <v>5</v>
      </c>
      <c r="P585" t="str">
        <f t="shared" si="18"/>
        <v>Detractor</v>
      </c>
      <c r="Q585">
        <v>10</v>
      </c>
      <c r="R585" t="s">
        <v>1034</v>
      </c>
      <c r="S585">
        <v>11</v>
      </c>
      <c r="T585" t="s">
        <v>1035</v>
      </c>
      <c r="U585" t="str">
        <f t="shared" si="19"/>
        <v>Yes</v>
      </c>
    </row>
    <row r="586" spans="1:21" x14ac:dyDescent="0.3">
      <c r="A586" t="s">
        <v>807</v>
      </c>
      <c r="B586" t="s">
        <v>22</v>
      </c>
      <c r="C586" t="s">
        <v>16</v>
      </c>
      <c r="D586" s="1">
        <v>45932</v>
      </c>
      <c r="E586" s="1">
        <v>45933</v>
      </c>
      <c r="F586" s="1">
        <v>45938</v>
      </c>
      <c r="G586" s="1">
        <v>45944</v>
      </c>
      <c r="H586" t="s">
        <v>752</v>
      </c>
      <c r="I586">
        <v>1</v>
      </c>
      <c r="J586" t="s">
        <v>753</v>
      </c>
      <c r="K586" s="1"/>
      <c r="L586">
        <v>1</v>
      </c>
      <c r="M586">
        <v>5</v>
      </c>
      <c r="N586">
        <v>6</v>
      </c>
      <c r="P586" t="str">
        <f t="shared" si="18"/>
        <v>Not Applicable</v>
      </c>
      <c r="Q586">
        <v>10</v>
      </c>
      <c r="R586" t="s">
        <v>1034</v>
      </c>
      <c r="S586">
        <v>10</v>
      </c>
      <c r="T586" t="s">
        <v>1034</v>
      </c>
      <c r="U586" t="str">
        <f t="shared" si="19"/>
        <v>No</v>
      </c>
    </row>
    <row r="587" spans="1:21" x14ac:dyDescent="0.3">
      <c r="A587" t="s">
        <v>593</v>
      </c>
      <c r="B587" t="s">
        <v>22</v>
      </c>
      <c r="C587" t="s">
        <v>474</v>
      </c>
      <c r="D587" s="1">
        <v>45940</v>
      </c>
      <c r="E587" s="1">
        <v>45942</v>
      </c>
      <c r="F587" s="1">
        <v>45943</v>
      </c>
      <c r="G587" s="1">
        <v>45950</v>
      </c>
      <c r="H587" t="s">
        <v>17</v>
      </c>
      <c r="I587">
        <v>0</v>
      </c>
      <c r="J587" t="s">
        <v>18</v>
      </c>
      <c r="K587" s="1">
        <v>45970</v>
      </c>
      <c r="L587">
        <v>2</v>
      </c>
      <c r="M587">
        <v>1</v>
      </c>
      <c r="N587">
        <v>7</v>
      </c>
      <c r="O587">
        <v>5</v>
      </c>
      <c r="P587" t="str">
        <f t="shared" si="18"/>
        <v>Detractor</v>
      </c>
      <c r="Q587">
        <v>10</v>
      </c>
      <c r="R587" t="s">
        <v>1034</v>
      </c>
      <c r="S587">
        <v>10</v>
      </c>
      <c r="T587" t="s">
        <v>1034</v>
      </c>
      <c r="U587" t="str">
        <f t="shared" si="19"/>
        <v>Yes</v>
      </c>
    </row>
    <row r="588" spans="1:21" x14ac:dyDescent="0.3">
      <c r="A588" t="s">
        <v>373</v>
      </c>
      <c r="B588" t="s">
        <v>27</v>
      </c>
      <c r="C588" t="s">
        <v>16</v>
      </c>
      <c r="D588" s="1">
        <v>45942</v>
      </c>
      <c r="E588" s="1">
        <v>45943</v>
      </c>
      <c r="F588" s="1">
        <v>45948</v>
      </c>
      <c r="G588" s="1">
        <v>45952</v>
      </c>
      <c r="H588" t="s">
        <v>17</v>
      </c>
      <c r="I588">
        <v>0</v>
      </c>
      <c r="J588" t="s">
        <v>18</v>
      </c>
      <c r="K588" s="1">
        <v>45970</v>
      </c>
      <c r="L588">
        <v>1</v>
      </c>
      <c r="M588">
        <v>5</v>
      </c>
      <c r="N588">
        <v>4</v>
      </c>
      <c r="O588">
        <v>8</v>
      </c>
      <c r="P588" t="str">
        <f t="shared" si="18"/>
        <v>Passive</v>
      </c>
      <c r="Q588">
        <v>10</v>
      </c>
      <c r="R588" t="s">
        <v>1034</v>
      </c>
      <c r="S588">
        <v>10</v>
      </c>
      <c r="T588" t="s">
        <v>1034</v>
      </c>
      <c r="U588" t="str">
        <f t="shared" si="19"/>
        <v>Yes</v>
      </c>
    </row>
    <row r="589" spans="1:21" x14ac:dyDescent="0.3">
      <c r="A589" t="s">
        <v>955</v>
      </c>
      <c r="B589" t="s">
        <v>22</v>
      </c>
      <c r="C589" t="s">
        <v>841</v>
      </c>
      <c r="D589" s="1">
        <v>45942</v>
      </c>
      <c r="E589" s="1"/>
      <c r="F589" s="1"/>
      <c r="G589" s="1"/>
      <c r="H589" t="s">
        <v>752</v>
      </c>
      <c r="I589">
        <v>1</v>
      </c>
      <c r="J589" t="s">
        <v>753</v>
      </c>
      <c r="K589" s="1"/>
      <c r="P589" t="str">
        <f t="shared" si="18"/>
        <v>Not Applicable</v>
      </c>
      <c r="R589" t="s">
        <v>1036</v>
      </c>
      <c r="T589" t="s">
        <v>1036</v>
      </c>
      <c r="U589" t="str">
        <f t="shared" si="19"/>
        <v>No</v>
      </c>
    </row>
    <row r="590" spans="1:21" x14ac:dyDescent="0.3">
      <c r="A590" t="s">
        <v>808</v>
      </c>
      <c r="B590" t="s">
        <v>27</v>
      </c>
      <c r="C590" t="s">
        <v>16</v>
      </c>
      <c r="D590" s="1">
        <v>45944</v>
      </c>
      <c r="E590" s="1">
        <v>45947</v>
      </c>
      <c r="F590" s="1">
        <v>45948</v>
      </c>
      <c r="G590" s="1">
        <v>45951</v>
      </c>
      <c r="H590" t="s">
        <v>752</v>
      </c>
      <c r="I590">
        <v>1</v>
      </c>
      <c r="J590" t="s">
        <v>765</v>
      </c>
      <c r="K590" s="1"/>
      <c r="L590">
        <v>3</v>
      </c>
      <c r="M590">
        <v>1</v>
      </c>
      <c r="N590">
        <v>3</v>
      </c>
      <c r="P590" t="str">
        <f t="shared" si="18"/>
        <v>Not Applicable</v>
      </c>
      <c r="Q590">
        <v>10</v>
      </c>
      <c r="R590" t="s">
        <v>1034</v>
      </c>
      <c r="S590">
        <v>10</v>
      </c>
      <c r="T590" t="s">
        <v>1034</v>
      </c>
      <c r="U590" t="str">
        <f t="shared" si="19"/>
        <v>No</v>
      </c>
    </row>
    <row r="591" spans="1:21" x14ac:dyDescent="0.3">
      <c r="A591" t="s">
        <v>83</v>
      </c>
      <c r="B591" t="s">
        <v>22</v>
      </c>
      <c r="C591" t="s">
        <v>16</v>
      </c>
      <c r="D591" s="1">
        <v>45935</v>
      </c>
      <c r="E591" s="1">
        <v>45938</v>
      </c>
      <c r="F591" s="1">
        <v>45939</v>
      </c>
      <c r="G591" s="1">
        <v>45943</v>
      </c>
      <c r="H591" t="s">
        <v>17</v>
      </c>
      <c r="I591">
        <v>0</v>
      </c>
      <c r="J591" t="s">
        <v>18</v>
      </c>
      <c r="K591" s="1">
        <v>45961</v>
      </c>
      <c r="L591">
        <v>3</v>
      </c>
      <c r="M591">
        <v>1</v>
      </c>
      <c r="N591">
        <v>4</v>
      </c>
      <c r="O591">
        <v>9</v>
      </c>
      <c r="P591" t="str">
        <f t="shared" si="18"/>
        <v>Promoter</v>
      </c>
      <c r="Q591">
        <v>10</v>
      </c>
      <c r="R591" t="s">
        <v>1034</v>
      </c>
      <c r="S591">
        <v>10</v>
      </c>
      <c r="T591" t="s">
        <v>1034</v>
      </c>
      <c r="U591" t="str">
        <f t="shared" si="19"/>
        <v>Yes</v>
      </c>
    </row>
    <row r="592" spans="1:21" x14ac:dyDescent="0.3">
      <c r="A592" t="s">
        <v>956</v>
      </c>
      <c r="B592" t="s">
        <v>29</v>
      </c>
      <c r="C592" t="s">
        <v>841</v>
      </c>
      <c r="D592" s="1">
        <v>45938</v>
      </c>
      <c r="E592" s="1"/>
      <c r="F592" s="1"/>
      <c r="G592" s="1"/>
      <c r="H592" t="s">
        <v>752</v>
      </c>
      <c r="I592">
        <v>1</v>
      </c>
      <c r="J592" t="s">
        <v>756</v>
      </c>
      <c r="K592" s="1"/>
      <c r="P592" t="str">
        <f t="shared" si="18"/>
        <v>Not Applicable</v>
      </c>
      <c r="R592" t="s">
        <v>1036</v>
      </c>
      <c r="T592" t="s">
        <v>1036</v>
      </c>
      <c r="U592" t="str">
        <f t="shared" si="19"/>
        <v>No</v>
      </c>
    </row>
    <row r="593" spans="1:21" x14ac:dyDescent="0.3">
      <c r="A593" t="s">
        <v>188</v>
      </c>
      <c r="B593" t="s">
        <v>15</v>
      </c>
      <c r="C593" t="s">
        <v>16</v>
      </c>
      <c r="D593" s="1">
        <v>45947</v>
      </c>
      <c r="E593" s="1">
        <v>45952</v>
      </c>
      <c r="F593" s="1">
        <v>45953</v>
      </c>
      <c r="G593" s="1">
        <v>45956</v>
      </c>
      <c r="H593" t="s">
        <v>17</v>
      </c>
      <c r="I593">
        <v>0</v>
      </c>
      <c r="J593" t="s">
        <v>18</v>
      </c>
      <c r="K593" s="1">
        <v>45986</v>
      </c>
      <c r="L593">
        <v>5</v>
      </c>
      <c r="M593">
        <v>1</v>
      </c>
      <c r="N593">
        <v>3</v>
      </c>
      <c r="O593">
        <v>0</v>
      </c>
      <c r="P593" t="str">
        <f t="shared" si="18"/>
        <v>Detractor</v>
      </c>
      <c r="Q593">
        <v>10</v>
      </c>
      <c r="R593" t="s">
        <v>1034</v>
      </c>
      <c r="S593">
        <v>10</v>
      </c>
      <c r="T593" t="s">
        <v>1034</v>
      </c>
      <c r="U593" t="str">
        <f t="shared" si="19"/>
        <v>Yes</v>
      </c>
    </row>
    <row r="594" spans="1:21" x14ac:dyDescent="0.3">
      <c r="A594" t="s">
        <v>809</v>
      </c>
      <c r="B594" t="s">
        <v>27</v>
      </c>
      <c r="C594" t="s">
        <v>474</v>
      </c>
      <c r="D594" s="1">
        <v>45944</v>
      </c>
      <c r="E594" s="1">
        <v>45948</v>
      </c>
      <c r="F594" s="1">
        <v>45949</v>
      </c>
      <c r="G594" s="1">
        <v>45956</v>
      </c>
      <c r="H594" t="s">
        <v>752</v>
      </c>
      <c r="I594">
        <v>1</v>
      </c>
      <c r="J594" t="s">
        <v>758</v>
      </c>
      <c r="K594" s="1"/>
      <c r="L594">
        <v>4</v>
      </c>
      <c r="M594">
        <v>1</v>
      </c>
      <c r="N594">
        <v>7</v>
      </c>
      <c r="P594" t="str">
        <f t="shared" si="18"/>
        <v>Not Applicable</v>
      </c>
      <c r="Q594">
        <v>10</v>
      </c>
      <c r="R594" t="s">
        <v>1034</v>
      </c>
      <c r="S594">
        <v>10</v>
      </c>
      <c r="T594" t="s">
        <v>1034</v>
      </c>
      <c r="U594" t="str">
        <f t="shared" si="19"/>
        <v>No</v>
      </c>
    </row>
    <row r="595" spans="1:21" x14ac:dyDescent="0.3">
      <c r="A595" t="s">
        <v>189</v>
      </c>
      <c r="B595" t="s">
        <v>22</v>
      </c>
      <c r="C595" t="s">
        <v>16</v>
      </c>
      <c r="D595" s="1">
        <v>45949</v>
      </c>
      <c r="E595" s="1">
        <v>45954</v>
      </c>
      <c r="F595" s="1">
        <v>45958</v>
      </c>
      <c r="G595" s="1">
        <v>45962</v>
      </c>
      <c r="H595" t="s">
        <v>17</v>
      </c>
      <c r="I595">
        <v>0</v>
      </c>
      <c r="J595" t="s">
        <v>18</v>
      </c>
      <c r="K595" s="1">
        <v>45992</v>
      </c>
      <c r="L595">
        <v>5</v>
      </c>
      <c r="M595">
        <v>4</v>
      </c>
      <c r="N595">
        <v>4</v>
      </c>
      <c r="O595">
        <v>7</v>
      </c>
      <c r="P595" t="str">
        <f t="shared" si="18"/>
        <v>Passive</v>
      </c>
      <c r="Q595">
        <v>10</v>
      </c>
      <c r="R595" t="s">
        <v>1034</v>
      </c>
      <c r="S595">
        <v>11</v>
      </c>
      <c r="T595" t="s">
        <v>1035</v>
      </c>
      <c r="U595" t="str">
        <f t="shared" si="19"/>
        <v>Yes</v>
      </c>
    </row>
    <row r="596" spans="1:21" x14ac:dyDescent="0.3">
      <c r="A596" t="s">
        <v>279</v>
      </c>
      <c r="B596" t="s">
        <v>29</v>
      </c>
      <c r="C596" t="s">
        <v>16</v>
      </c>
      <c r="D596" s="1">
        <v>45952</v>
      </c>
      <c r="E596" s="1">
        <v>45956</v>
      </c>
      <c r="F596" s="1">
        <v>45958</v>
      </c>
      <c r="G596" s="1">
        <v>45965</v>
      </c>
      <c r="H596" t="s">
        <v>17</v>
      </c>
      <c r="I596">
        <v>0</v>
      </c>
      <c r="J596" t="s">
        <v>18</v>
      </c>
      <c r="K596" s="1">
        <v>45984</v>
      </c>
      <c r="L596">
        <v>4</v>
      </c>
      <c r="M596">
        <v>2</v>
      </c>
      <c r="N596">
        <v>7</v>
      </c>
      <c r="O596">
        <v>2</v>
      </c>
      <c r="P596" t="str">
        <f t="shared" si="18"/>
        <v>Detractor</v>
      </c>
      <c r="Q596">
        <v>10</v>
      </c>
      <c r="R596" t="s">
        <v>1034</v>
      </c>
      <c r="S596">
        <v>11</v>
      </c>
      <c r="T596" t="s">
        <v>1035</v>
      </c>
      <c r="U596" t="str">
        <f t="shared" si="19"/>
        <v>Yes</v>
      </c>
    </row>
    <row r="597" spans="1:21" x14ac:dyDescent="0.3">
      <c r="A597" t="s">
        <v>84</v>
      </c>
      <c r="B597" t="s">
        <v>15</v>
      </c>
      <c r="C597" t="s">
        <v>16</v>
      </c>
      <c r="D597" s="1">
        <v>45956</v>
      </c>
      <c r="E597" s="1">
        <v>45959</v>
      </c>
      <c r="F597" s="1">
        <v>45961</v>
      </c>
      <c r="G597" s="1">
        <v>45963</v>
      </c>
      <c r="H597" t="s">
        <v>17</v>
      </c>
      <c r="I597">
        <v>0</v>
      </c>
      <c r="J597" t="s">
        <v>18</v>
      </c>
      <c r="K597" s="1">
        <v>45979</v>
      </c>
      <c r="L597">
        <v>3</v>
      </c>
      <c r="M597">
        <v>2</v>
      </c>
      <c r="N597">
        <v>2</v>
      </c>
      <c r="O597">
        <v>8</v>
      </c>
      <c r="P597" t="str">
        <f t="shared" si="18"/>
        <v>Passive</v>
      </c>
      <c r="Q597">
        <v>10</v>
      </c>
      <c r="R597" t="s">
        <v>1034</v>
      </c>
      <c r="S597">
        <v>11</v>
      </c>
      <c r="T597" t="s">
        <v>1035</v>
      </c>
      <c r="U597" t="str">
        <f t="shared" si="19"/>
        <v>Yes</v>
      </c>
    </row>
    <row r="598" spans="1:21" x14ac:dyDescent="0.3">
      <c r="A598" t="s">
        <v>810</v>
      </c>
      <c r="B598" t="s">
        <v>27</v>
      </c>
      <c r="C598" t="s">
        <v>16</v>
      </c>
      <c r="D598" s="1">
        <v>45936</v>
      </c>
      <c r="E598" s="1">
        <v>45937</v>
      </c>
      <c r="F598" s="1">
        <v>45938</v>
      </c>
      <c r="G598" s="1">
        <v>45940</v>
      </c>
      <c r="H598" t="s">
        <v>752</v>
      </c>
      <c r="I598">
        <v>1</v>
      </c>
      <c r="J598" t="s">
        <v>758</v>
      </c>
      <c r="K598" s="1"/>
      <c r="L598">
        <v>1</v>
      </c>
      <c r="M598">
        <v>1</v>
      </c>
      <c r="N598">
        <v>2</v>
      </c>
      <c r="P598" t="str">
        <f t="shared" si="18"/>
        <v>Not Applicable</v>
      </c>
      <c r="Q598">
        <v>10</v>
      </c>
      <c r="R598" t="s">
        <v>1034</v>
      </c>
      <c r="S598">
        <v>10</v>
      </c>
      <c r="T598" t="s">
        <v>1034</v>
      </c>
      <c r="U598" t="str">
        <f t="shared" si="19"/>
        <v>No</v>
      </c>
    </row>
    <row r="599" spans="1:21" x14ac:dyDescent="0.3">
      <c r="A599" t="s">
        <v>442</v>
      </c>
      <c r="B599" t="s">
        <v>15</v>
      </c>
      <c r="C599" t="s">
        <v>16</v>
      </c>
      <c r="D599" s="1">
        <v>45936</v>
      </c>
      <c r="E599" s="1">
        <v>45938</v>
      </c>
      <c r="F599" s="1">
        <v>45940</v>
      </c>
      <c r="G599" s="1">
        <v>45944</v>
      </c>
      <c r="H599" t="s">
        <v>17</v>
      </c>
      <c r="I599">
        <v>0</v>
      </c>
      <c r="J599" t="s">
        <v>18</v>
      </c>
      <c r="K599" s="1">
        <v>45958</v>
      </c>
      <c r="L599">
        <v>2</v>
      </c>
      <c r="M599">
        <v>2</v>
      </c>
      <c r="N599">
        <v>4</v>
      </c>
      <c r="O599">
        <v>3</v>
      </c>
      <c r="P599" t="str">
        <f t="shared" si="18"/>
        <v>Detractor</v>
      </c>
      <c r="Q599">
        <v>10</v>
      </c>
      <c r="R599" t="s">
        <v>1034</v>
      </c>
      <c r="S599">
        <v>10</v>
      </c>
      <c r="T599" t="s">
        <v>1034</v>
      </c>
      <c r="U599" t="str">
        <f t="shared" si="19"/>
        <v>Yes</v>
      </c>
    </row>
    <row r="600" spans="1:21" x14ac:dyDescent="0.3">
      <c r="A600" t="s">
        <v>85</v>
      </c>
      <c r="B600" t="s">
        <v>29</v>
      </c>
      <c r="C600" t="s">
        <v>16</v>
      </c>
      <c r="D600" s="1">
        <v>45936</v>
      </c>
      <c r="E600" s="1">
        <v>45939</v>
      </c>
      <c r="F600" s="1">
        <v>45940</v>
      </c>
      <c r="G600" s="1">
        <v>45945</v>
      </c>
      <c r="H600" t="s">
        <v>17</v>
      </c>
      <c r="I600">
        <v>0</v>
      </c>
      <c r="J600" t="s">
        <v>18</v>
      </c>
      <c r="K600" s="1">
        <v>45971</v>
      </c>
      <c r="L600">
        <v>3</v>
      </c>
      <c r="M600">
        <v>1</v>
      </c>
      <c r="N600">
        <v>5</v>
      </c>
      <c r="O600">
        <v>1</v>
      </c>
      <c r="P600" t="str">
        <f t="shared" si="18"/>
        <v>Detractor</v>
      </c>
      <c r="Q600">
        <v>10</v>
      </c>
      <c r="R600" t="s">
        <v>1034</v>
      </c>
      <c r="S600">
        <v>10</v>
      </c>
      <c r="T600" t="s">
        <v>1034</v>
      </c>
      <c r="U600" t="str">
        <f t="shared" si="19"/>
        <v>Yes</v>
      </c>
    </row>
    <row r="601" spans="1:21" x14ac:dyDescent="0.3">
      <c r="A601" t="s">
        <v>86</v>
      </c>
      <c r="B601" t="s">
        <v>27</v>
      </c>
      <c r="C601" t="s">
        <v>16</v>
      </c>
      <c r="D601" s="1">
        <v>45933</v>
      </c>
      <c r="E601" s="1">
        <v>45936</v>
      </c>
      <c r="F601" s="1">
        <v>45938</v>
      </c>
      <c r="G601" s="1">
        <v>45942</v>
      </c>
      <c r="H601" t="s">
        <v>17</v>
      </c>
      <c r="I601">
        <v>0</v>
      </c>
      <c r="J601" t="s">
        <v>18</v>
      </c>
      <c r="K601" s="1">
        <v>45959</v>
      </c>
      <c r="L601">
        <v>3</v>
      </c>
      <c r="M601">
        <v>2</v>
      </c>
      <c r="N601">
        <v>4</v>
      </c>
      <c r="O601">
        <v>4</v>
      </c>
      <c r="P601" t="str">
        <f t="shared" si="18"/>
        <v>Detractor</v>
      </c>
      <c r="Q601">
        <v>10</v>
      </c>
      <c r="R601" t="s">
        <v>1034</v>
      </c>
      <c r="S601">
        <v>10</v>
      </c>
      <c r="T601" t="s">
        <v>1034</v>
      </c>
      <c r="U601" t="str">
        <f t="shared" si="19"/>
        <v>Yes</v>
      </c>
    </row>
    <row r="602" spans="1:21" x14ac:dyDescent="0.3">
      <c r="A602" t="s">
        <v>957</v>
      </c>
      <c r="B602" t="s">
        <v>15</v>
      </c>
      <c r="C602" t="s">
        <v>841</v>
      </c>
      <c r="D602" s="1">
        <v>45950</v>
      </c>
      <c r="E602" s="1"/>
      <c r="F602" s="1"/>
      <c r="G602" s="1"/>
      <c r="H602" t="s">
        <v>752</v>
      </c>
      <c r="I602">
        <v>1</v>
      </c>
      <c r="J602" t="s">
        <v>765</v>
      </c>
      <c r="K602" s="1"/>
      <c r="P602" t="str">
        <f t="shared" si="18"/>
        <v>Not Applicable</v>
      </c>
      <c r="R602" t="s">
        <v>1036</v>
      </c>
      <c r="T602" t="s">
        <v>1036</v>
      </c>
      <c r="U602" t="str">
        <f t="shared" si="19"/>
        <v>No</v>
      </c>
    </row>
    <row r="603" spans="1:21" x14ac:dyDescent="0.3">
      <c r="A603" t="s">
        <v>374</v>
      </c>
      <c r="B603" t="s">
        <v>22</v>
      </c>
      <c r="C603" t="s">
        <v>16</v>
      </c>
      <c r="D603" s="1">
        <v>45958</v>
      </c>
      <c r="E603" s="1">
        <v>45959</v>
      </c>
      <c r="F603" s="1">
        <v>45964</v>
      </c>
      <c r="G603" s="1">
        <v>45970</v>
      </c>
      <c r="H603" t="s">
        <v>17</v>
      </c>
      <c r="I603">
        <v>0</v>
      </c>
      <c r="J603" t="s">
        <v>18</v>
      </c>
      <c r="K603" s="1">
        <v>45981</v>
      </c>
      <c r="L603">
        <v>1</v>
      </c>
      <c r="M603">
        <v>5</v>
      </c>
      <c r="N603">
        <v>6</v>
      </c>
      <c r="O603">
        <v>3</v>
      </c>
      <c r="P603" t="str">
        <f t="shared" si="18"/>
        <v>Detractor</v>
      </c>
      <c r="Q603">
        <v>10</v>
      </c>
      <c r="R603" t="s">
        <v>1034</v>
      </c>
      <c r="S603">
        <v>11</v>
      </c>
      <c r="T603" t="s">
        <v>1035</v>
      </c>
      <c r="U603" t="str">
        <f t="shared" si="19"/>
        <v>Yes</v>
      </c>
    </row>
    <row r="604" spans="1:21" x14ac:dyDescent="0.3">
      <c r="A604" t="s">
        <v>594</v>
      </c>
      <c r="B604" t="s">
        <v>27</v>
      </c>
      <c r="C604" t="s">
        <v>474</v>
      </c>
      <c r="D604" s="1">
        <v>45943</v>
      </c>
      <c r="E604" s="1">
        <v>45946</v>
      </c>
      <c r="F604" s="1">
        <v>45950</v>
      </c>
      <c r="G604" s="1">
        <v>45952</v>
      </c>
      <c r="H604" t="s">
        <v>17</v>
      </c>
      <c r="I604">
        <v>0</v>
      </c>
      <c r="J604" t="s">
        <v>18</v>
      </c>
      <c r="K604" s="1">
        <v>45981</v>
      </c>
      <c r="L604">
        <v>3</v>
      </c>
      <c r="M604">
        <v>4</v>
      </c>
      <c r="N604">
        <v>2</v>
      </c>
      <c r="O604">
        <v>8</v>
      </c>
      <c r="P604" t="str">
        <f t="shared" si="18"/>
        <v>Passive</v>
      </c>
      <c r="Q604">
        <v>10</v>
      </c>
      <c r="R604" t="s">
        <v>1034</v>
      </c>
      <c r="S604">
        <v>10</v>
      </c>
      <c r="T604" t="s">
        <v>1034</v>
      </c>
      <c r="U604" t="str">
        <f t="shared" si="19"/>
        <v>Yes</v>
      </c>
    </row>
    <row r="605" spans="1:21" x14ac:dyDescent="0.3">
      <c r="A605" t="s">
        <v>87</v>
      </c>
      <c r="B605" t="s">
        <v>15</v>
      </c>
      <c r="C605" t="s">
        <v>16</v>
      </c>
      <c r="D605" s="1">
        <v>45950</v>
      </c>
      <c r="E605" s="1">
        <v>45953</v>
      </c>
      <c r="F605" s="1">
        <v>45956</v>
      </c>
      <c r="G605" s="1">
        <v>45960</v>
      </c>
      <c r="H605" t="s">
        <v>17</v>
      </c>
      <c r="I605">
        <v>0</v>
      </c>
      <c r="J605" t="s">
        <v>18</v>
      </c>
      <c r="K605" s="1">
        <v>45982</v>
      </c>
      <c r="L605">
        <v>3</v>
      </c>
      <c r="M605">
        <v>3</v>
      </c>
      <c r="N605">
        <v>4</v>
      </c>
      <c r="O605">
        <v>6</v>
      </c>
      <c r="P605" t="str">
        <f t="shared" si="18"/>
        <v>Detractor</v>
      </c>
      <c r="Q605">
        <v>10</v>
      </c>
      <c r="R605" t="s">
        <v>1034</v>
      </c>
      <c r="S605">
        <v>10</v>
      </c>
      <c r="T605" t="s">
        <v>1034</v>
      </c>
      <c r="U605" t="str">
        <f t="shared" si="19"/>
        <v>Yes</v>
      </c>
    </row>
    <row r="606" spans="1:21" x14ac:dyDescent="0.3">
      <c r="A606" t="s">
        <v>595</v>
      </c>
      <c r="B606" t="s">
        <v>29</v>
      </c>
      <c r="C606" t="s">
        <v>474</v>
      </c>
      <c r="D606" s="1">
        <v>45952</v>
      </c>
      <c r="E606" s="1">
        <v>45953</v>
      </c>
      <c r="F606" s="1">
        <v>45954</v>
      </c>
      <c r="G606" s="1">
        <v>45961</v>
      </c>
      <c r="H606" t="s">
        <v>17</v>
      </c>
      <c r="I606">
        <v>0</v>
      </c>
      <c r="J606" t="s">
        <v>18</v>
      </c>
      <c r="K606" s="1">
        <v>45981</v>
      </c>
      <c r="L606">
        <v>1</v>
      </c>
      <c r="M606">
        <v>1</v>
      </c>
      <c r="N606">
        <v>7</v>
      </c>
      <c r="O606">
        <v>9</v>
      </c>
      <c r="P606" t="str">
        <f t="shared" si="18"/>
        <v>Promoter</v>
      </c>
      <c r="Q606">
        <v>10</v>
      </c>
      <c r="R606" t="s">
        <v>1034</v>
      </c>
      <c r="S606">
        <v>10</v>
      </c>
      <c r="T606" t="s">
        <v>1034</v>
      </c>
      <c r="U606" t="str">
        <f t="shared" si="19"/>
        <v>Yes</v>
      </c>
    </row>
    <row r="607" spans="1:21" x14ac:dyDescent="0.3">
      <c r="A607" t="s">
        <v>88</v>
      </c>
      <c r="B607" t="s">
        <v>29</v>
      </c>
      <c r="C607" t="s">
        <v>16</v>
      </c>
      <c r="D607" s="1">
        <v>45938</v>
      </c>
      <c r="E607" s="1">
        <v>45941</v>
      </c>
      <c r="F607" s="1">
        <v>45946</v>
      </c>
      <c r="G607" s="1">
        <v>45952</v>
      </c>
      <c r="H607" t="s">
        <v>17</v>
      </c>
      <c r="I607">
        <v>0</v>
      </c>
      <c r="J607" t="s">
        <v>18</v>
      </c>
      <c r="K607" s="1">
        <v>45966</v>
      </c>
      <c r="L607">
        <v>3</v>
      </c>
      <c r="M607">
        <v>5</v>
      </c>
      <c r="N607">
        <v>6</v>
      </c>
      <c r="O607">
        <v>3</v>
      </c>
      <c r="P607" t="str">
        <f t="shared" si="18"/>
        <v>Detractor</v>
      </c>
      <c r="Q607">
        <v>10</v>
      </c>
      <c r="R607" t="s">
        <v>1034</v>
      </c>
      <c r="S607">
        <v>10</v>
      </c>
      <c r="T607" t="s">
        <v>1034</v>
      </c>
      <c r="U607" t="str">
        <f t="shared" si="19"/>
        <v>Yes</v>
      </c>
    </row>
    <row r="608" spans="1:21" x14ac:dyDescent="0.3">
      <c r="A608" t="s">
        <v>280</v>
      </c>
      <c r="B608" t="s">
        <v>27</v>
      </c>
      <c r="C608" t="s">
        <v>16</v>
      </c>
      <c r="D608" s="1">
        <v>45946</v>
      </c>
      <c r="E608" s="1">
        <v>45950</v>
      </c>
      <c r="F608" s="1">
        <v>45955</v>
      </c>
      <c r="G608" s="1">
        <v>45962</v>
      </c>
      <c r="H608" t="s">
        <v>17</v>
      </c>
      <c r="I608">
        <v>0</v>
      </c>
      <c r="J608" t="s">
        <v>18</v>
      </c>
      <c r="K608" s="1">
        <v>45972</v>
      </c>
      <c r="L608">
        <v>4</v>
      </c>
      <c r="M608">
        <v>5</v>
      </c>
      <c r="N608">
        <v>7</v>
      </c>
      <c r="O608">
        <v>2</v>
      </c>
      <c r="P608" t="str">
        <f t="shared" si="18"/>
        <v>Detractor</v>
      </c>
      <c r="Q608">
        <v>10</v>
      </c>
      <c r="R608" t="s">
        <v>1034</v>
      </c>
      <c r="S608">
        <v>11</v>
      </c>
      <c r="T608" t="s">
        <v>1035</v>
      </c>
      <c r="U608" t="str">
        <f t="shared" si="19"/>
        <v>Yes</v>
      </c>
    </row>
    <row r="609" spans="1:21" x14ac:dyDescent="0.3">
      <c r="A609" t="s">
        <v>596</v>
      </c>
      <c r="B609" t="s">
        <v>15</v>
      </c>
      <c r="C609" t="s">
        <v>474</v>
      </c>
      <c r="D609" s="1">
        <v>45960</v>
      </c>
      <c r="E609" s="1">
        <v>45964</v>
      </c>
      <c r="F609" s="1">
        <v>45968</v>
      </c>
      <c r="G609" s="1">
        <v>45970</v>
      </c>
      <c r="H609" t="s">
        <v>17</v>
      </c>
      <c r="I609">
        <v>0</v>
      </c>
      <c r="J609" t="s">
        <v>18</v>
      </c>
      <c r="K609" s="1">
        <v>46000</v>
      </c>
      <c r="L609">
        <v>4</v>
      </c>
      <c r="M609">
        <v>4</v>
      </c>
      <c r="N609">
        <v>2</v>
      </c>
      <c r="O609">
        <v>4</v>
      </c>
      <c r="P609" t="str">
        <f t="shared" si="18"/>
        <v>Detractor</v>
      </c>
      <c r="Q609">
        <v>11</v>
      </c>
      <c r="R609" t="s">
        <v>1035</v>
      </c>
      <c r="S609">
        <v>11</v>
      </c>
      <c r="T609" t="s">
        <v>1035</v>
      </c>
      <c r="U609" t="str">
        <f t="shared" si="19"/>
        <v>Yes</v>
      </c>
    </row>
    <row r="610" spans="1:21" x14ac:dyDescent="0.3">
      <c r="A610" t="s">
        <v>281</v>
      </c>
      <c r="B610" t="s">
        <v>27</v>
      </c>
      <c r="C610" t="s">
        <v>16</v>
      </c>
      <c r="D610" s="1">
        <v>45949</v>
      </c>
      <c r="E610" s="1">
        <v>45953</v>
      </c>
      <c r="F610" s="1">
        <v>45957</v>
      </c>
      <c r="G610" s="1">
        <v>45962</v>
      </c>
      <c r="H610" t="s">
        <v>17</v>
      </c>
      <c r="I610">
        <v>0</v>
      </c>
      <c r="J610" t="s">
        <v>18</v>
      </c>
      <c r="K610" s="1">
        <v>45987</v>
      </c>
      <c r="L610">
        <v>4</v>
      </c>
      <c r="M610">
        <v>4</v>
      </c>
      <c r="N610">
        <v>5</v>
      </c>
      <c r="O610">
        <v>0</v>
      </c>
      <c r="P610" t="str">
        <f t="shared" si="18"/>
        <v>Detractor</v>
      </c>
      <c r="Q610">
        <v>10</v>
      </c>
      <c r="R610" t="s">
        <v>1034</v>
      </c>
      <c r="S610">
        <v>11</v>
      </c>
      <c r="T610" t="s">
        <v>1035</v>
      </c>
      <c r="U610" t="str">
        <f t="shared" si="19"/>
        <v>Yes</v>
      </c>
    </row>
    <row r="611" spans="1:21" x14ac:dyDescent="0.3">
      <c r="A611" t="s">
        <v>597</v>
      </c>
      <c r="B611" t="s">
        <v>27</v>
      </c>
      <c r="C611" t="s">
        <v>474</v>
      </c>
      <c r="D611" s="1">
        <v>45935</v>
      </c>
      <c r="E611" s="1">
        <v>45939</v>
      </c>
      <c r="F611" s="1">
        <v>45940</v>
      </c>
      <c r="G611" s="1">
        <v>45945</v>
      </c>
      <c r="H611" t="s">
        <v>17</v>
      </c>
      <c r="I611">
        <v>0</v>
      </c>
      <c r="J611" t="s">
        <v>18</v>
      </c>
      <c r="K611" s="1">
        <v>45964</v>
      </c>
      <c r="L611">
        <v>4</v>
      </c>
      <c r="M611">
        <v>1</v>
      </c>
      <c r="N611">
        <v>5</v>
      </c>
      <c r="O611">
        <v>1</v>
      </c>
      <c r="P611" t="str">
        <f t="shared" si="18"/>
        <v>Detractor</v>
      </c>
      <c r="Q611">
        <v>10</v>
      </c>
      <c r="R611" t="s">
        <v>1034</v>
      </c>
      <c r="S611">
        <v>10</v>
      </c>
      <c r="T611" t="s">
        <v>1034</v>
      </c>
      <c r="U611" t="str">
        <f t="shared" si="19"/>
        <v>Yes</v>
      </c>
    </row>
    <row r="612" spans="1:21" x14ac:dyDescent="0.3">
      <c r="A612" t="s">
        <v>598</v>
      </c>
      <c r="B612" t="s">
        <v>15</v>
      </c>
      <c r="C612" t="s">
        <v>474</v>
      </c>
      <c r="D612" s="1">
        <v>45938</v>
      </c>
      <c r="E612" s="1">
        <v>45941</v>
      </c>
      <c r="F612" s="1">
        <v>45942</v>
      </c>
      <c r="G612" s="1">
        <v>45948</v>
      </c>
      <c r="H612" t="s">
        <v>17</v>
      </c>
      <c r="I612">
        <v>0</v>
      </c>
      <c r="J612" t="s">
        <v>18</v>
      </c>
      <c r="K612" s="1">
        <v>45966</v>
      </c>
      <c r="L612">
        <v>3</v>
      </c>
      <c r="M612">
        <v>1</v>
      </c>
      <c r="N612">
        <v>6</v>
      </c>
      <c r="O612">
        <v>1</v>
      </c>
      <c r="P612" t="str">
        <f t="shared" si="18"/>
        <v>Detractor</v>
      </c>
      <c r="Q612">
        <v>10</v>
      </c>
      <c r="R612" t="s">
        <v>1034</v>
      </c>
      <c r="S612">
        <v>10</v>
      </c>
      <c r="T612" t="s">
        <v>1034</v>
      </c>
      <c r="U612" t="str">
        <f t="shared" si="19"/>
        <v>Yes</v>
      </c>
    </row>
    <row r="613" spans="1:21" x14ac:dyDescent="0.3">
      <c r="A613" t="s">
        <v>443</v>
      </c>
      <c r="B613" t="s">
        <v>15</v>
      </c>
      <c r="C613" t="s">
        <v>16</v>
      </c>
      <c r="D613" s="1">
        <v>45945</v>
      </c>
      <c r="E613" s="1">
        <v>45947</v>
      </c>
      <c r="F613" s="1">
        <v>45952</v>
      </c>
      <c r="G613" s="1">
        <v>45956</v>
      </c>
      <c r="H613" t="s">
        <v>17</v>
      </c>
      <c r="I613">
        <v>0</v>
      </c>
      <c r="J613" t="s">
        <v>18</v>
      </c>
      <c r="K613" s="1">
        <v>45979</v>
      </c>
      <c r="L613">
        <v>2</v>
      </c>
      <c r="M613">
        <v>5</v>
      </c>
      <c r="N613">
        <v>4</v>
      </c>
      <c r="O613">
        <v>2</v>
      </c>
      <c r="P613" t="str">
        <f t="shared" si="18"/>
        <v>Detractor</v>
      </c>
      <c r="Q613">
        <v>10</v>
      </c>
      <c r="R613" t="s">
        <v>1034</v>
      </c>
      <c r="S613">
        <v>10</v>
      </c>
      <c r="T613" t="s">
        <v>1034</v>
      </c>
      <c r="U613" t="str">
        <f t="shared" si="19"/>
        <v>Yes</v>
      </c>
    </row>
    <row r="614" spans="1:21" x14ac:dyDescent="0.3">
      <c r="A614" t="s">
        <v>282</v>
      </c>
      <c r="B614" t="s">
        <v>22</v>
      </c>
      <c r="C614" t="s">
        <v>16</v>
      </c>
      <c r="D614" s="1">
        <v>45951</v>
      </c>
      <c r="E614" s="1">
        <v>45955</v>
      </c>
      <c r="F614" s="1">
        <v>45960</v>
      </c>
      <c r="G614" s="1">
        <v>45962</v>
      </c>
      <c r="H614" t="s">
        <v>17</v>
      </c>
      <c r="I614">
        <v>0</v>
      </c>
      <c r="J614" t="s">
        <v>18</v>
      </c>
      <c r="K614" s="1">
        <v>45984</v>
      </c>
      <c r="L614">
        <v>4</v>
      </c>
      <c r="M614">
        <v>5</v>
      </c>
      <c r="N614">
        <v>2</v>
      </c>
      <c r="O614">
        <v>8</v>
      </c>
      <c r="P614" t="str">
        <f t="shared" si="18"/>
        <v>Passive</v>
      </c>
      <c r="Q614">
        <v>10</v>
      </c>
      <c r="R614" t="s">
        <v>1034</v>
      </c>
      <c r="S614">
        <v>11</v>
      </c>
      <c r="T614" t="s">
        <v>1035</v>
      </c>
      <c r="U614" t="str">
        <f t="shared" si="19"/>
        <v>Yes</v>
      </c>
    </row>
    <row r="615" spans="1:21" x14ac:dyDescent="0.3">
      <c r="A615" t="s">
        <v>958</v>
      </c>
      <c r="B615" t="s">
        <v>15</v>
      </c>
      <c r="C615" t="s">
        <v>841</v>
      </c>
      <c r="D615" s="1">
        <v>45939</v>
      </c>
      <c r="E615" s="1"/>
      <c r="F615" s="1"/>
      <c r="G615" s="1"/>
      <c r="H615" t="s">
        <v>752</v>
      </c>
      <c r="I615">
        <v>1</v>
      </c>
      <c r="J615" t="s">
        <v>765</v>
      </c>
      <c r="K615" s="1"/>
      <c r="P615" t="str">
        <f t="shared" si="18"/>
        <v>Not Applicable</v>
      </c>
      <c r="R615" t="s">
        <v>1036</v>
      </c>
      <c r="T615" t="s">
        <v>1036</v>
      </c>
      <c r="U615" t="str">
        <f t="shared" si="19"/>
        <v>No</v>
      </c>
    </row>
    <row r="616" spans="1:21" x14ac:dyDescent="0.3">
      <c r="A616" t="s">
        <v>283</v>
      </c>
      <c r="B616" t="s">
        <v>29</v>
      </c>
      <c r="C616" t="s">
        <v>16</v>
      </c>
      <c r="D616" s="1">
        <v>45945</v>
      </c>
      <c r="E616" s="1">
        <v>45949</v>
      </c>
      <c r="F616" s="1">
        <v>45953</v>
      </c>
      <c r="G616" s="1">
        <v>45958</v>
      </c>
      <c r="H616" t="s">
        <v>17</v>
      </c>
      <c r="I616">
        <v>0</v>
      </c>
      <c r="J616" t="s">
        <v>18</v>
      </c>
      <c r="K616" s="1">
        <v>45980</v>
      </c>
      <c r="L616">
        <v>4</v>
      </c>
      <c r="M616">
        <v>4</v>
      </c>
      <c r="N616">
        <v>5</v>
      </c>
      <c r="O616">
        <v>6</v>
      </c>
      <c r="P616" t="str">
        <f t="shared" si="18"/>
        <v>Detractor</v>
      </c>
      <c r="Q616">
        <v>10</v>
      </c>
      <c r="R616" t="s">
        <v>1034</v>
      </c>
      <c r="S616">
        <v>10</v>
      </c>
      <c r="T616" t="s">
        <v>1034</v>
      </c>
      <c r="U616" t="str">
        <f t="shared" si="19"/>
        <v>Yes</v>
      </c>
    </row>
    <row r="617" spans="1:21" x14ac:dyDescent="0.3">
      <c r="A617" t="s">
        <v>89</v>
      </c>
      <c r="B617" t="s">
        <v>27</v>
      </c>
      <c r="C617" t="s">
        <v>16</v>
      </c>
      <c r="D617" s="1">
        <v>45939</v>
      </c>
      <c r="E617" s="1">
        <v>45942</v>
      </c>
      <c r="F617" s="1">
        <v>45943</v>
      </c>
      <c r="G617" s="1">
        <v>45949</v>
      </c>
      <c r="H617" t="s">
        <v>17</v>
      </c>
      <c r="I617">
        <v>0</v>
      </c>
      <c r="J617" t="s">
        <v>18</v>
      </c>
      <c r="K617" s="1">
        <v>45960</v>
      </c>
      <c r="L617">
        <v>3</v>
      </c>
      <c r="M617">
        <v>1</v>
      </c>
      <c r="N617">
        <v>6</v>
      </c>
      <c r="O617">
        <v>6</v>
      </c>
      <c r="P617" t="str">
        <f t="shared" si="18"/>
        <v>Detractor</v>
      </c>
      <c r="Q617">
        <v>10</v>
      </c>
      <c r="R617" t="s">
        <v>1034</v>
      </c>
      <c r="S617">
        <v>10</v>
      </c>
      <c r="T617" t="s">
        <v>1034</v>
      </c>
      <c r="U617" t="str">
        <f t="shared" si="19"/>
        <v>Yes</v>
      </c>
    </row>
    <row r="618" spans="1:21" x14ac:dyDescent="0.3">
      <c r="A618" t="s">
        <v>190</v>
      </c>
      <c r="B618" t="s">
        <v>27</v>
      </c>
      <c r="C618" t="s">
        <v>16</v>
      </c>
      <c r="D618" s="1">
        <v>45952</v>
      </c>
      <c r="E618" s="1">
        <v>45957</v>
      </c>
      <c r="F618" s="1">
        <v>45958</v>
      </c>
      <c r="G618" s="1">
        <v>45961</v>
      </c>
      <c r="H618" t="s">
        <v>17</v>
      </c>
      <c r="I618">
        <v>0</v>
      </c>
      <c r="J618" t="s">
        <v>18</v>
      </c>
      <c r="K618" s="1">
        <v>45989</v>
      </c>
      <c r="L618">
        <v>5</v>
      </c>
      <c r="M618">
        <v>1</v>
      </c>
      <c r="N618">
        <v>3</v>
      </c>
      <c r="O618">
        <v>3</v>
      </c>
      <c r="P618" t="str">
        <f t="shared" si="18"/>
        <v>Detractor</v>
      </c>
      <c r="Q618">
        <v>10</v>
      </c>
      <c r="R618" t="s">
        <v>1034</v>
      </c>
      <c r="S618">
        <v>10</v>
      </c>
      <c r="T618" t="s">
        <v>1034</v>
      </c>
      <c r="U618" t="str">
        <f t="shared" si="19"/>
        <v>Yes</v>
      </c>
    </row>
    <row r="619" spans="1:21" x14ac:dyDescent="0.3">
      <c r="A619" t="s">
        <v>599</v>
      </c>
      <c r="B619" t="s">
        <v>29</v>
      </c>
      <c r="C619" t="s">
        <v>474</v>
      </c>
      <c r="D619" s="1">
        <v>45931</v>
      </c>
      <c r="E619" s="1">
        <v>45934</v>
      </c>
      <c r="F619" s="1">
        <v>45939</v>
      </c>
      <c r="G619" s="1">
        <v>45943</v>
      </c>
      <c r="H619" t="s">
        <v>17</v>
      </c>
      <c r="I619">
        <v>0</v>
      </c>
      <c r="J619" t="s">
        <v>18</v>
      </c>
      <c r="K619" s="1">
        <v>45971</v>
      </c>
      <c r="L619">
        <v>3</v>
      </c>
      <c r="M619">
        <v>5</v>
      </c>
      <c r="N619">
        <v>4</v>
      </c>
      <c r="O619">
        <v>4</v>
      </c>
      <c r="P619" t="str">
        <f t="shared" si="18"/>
        <v>Detractor</v>
      </c>
      <c r="Q619">
        <v>10</v>
      </c>
      <c r="R619" t="s">
        <v>1034</v>
      </c>
      <c r="S619">
        <v>10</v>
      </c>
      <c r="T619" t="s">
        <v>1034</v>
      </c>
      <c r="U619" t="str">
        <f t="shared" si="19"/>
        <v>Yes</v>
      </c>
    </row>
    <row r="620" spans="1:21" x14ac:dyDescent="0.3">
      <c r="A620" t="s">
        <v>959</v>
      </c>
      <c r="B620" t="s">
        <v>15</v>
      </c>
      <c r="C620" t="s">
        <v>841</v>
      </c>
      <c r="D620" s="1">
        <v>45959</v>
      </c>
      <c r="E620" s="1"/>
      <c r="F620" s="1"/>
      <c r="G620" s="1"/>
      <c r="H620" t="s">
        <v>752</v>
      </c>
      <c r="I620">
        <v>1</v>
      </c>
      <c r="J620" t="s">
        <v>765</v>
      </c>
      <c r="K620" s="1"/>
      <c r="P620" t="str">
        <f t="shared" si="18"/>
        <v>Not Applicable</v>
      </c>
      <c r="R620" t="s">
        <v>1036</v>
      </c>
      <c r="T620" t="s">
        <v>1036</v>
      </c>
      <c r="U620" t="str">
        <f t="shared" si="19"/>
        <v>No</v>
      </c>
    </row>
    <row r="621" spans="1:21" x14ac:dyDescent="0.3">
      <c r="A621" t="s">
        <v>811</v>
      </c>
      <c r="B621" t="s">
        <v>29</v>
      </c>
      <c r="C621" t="s">
        <v>16</v>
      </c>
      <c r="D621" s="1">
        <v>45956</v>
      </c>
      <c r="E621" s="1">
        <v>45957</v>
      </c>
      <c r="F621" s="1">
        <v>45960</v>
      </c>
      <c r="G621" s="1">
        <v>45963</v>
      </c>
      <c r="H621" t="s">
        <v>752</v>
      </c>
      <c r="I621">
        <v>1</v>
      </c>
      <c r="J621" t="s">
        <v>756</v>
      </c>
      <c r="K621" s="1"/>
      <c r="L621">
        <v>1</v>
      </c>
      <c r="M621">
        <v>3</v>
      </c>
      <c r="N621">
        <v>3</v>
      </c>
      <c r="P621" t="str">
        <f t="shared" si="18"/>
        <v>Not Applicable</v>
      </c>
      <c r="Q621">
        <v>10</v>
      </c>
      <c r="R621" t="s">
        <v>1034</v>
      </c>
      <c r="S621">
        <v>11</v>
      </c>
      <c r="T621" t="s">
        <v>1035</v>
      </c>
      <c r="U621" t="str">
        <f t="shared" si="19"/>
        <v>No</v>
      </c>
    </row>
    <row r="622" spans="1:21" x14ac:dyDescent="0.3">
      <c r="A622" t="s">
        <v>812</v>
      </c>
      <c r="B622" t="s">
        <v>29</v>
      </c>
      <c r="C622" t="s">
        <v>16</v>
      </c>
      <c r="D622" s="1">
        <v>45945</v>
      </c>
      <c r="E622" s="1">
        <v>45949</v>
      </c>
      <c r="F622" s="1">
        <v>45954</v>
      </c>
      <c r="G622" s="1">
        <v>45958</v>
      </c>
      <c r="H622" t="s">
        <v>752</v>
      </c>
      <c r="I622">
        <v>1</v>
      </c>
      <c r="J622" t="s">
        <v>753</v>
      </c>
      <c r="K622" s="1"/>
      <c r="L622">
        <v>4</v>
      </c>
      <c r="M622">
        <v>5</v>
      </c>
      <c r="N622">
        <v>4</v>
      </c>
      <c r="P622" t="str">
        <f t="shared" si="18"/>
        <v>Not Applicable</v>
      </c>
      <c r="Q622">
        <v>10</v>
      </c>
      <c r="R622" t="s">
        <v>1034</v>
      </c>
      <c r="S622">
        <v>10</v>
      </c>
      <c r="T622" t="s">
        <v>1034</v>
      </c>
      <c r="U622" t="str">
        <f t="shared" si="19"/>
        <v>No</v>
      </c>
    </row>
    <row r="623" spans="1:21" x14ac:dyDescent="0.3">
      <c r="A623" t="s">
        <v>600</v>
      </c>
      <c r="B623" t="s">
        <v>22</v>
      </c>
      <c r="C623" t="s">
        <v>474</v>
      </c>
      <c r="D623" s="1">
        <v>45959</v>
      </c>
      <c r="E623" s="1">
        <v>45960</v>
      </c>
      <c r="F623" s="1">
        <v>45963</v>
      </c>
      <c r="G623" s="1">
        <v>45965</v>
      </c>
      <c r="H623" t="s">
        <v>17</v>
      </c>
      <c r="I623">
        <v>0</v>
      </c>
      <c r="J623" t="s">
        <v>18</v>
      </c>
      <c r="K623" s="1">
        <v>45981</v>
      </c>
      <c r="L623">
        <v>1</v>
      </c>
      <c r="M623">
        <v>3</v>
      </c>
      <c r="N623">
        <v>2</v>
      </c>
      <c r="O623">
        <v>6</v>
      </c>
      <c r="P623" t="str">
        <f t="shared" si="18"/>
        <v>Detractor</v>
      </c>
      <c r="Q623">
        <v>10</v>
      </c>
      <c r="R623" t="s">
        <v>1034</v>
      </c>
      <c r="S623">
        <v>11</v>
      </c>
      <c r="T623" t="s">
        <v>1035</v>
      </c>
      <c r="U623" t="str">
        <f t="shared" si="19"/>
        <v>Yes</v>
      </c>
    </row>
    <row r="624" spans="1:21" x14ac:dyDescent="0.3">
      <c r="A624" t="s">
        <v>284</v>
      </c>
      <c r="B624" t="s">
        <v>29</v>
      </c>
      <c r="C624" t="s">
        <v>16</v>
      </c>
      <c r="D624" s="1">
        <v>45940</v>
      </c>
      <c r="E624" s="1">
        <v>45944</v>
      </c>
      <c r="F624" s="1">
        <v>45945</v>
      </c>
      <c r="G624" s="1">
        <v>45951</v>
      </c>
      <c r="H624" t="s">
        <v>17</v>
      </c>
      <c r="I624">
        <v>0</v>
      </c>
      <c r="J624" t="s">
        <v>18</v>
      </c>
      <c r="K624" s="1">
        <v>45971</v>
      </c>
      <c r="L624">
        <v>4</v>
      </c>
      <c r="M624">
        <v>1</v>
      </c>
      <c r="N624">
        <v>6</v>
      </c>
      <c r="O624">
        <v>9</v>
      </c>
      <c r="P624" t="str">
        <f t="shared" si="18"/>
        <v>Promoter</v>
      </c>
      <c r="Q624">
        <v>10</v>
      </c>
      <c r="R624" t="s">
        <v>1034</v>
      </c>
      <c r="S624">
        <v>10</v>
      </c>
      <c r="T624" t="s">
        <v>1034</v>
      </c>
      <c r="U624" t="str">
        <f t="shared" si="19"/>
        <v>Yes</v>
      </c>
    </row>
    <row r="625" spans="1:21" x14ac:dyDescent="0.3">
      <c r="A625" t="s">
        <v>191</v>
      </c>
      <c r="B625" t="s">
        <v>27</v>
      </c>
      <c r="C625" t="s">
        <v>16</v>
      </c>
      <c r="D625" s="1">
        <v>45952</v>
      </c>
      <c r="E625" s="1">
        <v>45957</v>
      </c>
      <c r="F625" s="1">
        <v>45962</v>
      </c>
      <c r="G625" s="1">
        <v>45969</v>
      </c>
      <c r="H625" t="s">
        <v>17</v>
      </c>
      <c r="I625">
        <v>0</v>
      </c>
      <c r="J625" t="s">
        <v>18</v>
      </c>
      <c r="K625" s="1">
        <v>45986</v>
      </c>
      <c r="L625">
        <v>5</v>
      </c>
      <c r="M625">
        <v>5</v>
      </c>
      <c r="N625">
        <v>7</v>
      </c>
      <c r="O625">
        <v>8</v>
      </c>
      <c r="P625" t="str">
        <f t="shared" si="18"/>
        <v>Passive</v>
      </c>
      <c r="Q625">
        <v>10</v>
      </c>
      <c r="R625" t="s">
        <v>1034</v>
      </c>
      <c r="S625">
        <v>11</v>
      </c>
      <c r="T625" t="s">
        <v>1035</v>
      </c>
      <c r="U625" t="str">
        <f t="shared" si="19"/>
        <v>Yes</v>
      </c>
    </row>
    <row r="626" spans="1:21" x14ac:dyDescent="0.3">
      <c r="A626" t="s">
        <v>960</v>
      </c>
      <c r="B626" t="s">
        <v>29</v>
      </c>
      <c r="C626" t="s">
        <v>841</v>
      </c>
      <c r="D626" s="1">
        <v>45948</v>
      </c>
      <c r="E626" s="1"/>
      <c r="F626" s="1"/>
      <c r="G626" s="1"/>
      <c r="H626" t="s">
        <v>752</v>
      </c>
      <c r="I626">
        <v>1</v>
      </c>
      <c r="J626" t="s">
        <v>765</v>
      </c>
      <c r="K626" s="1"/>
      <c r="P626" t="str">
        <f t="shared" si="18"/>
        <v>Not Applicable</v>
      </c>
      <c r="R626" t="s">
        <v>1036</v>
      </c>
      <c r="T626" t="s">
        <v>1036</v>
      </c>
      <c r="U626" t="str">
        <f t="shared" si="19"/>
        <v>No</v>
      </c>
    </row>
    <row r="627" spans="1:21" x14ac:dyDescent="0.3">
      <c r="A627" t="s">
        <v>601</v>
      </c>
      <c r="B627" t="s">
        <v>27</v>
      </c>
      <c r="C627" t="s">
        <v>474</v>
      </c>
      <c r="D627" s="1">
        <v>45936</v>
      </c>
      <c r="E627" s="1">
        <v>45938</v>
      </c>
      <c r="F627" s="1">
        <v>45942</v>
      </c>
      <c r="G627" s="1">
        <v>45949</v>
      </c>
      <c r="H627" t="s">
        <v>17</v>
      </c>
      <c r="I627">
        <v>0</v>
      </c>
      <c r="J627" t="s">
        <v>18</v>
      </c>
      <c r="K627" s="1">
        <v>45976</v>
      </c>
      <c r="L627">
        <v>2</v>
      </c>
      <c r="M627">
        <v>4</v>
      </c>
      <c r="N627">
        <v>7</v>
      </c>
      <c r="O627">
        <v>0</v>
      </c>
      <c r="P627" t="str">
        <f t="shared" si="18"/>
        <v>Detractor</v>
      </c>
      <c r="Q627">
        <v>10</v>
      </c>
      <c r="R627" t="s">
        <v>1034</v>
      </c>
      <c r="S627">
        <v>10</v>
      </c>
      <c r="T627" t="s">
        <v>1034</v>
      </c>
      <c r="U627" t="str">
        <f t="shared" si="19"/>
        <v>Yes</v>
      </c>
    </row>
    <row r="628" spans="1:21" x14ac:dyDescent="0.3">
      <c r="A628" t="s">
        <v>192</v>
      </c>
      <c r="B628" t="s">
        <v>27</v>
      </c>
      <c r="C628" t="s">
        <v>16</v>
      </c>
      <c r="D628" s="1">
        <v>45933</v>
      </c>
      <c r="E628" s="1">
        <v>45938</v>
      </c>
      <c r="F628" s="1">
        <v>45940</v>
      </c>
      <c r="G628" s="1">
        <v>45942</v>
      </c>
      <c r="H628" t="s">
        <v>17</v>
      </c>
      <c r="I628">
        <v>0</v>
      </c>
      <c r="J628" t="s">
        <v>18</v>
      </c>
      <c r="K628" s="1">
        <v>45972</v>
      </c>
      <c r="L628">
        <v>5</v>
      </c>
      <c r="M628">
        <v>2</v>
      </c>
      <c r="N628">
        <v>2</v>
      </c>
      <c r="O628">
        <v>1</v>
      </c>
      <c r="P628" t="str">
        <f t="shared" si="18"/>
        <v>Detractor</v>
      </c>
      <c r="Q628">
        <v>10</v>
      </c>
      <c r="R628" t="s">
        <v>1034</v>
      </c>
      <c r="S628">
        <v>10</v>
      </c>
      <c r="T628" t="s">
        <v>1034</v>
      </c>
      <c r="U628" t="str">
        <f t="shared" si="19"/>
        <v>Yes</v>
      </c>
    </row>
    <row r="629" spans="1:21" x14ac:dyDescent="0.3">
      <c r="A629" t="s">
        <v>961</v>
      </c>
      <c r="B629" t="s">
        <v>27</v>
      </c>
      <c r="C629" t="s">
        <v>841</v>
      </c>
      <c r="D629" s="1">
        <v>45945</v>
      </c>
      <c r="E629" s="1"/>
      <c r="F629" s="1"/>
      <c r="G629" s="1"/>
      <c r="H629" t="s">
        <v>752</v>
      </c>
      <c r="I629">
        <v>1</v>
      </c>
      <c r="J629" t="s">
        <v>765</v>
      </c>
      <c r="K629" s="1"/>
      <c r="P629" t="str">
        <f t="shared" si="18"/>
        <v>Not Applicable</v>
      </c>
      <c r="R629" t="s">
        <v>1036</v>
      </c>
      <c r="T629" t="s">
        <v>1036</v>
      </c>
      <c r="U629" t="str">
        <f t="shared" si="19"/>
        <v>No</v>
      </c>
    </row>
    <row r="630" spans="1:21" x14ac:dyDescent="0.3">
      <c r="A630" t="s">
        <v>813</v>
      </c>
      <c r="B630" t="s">
        <v>15</v>
      </c>
      <c r="C630" t="s">
        <v>16</v>
      </c>
      <c r="D630" s="1">
        <v>45961</v>
      </c>
      <c r="E630" s="1">
        <v>45964</v>
      </c>
      <c r="F630" s="1">
        <v>45965</v>
      </c>
      <c r="G630" s="1">
        <v>45968</v>
      </c>
      <c r="H630" t="s">
        <v>752</v>
      </c>
      <c r="I630">
        <v>1</v>
      </c>
      <c r="J630" t="s">
        <v>777</v>
      </c>
      <c r="K630" s="1"/>
      <c r="L630">
        <v>3</v>
      </c>
      <c r="M630">
        <v>1</v>
      </c>
      <c r="N630">
        <v>3</v>
      </c>
      <c r="P630" t="str">
        <f t="shared" si="18"/>
        <v>Not Applicable</v>
      </c>
      <c r="Q630">
        <v>11</v>
      </c>
      <c r="R630" t="s">
        <v>1035</v>
      </c>
      <c r="S630">
        <v>11</v>
      </c>
      <c r="T630" t="s">
        <v>1035</v>
      </c>
      <c r="U630" t="str">
        <f t="shared" si="19"/>
        <v>No</v>
      </c>
    </row>
    <row r="631" spans="1:21" x14ac:dyDescent="0.3">
      <c r="A631" t="s">
        <v>90</v>
      </c>
      <c r="B631" t="s">
        <v>22</v>
      </c>
      <c r="C631" t="s">
        <v>16</v>
      </c>
      <c r="D631" s="1">
        <v>45942</v>
      </c>
      <c r="E631" s="1">
        <v>45945</v>
      </c>
      <c r="F631" s="1">
        <v>45946</v>
      </c>
      <c r="G631" s="1">
        <v>45953</v>
      </c>
      <c r="H631" t="s">
        <v>17</v>
      </c>
      <c r="I631">
        <v>0</v>
      </c>
      <c r="J631" t="s">
        <v>18</v>
      </c>
      <c r="K631" s="1">
        <v>45978</v>
      </c>
      <c r="L631">
        <v>3</v>
      </c>
      <c r="M631">
        <v>1</v>
      </c>
      <c r="N631">
        <v>7</v>
      </c>
      <c r="O631">
        <v>3</v>
      </c>
      <c r="P631" t="str">
        <f t="shared" si="18"/>
        <v>Detractor</v>
      </c>
      <c r="Q631">
        <v>10</v>
      </c>
      <c r="R631" t="s">
        <v>1034</v>
      </c>
      <c r="S631">
        <v>10</v>
      </c>
      <c r="T631" t="s">
        <v>1034</v>
      </c>
      <c r="U631" t="str">
        <f t="shared" si="19"/>
        <v>Yes</v>
      </c>
    </row>
    <row r="632" spans="1:21" x14ac:dyDescent="0.3">
      <c r="A632" t="s">
        <v>602</v>
      </c>
      <c r="B632" t="s">
        <v>27</v>
      </c>
      <c r="C632" t="s">
        <v>474</v>
      </c>
      <c r="D632" s="1">
        <v>45949</v>
      </c>
      <c r="E632" s="1">
        <v>45950</v>
      </c>
      <c r="F632" s="1">
        <v>45955</v>
      </c>
      <c r="G632" s="1">
        <v>45961</v>
      </c>
      <c r="H632" t="s">
        <v>17</v>
      </c>
      <c r="I632">
        <v>0</v>
      </c>
      <c r="J632" t="s">
        <v>18</v>
      </c>
      <c r="K632" s="1">
        <v>45982</v>
      </c>
      <c r="L632">
        <v>1</v>
      </c>
      <c r="M632">
        <v>5</v>
      </c>
      <c r="N632">
        <v>6</v>
      </c>
      <c r="O632">
        <v>1</v>
      </c>
      <c r="P632" t="str">
        <f t="shared" si="18"/>
        <v>Detractor</v>
      </c>
      <c r="Q632">
        <v>10</v>
      </c>
      <c r="R632" t="s">
        <v>1034</v>
      </c>
      <c r="S632">
        <v>10</v>
      </c>
      <c r="T632" t="s">
        <v>1034</v>
      </c>
      <c r="U632" t="str">
        <f t="shared" si="19"/>
        <v>Yes</v>
      </c>
    </row>
    <row r="633" spans="1:21" x14ac:dyDescent="0.3">
      <c r="A633" t="s">
        <v>962</v>
      </c>
      <c r="B633" t="s">
        <v>27</v>
      </c>
      <c r="C633" t="s">
        <v>841</v>
      </c>
      <c r="D633" s="1">
        <v>45940</v>
      </c>
      <c r="E633" s="1"/>
      <c r="F633" s="1"/>
      <c r="G633" s="1"/>
      <c r="H633" t="s">
        <v>752</v>
      </c>
      <c r="I633">
        <v>1</v>
      </c>
      <c r="J633" t="s">
        <v>756</v>
      </c>
      <c r="K633" s="1"/>
      <c r="P633" t="str">
        <f t="shared" si="18"/>
        <v>Not Applicable</v>
      </c>
      <c r="R633" t="s">
        <v>1036</v>
      </c>
      <c r="T633" t="s">
        <v>1036</v>
      </c>
      <c r="U633" t="str">
        <f t="shared" si="19"/>
        <v>No</v>
      </c>
    </row>
    <row r="634" spans="1:21" x14ac:dyDescent="0.3">
      <c r="A634" t="s">
        <v>603</v>
      </c>
      <c r="B634" t="s">
        <v>15</v>
      </c>
      <c r="C634" t="s">
        <v>474</v>
      </c>
      <c r="D634" s="1">
        <v>45951</v>
      </c>
      <c r="E634" s="1">
        <v>45952</v>
      </c>
      <c r="F634" s="1">
        <v>45954</v>
      </c>
      <c r="G634" s="1">
        <v>45956</v>
      </c>
      <c r="H634" t="s">
        <v>17</v>
      </c>
      <c r="I634">
        <v>0</v>
      </c>
      <c r="J634" t="s">
        <v>18</v>
      </c>
      <c r="K634" s="1">
        <v>45982</v>
      </c>
      <c r="L634">
        <v>1</v>
      </c>
      <c r="M634">
        <v>2</v>
      </c>
      <c r="N634">
        <v>2</v>
      </c>
      <c r="O634">
        <v>9</v>
      </c>
      <c r="P634" t="str">
        <f t="shared" si="18"/>
        <v>Promoter</v>
      </c>
      <c r="Q634">
        <v>10</v>
      </c>
      <c r="R634" t="s">
        <v>1034</v>
      </c>
      <c r="S634">
        <v>10</v>
      </c>
      <c r="T634" t="s">
        <v>1034</v>
      </c>
      <c r="U634" t="str">
        <f t="shared" si="19"/>
        <v>Yes</v>
      </c>
    </row>
    <row r="635" spans="1:21" x14ac:dyDescent="0.3">
      <c r="A635" t="s">
        <v>91</v>
      </c>
      <c r="B635" t="s">
        <v>27</v>
      </c>
      <c r="C635" t="s">
        <v>16</v>
      </c>
      <c r="D635" s="1">
        <v>45961</v>
      </c>
      <c r="E635" s="1">
        <v>45964</v>
      </c>
      <c r="F635" s="1">
        <v>45966</v>
      </c>
      <c r="G635" s="1">
        <v>45968</v>
      </c>
      <c r="H635" t="s">
        <v>17</v>
      </c>
      <c r="I635">
        <v>0</v>
      </c>
      <c r="J635" t="s">
        <v>18</v>
      </c>
      <c r="K635" s="1">
        <v>45987</v>
      </c>
      <c r="L635">
        <v>3</v>
      </c>
      <c r="M635">
        <v>2</v>
      </c>
      <c r="N635">
        <v>2</v>
      </c>
      <c r="O635">
        <v>3</v>
      </c>
      <c r="P635" t="str">
        <f t="shared" si="18"/>
        <v>Detractor</v>
      </c>
      <c r="Q635">
        <v>11</v>
      </c>
      <c r="R635" t="s">
        <v>1035</v>
      </c>
      <c r="S635">
        <v>11</v>
      </c>
      <c r="T635" t="s">
        <v>1035</v>
      </c>
      <c r="U635" t="str">
        <f t="shared" si="19"/>
        <v>Yes</v>
      </c>
    </row>
    <row r="636" spans="1:21" x14ac:dyDescent="0.3">
      <c r="A636" t="s">
        <v>92</v>
      </c>
      <c r="B636" t="s">
        <v>29</v>
      </c>
      <c r="C636" t="s">
        <v>16</v>
      </c>
      <c r="D636" s="1">
        <v>45944</v>
      </c>
      <c r="E636" s="1">
        <v>45947</v>
      </c>
      <c r="F636" s="1">
        <v>45949</v>
      </c>
      <c r="G636" s="1">
        <v>45951</v>
      </c>
      <c r="H636" t="s">
        <v>17</v>
      </c>
      <c r="I636">
        <v>0</v>
      </c>
      <c r="J636" t="s">
        <v>18</v>
      </c>
      <c r="K636" s="1">
        <v>45966</v>
      </c>
      <c r="L636">
        <v>3</v>
      </c>
      <c r="M636">
        <v>2</v>
      </c>
      <c r="N636">
        <v>2</v>
      </c>
      <c r="O636">
        <v>5</v>
      </c>
      <c r="P636" t="str">
        <f t="shared" si="18"/>
        <v>Detractor</v>
      </c>
      <c r="Q636">
        <v>10</v>
      </c>
      <c r="R636" t="s">
        <v>1034</v>
      </c>
      <c r="S636">
        <v>10</v>
      </c>
      <c r="T636" t="s">
        <v>1034</v>
      </c>
      <c r="U636" t="str">
        <f t="shared" si="19"/>
        <v>Yes</v>
      </c>
    </row>
    <row r="637" spans="1:21" x14ac:dyDescent="0.3">
      <c r="A637" t="s">
        <v>814</v>
      </c>
      <c r="B637" t="s">
        <v>29</v>
      </c>
      <c r="C637" t="s">
        <v>474</v>
      </c>
      <c r="D637" s="1">
        <v>45953</v>
      </c>
      <c r="E637" s="1">
        <v>45956</v>
      </c>
      <c r="F637" s="1">
        <v>45961</v>
      </c>
      <c r="G637" s="1">
        <v>45964</v>
      </c>
      <c r="H637" t="s">
        <v>752</v>
      </c>
      <c r="I637">
        <v>1</v>
      </c>
      <c r="J637" t="s">
        <v>765</v>
      </c>
      <c r="K637" s="1"/>
      <c r="L637">
        <v>3</v>
      </c>
      <c r="M637">
        <v>5</v>
      </c>
      <c r="N637">
        <v>3</v>
      </c>
      <c r="P637" t="str">
        <f t="shared" si="18"/>
        <v>Not Applicable</v>
      </c>
      <c r="Q637">
        <v>10</v>
      </c>
      <c r="R637" t="s">
        <v>1034</v>
      </c>
      <c r="S637">
        <v>11</v>
      </c>
      <c r="T637" t="s">
        <v>1035</v>
      </c>
      <c r="U637" t="str">
        <f t="shared" si="19"/>
        <v>No</v>
      </c>
    </row>
    <row r="638" spans="1:21" x14ac:dyDescent="0.3">
      <c r="A638" t="s">
        <v>285</v>
      </c>
      <c r="B638" t="s">
        <v>22</v>
      </c>
      <c r="C638" t="s">
        <v>16</v>
      </c>
      <c r="D638" s="1">
        <v>45939</v>
      </c>
      <c r="E638" s="1">
        <v>45943</v>
      </c>
      <c r="F638" s="1">
        <v>45948</v>
      </c>
      <c r="G638" s="1">
        <v>45950</v>
      </c>
      <c r="H638" t="s">
        <v>17</v>
      </c>
      <c r="I638">
        <v>0</v>
      </c>
      <c r="J638" t="s">
        <v>18</v>
      </c>
      <c r="K638" s="1">
        <v>45977</v>
      </c>
      <c r="L638">
        <v>4</v>
      </c>
      <c r="M638">
        <v>5</v>
      </c>
      <c r="N638">
        <v>2</v>
      </c>
      <c r="O638">
        <v>3</v>
      </c>
      <c r="P638" t="str">
        <f t="shared" si="18"/>
        <v>Detractor</v>
      </c>
      <c r="Q638">
        <v>10</v>
      </c>
      <c r="R638" t="s">
        <v>1034</v>
      </c>
      <c r="S638">
        <v>10</v>
      </c>
      <c r="T638" t="s">
        <v>1034</v>
      </c>
      <c r="U638" t="str">
        <f t="shared" si="19"/>
        <v>Yes</v>
      </c>
    </row>
    <row r="639" spans="1:21" x14ac:dyDescent="0.3">
      <c r="A639" t="s">
        <v>720</v>
      </c>
      <c r="B639" t="s">
        <v>27</v>
      </c>
      <c r="C639" t="s">
        <v>474</v>
      </c>
      <c r="D639" s="1">
        <v>45945</v>
      </c>
      <c r="E639" s="1">
        <v>45950</v>
      </c>
      <c r="F639" s="1">
        <v>45953</v>
      </c>
      <c r="G639" s="1">
        <v>45958</v>
      </c>
      <c r="H639" t="s">
        <v>17</v>
      </c>
      <c r="I639">
        <v>0</v>
      </c>
      <c r="J639" t="s">
        <v>18</v>
      </c>
      <c r="K639" s="1">
        <v>45973</v>
      </c>
      <c r="L639">
        <v>5</v>
      </c>
      <c r="M639">
        <v>3</v>
      </c>
      <c r="N639">
        <v>5</v>
      </c>
      <c r="O639">
        <v>2</v>
      </c>
      <c r="P639" t="str">
        <f t="shared" si="18"/>
        <v>Detractor</v>
      </c>
      <c r="Q639">
        <v>10</v>
      </c>
      <c r="R639" t="s">
        <v>1034</v>
      </c>
      <c r="S639">
        <v>10</v>
      </c>
      <c r="T639" t="s">
        <v>1034</v>
      </c>
      <c r="U639" t="str">
        <f t="shared" si="19"/>
        <v>Yes</v>
      </c>
    </row>
    <row r="640" spans="1:21" x14ac:dyDescent="0.3">
      <c r="A640" t="s">
        <v>604</v>
      </c>
      <c r="B640" t="s">
        <v>15</v>
      </c>
      <c r="C640" t="s">
        <v>474</v>
      </c>
      <c r="D640" s="1">
        <v>45958</v>
      </c>
      <c r="E640" s="1">
        <v>45962</v>
      </c>
      <c r="F640" s="1">
        <v>45965</v>
      </c>
      <c r="G640" s="1">
        <v>45969</v>
      </c>
      <c r="H640" t="s">
        <v>17</v>
      </c>
      <c r="I640">
        <v>0</v>
      </c>
      <c r="J640" t="s">
        <v>18</v>
      </c>
      <c r="K640" s="1">
        <v>45988</v>
      </c>
      <c r="L640">
        <v>4</v>
      </c>
      <c r="M640">
        <v>3</v>
      </c>
      <c r="N640">
        <v>4</v>
      </c>
      <c r="O640">
        <v>1</v>
      </c>
      <c r="P640" t="str">
        <f t="shared" si="18"/>
        <v>Detractor</v>
      </c>
      <c r="Q640">
        <v>11</v>
      </c>
      <c r="R640" t="s">
        <v>1035</v>
      </c>
      <c r="S640">
        <v>11</v>
      </c>
      <c r="T640" t="s">
        <v>1035</v>
      </c>
      <c r="U640" t="str">
        <f t="shared" si="19"/>
        <v>Yes</v>
      </c>
    </row>
    <row r="641" spans="1:21" x14ac:dyDescent="0.3">
      <c r="A641" t="s">
        <v>444</v>
      </c>
      <c r="B641" t="s">
        <v>29</v>
      </c>
      <c r="C641" t="s">
        <v>16</v>
      </c>
      <c r="D641" s="1">
        <v>45940</v>
      </c>
      <c r="E641" s="1">
        <v>45942</v>
      </c>
      <c r="F641" s="1">
        <v>45945</v>
      </c>
      <c r="G641" s="1">
        <v>45950</v>
      </c>
      <c r="H641" t="s">
        <v>17</v>
      </c>
      <c r="I641">
        <v>0</v>
      </c>
      <c r="J641" t="s">
        <v>18</v>
      </c>
      <c r="K641" s="1">
        <v>45963</v>
      </c>
      <c r="L641">
        <v>2</v>
      </c>
      <c r="M641">
        <v>3</v>
      </c>
      <c r="N641">
        <v>5</v>
      </c>
      <c r="O641">
        <v>8</v>
      </c>
      <c r="P641" t="str">
        <f t="shared" si="18"/>
        <v>Passive</v>
      </c>
      <c r="Q641">
        <v>10</v>
      </c>
      <c r="R641" t="s">
        <v>1034</v>
      </c>
      <c r="S641">
        <v>10</v>
      </c>
      <c r="T641" t="s">
        <v>1034</v>
      </c>
      <c r="U641" t="str">
        <f t="shared" si="19"/>
        <v>Yes</v>
      </c>
    </row>
    <row r="642" spans="1:21" x14ac:dyDescent="0.3">
      <c r="A642" t="s">
        <v>963</v>
      </c>
      <c r="B642" t="s">
        <v>15</v>
      </c>
      <c r="C642" t="s">
        <v>841</v>
      </c>
      <c r="D642" s="1">
        <v>45937</v>
      </c>
      <c r="E642" s="1"/>
      <c r="F642" s="1"/>
      <c r="G642" s="1"/>
      <c r="H642" t="s">
        <v>752</v>
      </c>
      <c r="I642">
        <v>1</v>
      </c>
      <c r="J642" t="s">
        <v>777</v>
      </c>
      <c r="K642" s="1"/>
      <c r="P642" t="str">
        <f t="shared" ref="P642:P705" si="20">IF(ISBLANK(O642), "Not Applicable", IF(O642&gt;=9, "Promoter", IF(O642&gt;=7, "Passive", "Detractor")))</f>
        <v>Not Applicable</v>
      </c>
      <c r="R642" t="s">
        <v>1036</v>
      </c>
      <c r="T642" t="s">
        <v>1036</v>
      </c>
      <c r="U642" t="str">
        <f t="shared" ref="U642:U705" si="21">IF(
H642="Yes","No",
IF(
OR(
C642="Hot",
AND(C642="Warm",NOT(ISBLANK(E642)))
),
"Yes",
"No"
)
)</f>
        <v>No</v>
      </c>
    </row>
    <row r="643" spans="1:21" x14ac:dyDescent="0.3">
      <c r="A643" t="s">
        <v>286</v>
      </c>
      <c r="B643" t="s">
        <v>15</v>
      </c>
      <c r="C643" t="s">
        <v>16</v>
      </c>
      <c r="D643" s="1">
        <v>45943</v>
      </c>
      <c r="E643" s="1">
        <v>45947</v>
      </c>
      <c r="F643" s="1">
        <v>45951</v>
      </c>
      <c r="G643" s="1">
        <v>45954</v>
      </c>
      <c r="H643" t="s">
        <v>17</v>
      </c>
      <c r="I643">
        <v>0</v>
      </c>
      <c r="J643" t="s">
        <v>18</v>
      </c>
      <c r="K643" s="1">
        <v>45979</v>
      </c>
      <c r="L643">
        <v>4</v>
      </c>
      <c r="M643">
        <v>4</v>
      </c>
      <c r="N643">
        <v>3</v>
      </c>
      <c r="O643">
        <v>9</v>
      </c>
      <c r="P643" t="str">
        <f t="shared" si="20"/>
        <v>Promoter</v>
      </c>
      <c r="Q643">
        <v>10</v>
      </c>
      <c r="R643" t="s">
        <v>1034</v>
      </c>
      <c r="S643">
        <v>10</v>
      </c>
      <c r="T643" t="s">
        <v>1034</v>
      </c>
      <c r="U643" t="str">
        <f t="shared" si="21"/>
        <v>Yes</v>
      </c>
    </row>
    <row r="644" spans="1:21" x14ac:dyDescent="0.3">
      <c r="A644" t="s">
        <v>93</v>
      </c>
      <c r="B644" t="s">
        <v>29</v>
      </c>
      <c r="C644" t="s">
        <v>16</v>
      </c>
      <c r="D644" s="1">
        <v>45958</v>
      </c>
      <c r="E644" s="1">
        <v>45961</v>
      </c>
      <c r="F644" s="1">
        <v>45962</v>
      </c>
      <c r="G644" s="1">
        <v>45965</v>
      </c>
      <c r="H644" t="s">
        <v>17</v>
      </c>
      <c r="I644">
        <v>0</v>
      </c>
      <c r="J644" t="s">
        <v>18</v>
      </c>
      <c r="K644" s="1">
        <v>45979</v>
      </c>
      <c r="L644">
        <v>3</v>
      </c>
      <c r="M644">
        <v>1</v>
      </c>
      <c r="N644">
        <v>3</v>
      </c>
      <c r="O644">
        <v>4</v>
      </c>
      <c r="P644" t="str">
        <f t="shared" si="20"/>
        <v>Detractor</v>
      </c>
      <c r="Q644">
        <v>10</v>
      </c>
      <c r="R644" t="s">
        <v>1034</v>
      </c>
      <c r="S644">
        <v>11</v>
      </c>
      <c r="T644" t="s">
        <v>1035</v>
      </c>
      <c r="U644" t="str">
        <f t="shared" si="21"/>
        <v>Yes</v>
      </c>
    </row>
    <row r="645" spans="1:21" x14ac:dyDescent="0.3">
      <c r="A645" t="s">
        <v>605</v>
      </c>
      <c r="B645" t="s">
        <v>15</v>
      </c>
      <c r="C645" t="s">
        <v>474</v>
      </c>
      <c r="D645" s="1">
        <v>45946</v>
      </c>
      <c r="E645" s="1">
        <v>45950</v>
      </c>
      <c r="F645" s="1">
        <v>45953</v>
      </c>
      <c r="G645" s="1">
        <v>45955</v>
      </c>
      <c r="H645" t="s">
        <v>17</v>
      </c>
      <c r="I645">
        <v>0</v>
      </c>
      <c r="J645" t="s">
        <v>18</v>
      </c>
      <c r="K645" s="1">
        <v>45973</v>
      </c>
      <c r="L645">
        <v>4</v>
      </c>
      <c r="M645">
        <v>3</v>
      </c>
      <c r="N645">
        <v>2</v>
      </c>
      <c r="O645">
        <v>4</v>
      </c>
      <c r="P645" t="str">
        <f t="shared" si="20"/>
        <v>Detractor</v>
      </c>
      <c r="Q645">
        <v>10</v>
      </c>
      <c r="R645" t="s">
        <v>1034</v>
      </c>
      <c r="S645">
        <v>10</v>
      </c>
      <c r="T645" t="s">
        <v>1034</v>
      </c>
      <c r="U645" t="str">
        <f t="shared" si="21"/>
        <v>Yes</v>
      </c>
    </row>
    <row r="646" spans="1:21" x14ac:dyDescent="0.3">
      <c r="A646" t="s">
        <v>606</v>
      </c>
      <c r="B646" t="s">
        <v>29</v>
      </c>
      <c r="C646" t="s">
        <v>474</v>
      </c>
      <c r="D646" s="1">
        <v>45934</v>
      </c>
      <c r="E646" s="1">
        <v>45935</v>
      </c>
      <c r="F646" s="1">
        <v>45939</v>
      </c>
      <c r="G646" s="1">
        <v>45945</v>
      </c>
      <c r="H646" t="s">
        <v>17</v>
      </c>
      <c r="I646">
        <v>0</v>
      </c>
      <c r="J646" t="s">
        <v>18</v>
      </c>
      <c r="K646" s="1">
        <v>45972</v>
      </c>
      <c r="L646">
        <v>1</v>
      </c>
      <c r="M646">
        <v>4</v>
      </c>
      <c r="N646">
        <v>6</v>
      </c>
      <c r="O646">
        <v>1</v>
      </c>
      <c r="P646" t="str">
        <f t="shared" si="20"/>
        <v>Detractor</v>
      </c>
      <c r="Q646">
        <v>10</v>
      </c>
      <c r="R646" t="s">
        <v>1034</v>
      </c>
      <c r="S646">
        <v>10</v>
      </c>
      <c r="T646" t="s">
        <v>1034</v>
      </c>
      <c r="U646" t="str">
        <f t="shared" si="21"/>
        <v>Yes</v>
      </c>
    </row>
    <row r="647" spans="1:21" x14ac:dyDescent="0.3">
      <c r="A647" t="s">
        <v>607</v>
      </c>
      <c r="B647" t="s">
        <v>15</v>
      </c>
      <c r="C647" t="s">
        <v>474</v>
      </c>
      <c r="D647" s="1">
        <v>45938</v>
      </c>
      <c r="E647" s="1">
        <v>45941</v>
      </c>
      <c r="F647" s="1">
        <v>45945</v>
      </c>
      <c r="G647" s="1">
        <v>45952</v>
      </c>
      <c r="H647" t="s">
        <v>17</v>
      </c>
      <c r="I647">
        <v>0</v>
      </c>
      <c r="J647" t="s">
        <v>18</v>
      </c>
      <c r="K647" s="1">
        <v>45967</v>
      </c>
      <c r="L647">
        <v>3</v>
      </c>
      <c r="M647">
        <v>4</v>
      </c>
      <c r="N647">
        <v>7</v>
      </c>
      <c r="O647">
        <v>0</v>
      </c>
      <c r="P647" t="str">
        <f t="shared" si="20"/>
        <v>Detractor</v>
      </c>
      <c r="Q647">
        <v>10</v>
      </c>
      <c r="R647" t="s">
        <v>1034</v>
      </c>
      <c r="S647">
        <v>10</v>
      </c>
      <c r="T647" t="s">
        <v>1034</v>
      </c>
      <c r="U647" t="str">
        <f t="shared" si="21"/>
        <v>Yes</v>
      </c>
    </row>
    <row r="648" spans="1:21" x14ac:dyDescent="0.3">
      <c r="A648" t="s">
        <v>721</v>
      </c>
      <c r="B648" t="s">
        <v>29</v>
      </c>
      <c r="C648" t="s">
        <v>474</v>
      </c>
      <c r="D648" s="1">
        <v>45943</v>
      </c>
      <c r="E648" s="1">
        <v>45948</v>
      </c>
      <c r="F648" s="1">
        <v>45953</v>
      </c>
      <c r="G648" s="1">
        <v>45960</v>
      </c>
      <c r="H648" t="s">
        <v>17</v>
      </c>
      <c r="I648">
        <v>0</v>
      </c>
      <c r="J648" t="s">
        <v>18</v>
      </c>
      <c r="K648" s="1">
        <v>45980</v>
      </c>
      <c r="L648">
        <v>5</v>
      </c>
      <c r="M648">
        <v>5</v>
      </c>
      <c r="N648">
        <v>7</v>
      </c>
      <c r="O648">
        <v>6</v>
      </c>
      <c r="P648" t="str">
        <f t="shared" si="20"/>
        <v>Detractor</v>
      </c>
      <c r="Q648">
        <v>10</v>
      </c>
      <c r="R648" t="s">
        <v>1034</v>
      </c>
      <c r="S648">
        <v>10</v>
      </c>
      <c r="T648" t="s">
        <v>1034</v>
      </c>
      <c r="U648" t="str">
        <f t="shared" si="21"/>
        <v>Yes</v>
      </c>
    </row>
    <row r="649" spans="1:21" x14ac:dyDescent="0.3">
      <c r="A649" t="s">
        <v>287</v>
      </c>
      <c r="B649" t="s">
        <v>27</v>
      </c>
      <c r="C649" t="s">
        <v>16</v>
      </c>
      <c r="D649" s="1">
        <v>45949</v>
      </c>
      <c r="E649" s="1">
        <v>45953</v>
      </c>
      <c r="F649" s="1">
        <v>45955</v>
      </c>
      <c r="G649" s="1">
        <v>45962</v>
      </c>
      <c r="H649" t="s">
        <v>17</v>
      </c>
      <c r="I649">
        <v>0</v>
      </c>
      <c r="J649" t="s">
        <v>18</v>
      </c>
      <c r="K649" s="1">
        <v>45992</v>
      </c>
      <c r="L649">
        <v>4</v>
      </c>
      <c r="M649">
        <v>2</v>
      </c>
      <c r="N649">
        <v>7</v>
      </c>
      <c r="O649">
        <v>5</v>
      </c>
      <c r="P649" t="str">
        <f t="shared" si="20"/>
        <v>Detractor</v>
      </c>
      <c r="Q649">
        <v>10</v>
      </c>
      <c r="R649" t="s">
        <v>1034</v>
      </c>
      <c r="S649">
        <v>11</v>
      </c>
      <c r="T649" t="s">
        <v>1035</v>
      </c>
      <c r="U649" t="str">
        <f t="shared" si="21"/>
        <v>Yes</v>
      </c>
    </row>
    <row r="650" spans="1:21" x14ac:dyDescent="0.3">
      <c r="A650" t="s">
        <v>94</v>
      </c>
      <c r="B650" t="s">
        <v>22</v>
      </c>
      <c r="C650" t="s">
        <v>16</v>
      </c>
      <c r="D650" s="1">
        <v>45942</v>
      </c>
      <c r="E650" s="1">
        <v>45945</v>
      </c>
      <c r="F650" s="1">
        <v>45947</v>
      </c>
      <c r="G650" s="1">
        <v>45952</v>
      </c>
      <c r="H650" t="s">
        <v>17</v>
      </c>
      <c r="I650">
        <v>0</v>
      </c>
      <c r="J650" t="s">
        <v>18</v>
      </c>
      <c r="K650" s="1">
        <v>45964</v>
      </c>
      <c r="L650">
        <v>3</v>
      </c>
      <c r="M650">
        <v>2</v>
      </c>
      <c r="N650">
        <v>5</v>
      </c>
      <c r="O650">
        <v>0</v>
      </c>
      <c r="P650" t="str">
        <f t="shared" si="20"/>
        <v>Detractor</v>
      </c>
      <c r="Q650">
        <v>10</v>
      </c>
      <c r="R650" t="s">
        <v>1034</v>
      </c>
      <c r="S650">
        <v>10</v>
      </c>
      <c r="T650" t="s">
        <v>1034</v>
      </c>
      <c r="U650" t="str">
        <f t="shared" si="21"/>
        <v>Yes</v>
      </c>
    </row>
    <row r="651" spans="1:21" x14ac:dyDescent="0.3">
      <c r="A651" t="s">
        <v>815</v>
      </c>
      <c r="B651" t="s">
        <v>29</v>
      </c>
      <c r="C651" t="s">
        <v>16</v>
      </c>
      <c r="D651" s="1">
        <v>45949</v>
      </c>
      <c r="E651" s="1">
        <v>45950</v>
      </c>
      <c r="F651" s="1">
        <v>45953</v>
      </c>
      <c r="G651" s="1">
        <v>45956</v>
      </c>
      <c r="H651" t="s">
        <v>752</v>
      </c>
      <c r="I651">
        <v>1</v>
      </c>
      <c r="J651" t="s">
        <v>758</v>
      </c>
      <c r="K651" s="1"/>
      <c r="L651">
        <v>1</v>
      </c>
      <c r="M651">
        <v>3</v>
      </c>
      <c r="N651">
        <v>3</v>
      </c>
      <c r="P651" t="str">
        <f t="shared" si="20"/>
        <v>Not Applicable</v>
      </c>
      <c r="Q651">
        <v>10</v>
      </c>
      <c r="R651" t="s">
        <v>1034</v>
      </c>
      <c r="S651">
        <v>10</v>
      </c>
      <c r="T651" t="s">
        <v>1034</v>
      </c>
      <c r="U651" t="str">
        <f t="shared" si="21"/>
        <v>No</v>
      </c>
    </row>
    <row r="652" spans="1:21" x14ac:dyDescent="0.3">
      <c r="A652" t="s">
        <v>816</v>
      </c>
      <c r="B652" t="s">
        <v>29</v>
      </c>
      <c r="C652" t="s">
        <v>474</v>
      </c>
      <c r="D652" s="1">
        <v>45940</v>
      </c>
      <c r="E652" s="1">
        <v>45941</v>
      </c>
      <c r="F652" s="1">
        <v>45942</v>
      </c>
      <c r="G652" s="1">
        <v>45946</v>
      </c>
      <c r="H652" t="s">
        <v>752</v>
      </c>
      <c r="I652">
        <v>1</v>
      </c>
      <c r="J652" t="s">
        <v>765</v>
      </c>
      <c r="K652" s="1"/>
      <c r="L652">
        <v>1</v>
      </c>
      <c r="M652">
        <v>1</v>
      </c>
      <c r="N652">
        <v>4</v>
      </c>
      <c r="P652" t="str">
        <f t="shared" si="20"/>
        <v>Not Applicable</v>
      </c>
      <c r="Q652">
        <v>10</v>
      </c>
      <c r="R652" t="s">
        <v>1034</v>
      </c>
      <c r="S652">
        <v>10</v>
      </c>
      <c r="T652" t="s">
        <v>1034</v>
      </c>
      <c r="U652" t="str">
        <f t="shared" si="21"/>
        <v>No</v>
      </c>
    </row>
    <row r="653" spans="1:21" x14ac:dyDescent="0.3">
      <c r="A653" t="s">
        <v>817</v>
      </c>
      <c r="B653" t="s">
        <v>22</v>
      </c>
      <c r="C653" t="s">
        <v>16</v>
      </c>
      <c r="D653" s="1">
        <v>45953</v>
      </c>
      <c r="E653" s="1">
        <v>45957</v>
      </c>
      <c r="F653" s="1">
        <v>45958</v>
      </c>
      <c r="G653" s="1">
        <v>45961</v>
      </c>
      <c r="H653" t="s">
        <v>752</v>
      </c>
      <c r="I653">
        <v>1</v>
      </c>
      <c r="J653" t="s">
        <v>765</v>
      </c>
      <c r="K653" s="1"/>
      <c r="L653">
        <v>4</v>
      </c>
      <c r="M653">
        <v>1</v>
      </c>
      <c r="N653">
        <v>3</v>
      </c>
      <c r="P653" t="str">
        <f t="shared" si="20"/>
        <v>Not Applicable</v>
      </c>
      <c r="Q653">
        <v>10</v>
      </c>
      <c r="R653" t="s">
        <v>1034</v>
      </c>
      <c r="S653">
        <v>10</v>
      </c>
      <c r="T653" t="s">
        <v>1034</v>
      </c>
      <c r="U653" t="str">
        <f t="shared" si="21"/>
        <v>No</v>
      </c>
    </row>
    <row r="654" spans="1:21" x14ac:dyDescent="0.3">
      <c r="A654" t="s">
        <v>964</v>
      </c>
      <c r="B654" t="s">
        <v>29</v>
      </c>
      <c r="C654" t="s">
        <v>841</v>
      </c>
      <c r="D654" s="1">
        <v>45940</v>
      </c>
      <c r="E654" s="1"/>
      <c r="F654" s="1"/>
      <c r="G654" s="1"/>
      <c r="H654" t="s">
        <v>752</v>
      </c>
      <c r="I654">
        <v>1</v>
      </c>
      <c r="J654" t="s">
        <v>777</v>
      </c>
      <c r="K654" s="1"/>
      <c r="P654" t="str">
        <f t="shared" si="20"/>
        <v>Not Applicable</v>
      </c>
      <c r="R654" t="s">
        <v>1036</v>
      </c>
      <c r="T654" t="s">
        <v>1036</v>
      </c>
      <c r="U654" t="str">
        <f t="shared" si="21"/>
        <v>No</v>
      </c>
    </row>
    <row r="655" spans="1:21" x14ac:dyDescent="0.3">
      <c r="A655" t="s">
        <v>608</v>
      </c>
      <c r="B655" t="s">
        <v>29</v>
      </c>
      <c r="C655" t="s">
        <v>474</v>
      </c>
      <c r="D655" s="1">
        <v>45931</v>
      </c>
      <c r="E655" s="1">
        <v>45934</v>
      </c>
      <c r="F655" s="1">
        <v>45935</v>
      </c>
      <c r="G655" s="1">
        <v>45940</v>
      </c>
      <c r="H655" t="s">
        <v>17</v>
      </c>
      <c r="I655">
        <v>0</v>
      </c>
      <c r="J655" t="s">
        <v>18</v>
      </c>
      <c r="K655" s="1">
        <v>45957</v>
      </c>
      <c r="L655">
        <v>3</v>
      </c>
      <c r="M655">
        <v>1</v>
      </c>
      <c r="N655">
        <v>5</v>
      </c>
      <c r="O655">
        <v>3</v>
      </c>
      <c r="P655" t="str">
        <f t="shared" si="20"/>
        <v>Detractor</v>
      </c>
      <c r="Q655">
        <v>10</v>
      </c>
      <c r="R655" t="s">
        <v>1034</v>
      </c>
      <c r="S655">
        <v>10</v>
      </c>
      <c r="T655" t="s">
        <v>1034</v>
      </c>
      <c r="U655" t="str">
        <f t="shared" si="21"/>
        <v>Yes</v>
      </c>
    </row>
    <row r="656" spans="1:21" x14ac:dyDescent="0.3">
      <c r="A656" t="s">
        <v>965</v>
      </c>
      <c r="B656" t="s">
        <v>15</v>
      </c>
      <c r="C656" t="s">
        <v>841</v>
      </c>
      <c r="D656" s="1">
        <v>45957</v>
      </c>
      <c r="E656" s="1"/>
      <c r="F656" s="1"/>
      <c r="G656" s="1"/>
      <c r="H656" t="s">
        <v>752</v>
      </c>
      <c r="I656">
        <v>1</v>
      </c>
      <c r="J656" t="s">
        <v>756</v>
      </c>
      <c r="K656" s="1"/>
      <c r="P656" t="str">
        <f t="shared" si="20"/>
        <v>Not Applicable</v>
      </c>
      <c r="R656" t="s">
        <v>1036</v>
      </c>
      <c r="T656" t="s">
        <v>1036</v>
      </c>
      <c r="U656" t="str">
        <f t="shared" si="21"/>
        <v>No</v>
      </c>
    </row>
    <row r="657" spans="1:21" x14ac:dyDescent="0.3">
      <c r="A657" t="s">
        <v>966</v>
      </c>
      <c r="B657" t="s">
        <v>22</v>
      </c>
      <c r="C657" t="s">
        <v>841</v>
      </c>
      <c r="D657" s="1">
        <v>45952</v>
      </c>
      <c r="E657" s="1"/>
      <c r="F657" s="1"/>
      <c r="G657" s="1"/>
      <c r="H657" t="s">
        <v>752</v>
      </c>
      <c r="I657">
        <v>1</v>
      </c>
      <c r="J657" t="s">
        <v>765</v>
      </c>
      <c r="K657" s="1"/>
      <c r="P657" t="str">
        <f t="shared" si="20"/>
        <v>Not Applicable</v>
      </c>
      <c r="R657" t="s">
        <v>1036</v>
      </c>
      <c r="T657" t="s">
        <v>1036</v>
      </c>
      <c r="U657" t="str">
        <f t="shared" si="21"/>
        <v>No</v>
      </c>
    </row>
    <row r="658" spans="1:21" x14ac:dyDescent="0.3">
      <c r="A658" t="s">
        <v>722</v>
      </c>
      <c r="B658" t="s">
        <v>27</v>
      </c>
      <c r="C658" t="s">
        <v>474</v>
      </c>
      <c r="D658" s="1">
        <v>45943</v>
      </c>
      <c r="E658" s="1">
        <v>45948</v>
      </c>
      <c r="F658" s="1">
        <v>45952</v>
      </c>
      <c r="G658" s="1">
        <v>45959</v>
      </c>
      <c r="H658" t="s">
        <v>17</v>
      </c>
      <c r="I658">
        <v>0</v>
      </c>
      <c r="J658" t="s">
        <v>18</v>
      </c>
      <c r="K658" s="1">
        <v>45980</v>
      </c>
      <c r="L658">
        <v>5</v>
      </c>
      <c r="M658">
        <v>4</v>
      </c>
      <c r="N658">
        <v>7</v>
      </c>
      <c r="O658">
        <v>2</v>
      </c>
      <c r="P658" t="str">
        <f t="shared" si="20"/>
        <v>Detractor</v>
      </c>
      <c r="Q658">
        <v>10</v>
      </c>
      <c r="R658" t="s">
        <v>1034</v>
      </c>
      <c r="S658">
        <v>10</v>
      </c>
      <c r="T658" t="s">
        <v>1034</v>
      </c>
      <c r="U658" t="str">
        <f t="shared" si="21"/>
        <v>Yes</v>
      </c>
    </row>
    <row r="659" spans="1:21" x14ac:dyDescent="0.3">
      <c r="A659" t="s">
        <v>818</v>
      </c>
      <c r="B659" t="s">
        <v>29</v>
      </c>
      <c r="C659" t="s">
        <v>16</v>
      </c>
      <c r="D659" s="1">
        <v>45939</v>
      </c>
      <c r="E659" s="1">
        <v>45941</v>
      </c>
      <c r="F659" s="1">
        <v>45945</v>
      </c>
      <c r="G659" s="1">
        <v>45949</v>
      </c>
      <c r="H659" t="s">
        <v>752</v>
      </c>
      <c r="I659">
        <v>1</v>
      </c>
      <c r="J659" t="s">
        <v>758</v>
      </c>
      <c r="K659" s="1"/>
      <c r="L659">
        <v>2</v>
      </c>
      <c r="M659">
        <v>4</v>
      </c>
      <c r="N659">
        <v>4</v>
      </c>
      <c r="P659" t="str">
        <f t="shared" si="20"/>
        <v>Not Applicable</v>
      </c>
      <c r="Q659">
        <v>10</v>
      </c>
      <c r="R659" t="s">
        <v>1034</v>
      </c>
      <c r="S659">
        <v>10</v>
      </c>
      <c r="T659" t="s">
        <v>1034</v>
      </c>
      <c r="U659" t="str">
        <f t="shared" si="21"/>
        <v>No</v>
      </c>
    </row>
    <row r="660" spans="1:21" x14ac:dyDescent="0.3">
      <c r="A660" t="s">
        <v>819</v>
      </c>
      <c r="B660" t="s">
        <v>22</v>
      </c>
      <c r="C660" t="s">
        <v>16</v>
      </c>
      <c r="D660" s="1">
        <v>45931</v>
      </c>
      <c r="E660" s="1">
        <v>45932</v>
      </c>
      <c r="F660" s="1">
        <v>45936</v>
      </c>
      <c r="G660" s="1">
        <v>45940</v>
      </c>
      <c r="H660" t="s">
        <v>752</v>
      </c>
      <c r="I660">
        <v>1</v>
      </c>
      <c r="J660" t="s">
        <v>765</v>
      </c>
      <c r="K660" s="1"/>
      <c r="L660">
        <v>1</v>
      </c>
      <c r="M660">
        <v>4</v>
      </c>
      <c r="N660">
        <v>4</v>
      </c>
      <c r="P660" t="str">
        <f t="shared" si="20"/>
        <v>Not Applicable</v>
      </c>
      <c r="Q660">
        <v>10</v>
      </c>
      <c r="R660" t="s">
        <v>1034</v>
      </c>
      <c r="S660">
        <v>10</v>
      </c>
      <c r="T660" t="s">
        <v>1034</v>
      </c>
      <c r="U660" t="str">
        <f t="shared" si="21"/>
        <v>No</v>
      </c>
    </row>
    <row r="661" spans="1:21" x14ac:dyDescent="0.3">
      <c r="A661" t="s">
        <v>445</v>
      </c>
      <c r="B661" t="s">
        <v>15</v>
      </c>
      <c r="C661" t="s">
        <v>16</v>
      </c>
      <c r="D661" s="1">
        <v>45949</v>
      </c>
      <c r="E661" s="1">
        <v>45951</v>
      </c>
      <c r="F661" s="1">
        <v>45956</v>
      </c>
      <c r="G661" s="1">
        <v>45958</v>
      </c>
      <c r="H661" t="s">
        <v>17</v>
      </c>
      <c r="I661">
        <v>0</v>
      </c>
      <c r="J661" t="s">
        <v>18</v>
      </c>
      <c r="K661" s="1">
        <v>45975</v>
      </c>
      <c r="L661">
        <v>2</v>
      </c>
      <c r="M661">
        <v>5</v>
      </c>
      <c r="N661">
        <v>2</v>
      </c>
      <c r="O661">
        <v>2</v>
      </c>
      <c r="P661" t="str">
        <f t="shared" si="20"/>
        <v>Detractor</v>
      </c>
      <c r="Q661">
        <v>10</v>
      </c>
      <c r="R661" t="s">
        <v>1034</v>
      </c>
      <c r="S661">
        <v>10</v>
      </c>
      <c r="T661" t="s">
        <v>1034</v>
      </c>
      <c r="U661" t="str">
        <f t="shared" si="21"/>
        <v>Yes</v>
      </c>
    </row>
    <row r="662" spans="1:21" x14ac:dyDescent="0.3">
      <c r="A662" t="s">
        <v>193</v>
      </c>
      <c r="B662" t="s">
        <v>27</v>
      </c>
      <c r="C662" t="s">
        <v>16</v>
      </c>
      <c r="D662" s="1">
        <v>45958</v>
      </c>
      <c r="E662" s="1">
        <v>45963</v>
      </c>
      <c r="F662" s="1">
        <v>45967</v>
      </c>
      <c r="G662" s="1">
        <v>45973</v>
      </c>
      <c r="H662" t="s">
        <v>17</v>
      </c>
      <c r="I662">
        <v>0</v>
      </c>
      <c r="J662" t="s">
        <v>18</v>
      </c>
      <c r="K662" s="1">
        <v>45992</v>
      </c>
      <c r="L662">
        <v>5</v>
      </c>
      <c r="M662">
        <v>4</v>
      </c>
      <c r="N662">
        <v>6</v>
      </c>
      <c r="O662">
        <v>1</v>
      </c>
      <c r="P662" t="str">
        <f t="shared" si="20"/>
        <v>Detractor</v>
      </c>
      <c r="Q662">
        <v>11</v>
      </c>
      <c r="R662" t="s">
        <v>1035</v>
      </c>
      <c r="S662">
        <v>11</v>
      </c>
      <c r="T662" t="s">
        <v>1035</v>
      </c>
      <c r="U662" t="str">
        <f t="shared" si="21"/>
        <v>Yes</v>
      </c>
    </row>
    <row r="663" spans="1:21" x14ac:dyDescent="0.3">
      <c r="A663" t="s">
        <v>288</v>
      </c>
      <c r="B663" t="s">
        <v>22</v>
      </c>
      <c r="C663" t="s">
        <v>16</v>
      </c>
      <c r="D663" s="1">
        <v>45952</v>
      </c>
      <c r="E663" s="1">
        <v>45956</v>
      </c>
      <c r="F663" s="1">
        <v>45957</v>
      </c>
      <c r="G663" s="1">
        <v>45961</v>
      </c>
      <c r="H663" t="s">
        <v>17</v>
      </c>
      <c r="I663">
        <v>0</v>
      </c>
      <c r="J663" t="s">
        <v>18</v>
      </c>
      <c r="K663" s="1">
        <v>45984</v>
      </c>
      <c r="L663">
        <v>4</v>
      </c>
      <c r="M663">
        <v>1</v>
      </c>
      <c r="N663">
        <v>4</v>
      </c>
      <c r="O663">
        <v>9</v>
      </c>
      <c r="P663" t="str">
        <f t="shared" si="20"/>
        <v>Promoter</v>
      </c>
      <c r="Q663">
        <v>10</v>
      </c>
      <c r="R663" t="s">
        <v>1034</v>
      </c>
      <c r="S663">
        <v>10</v>
      </c>
      <c r="T663" t="s">
        <v>1034</v>
      </c>
      <c r="U663" t="str">
        <f t="shared" si="21"/>
        <v>Yes</v>
      </c>
    </row>
    <row r="664" spans="1:21" x14ac:dyDescent="0.3">
      <c r="A664" t="s">
        <v>375</v>
      </c>
      <c r="B664" t="s">
        <v>27</v>
      </c>
      <c r="C664" t="s">
        <v>16</v>
      </c>
      <c r="D664" s="1">
        <v>45955</v>
      </c>
      <c r="E664" s="1">
        <v>45956</v>
      </c>
      <c r="F664" s="1">
        <v>45957</v>
      </c>
      <c r="G664" s="1">
        <v>45959</v>
      </c>
      <c r="H664" t="s">
        <v>17</v>
      </c>
      <c r="I664">
        <v>0</v>
      </c>
      <c r="J664" t="s">
        <v>18</v>
      </c>
      <c r="K664" s="1">
        <v>45979</v>
      </c>
      <c r="L664">
        <v>1</v>
      </c>
      <c r="M664">
        <v>1</v>
      </c>
      <c r="N664">
        <v>2</v>
      </c>
      <c r="O664">
        <v>5</v>
      </c>
      <c r="P664" t="str">
        <f t="shared" si="20"/>
        <v>Detractor</v>
      </c>
      <c r="Q664">
        <v>10</v>
      </c>
      <c r="R664" t="s">
        <v>1034</v>
      </c>
      <c r="S664">
        <v>10</v>
      </c>
      <c r="T664" t="s">
        <v>1034</v>
      </c>
      <c r="U664" t="str">
        <f t="shared" si="21"/>
        <v>Yes</v>
      </c>
    </row>
    <row r="665" spans="1:21" x14ac:dyDescent="0.3">
      <c r="A665" t="s">
        <v>446</v>
      </c>
      <c r="B665" t="s">
        <v>27</v>
      </c>
      <c r="C665" t="s">
        <v>16</v>
      </c>
      <c r="D665" s="1">
        <v>45954</v>
      </c>
      <c r="E665" s="1">
        <v>45956</v>
      </c>
      <c r="F665" s="1">
        <v>45958</v>
      </c>
      <c r="G665" s="1">
        <v>45964</v>
      </c>
      <c r="H665" t="s">
        <v>17</v>
      </c>
      <c r="I665">
        <v>0</v>
      </c>
      <c r="J665" t="s">
        <v>18</v>
      </c>
      <c r="K665" s="1">
        <v>45985</v>
      </c>
      <c r="L665">
        <v>2</v>
      </c>
      <c r="M665">
        <v>2</v>
      </c>
      <c r="N665">
        <v>6</v>
      </c>
      <c r="O665">
        <v>4</v>
      </c>
      <c r="P665" t="str">
        <f t="shared" si="20"/>
        <v>Detractor</v>
      </c>
      <c r="Q665">
        <v>10</v>
      </c>
      <c r="R665" t="s">
        <v>1034</v>
      </c>
      <c r="S665">
        <v>11</v>
      </c>
      <c r="T665" t="s">
        <v>1035</v>
      </c>
      <c r="U665" t="str">
        <f t="shared" si="21"/>
        <v>Yes</v>
      </c>
    </row>
    <row r="666" spans="1:21" x14ac:dyDescent="0.3">
      <c r="A666" t="s">
        <v>376</v>
      </c>
      <c r="B666" t="s">
        <v>27</v>
      </c>
      <c r="C666" t="s">
        <v>16</v>
      </c>
      <c r="D666" s="1">
        <v>45932</v>
      </c>
      <c r="E666" s="1">
        <v>45933</v>
      </c>
      <c r="F666" s="1">
        <v>45934</v>
      </c>
      <c r="G666" s="1">
        <v>45941</v>
      </c>
      <c r="H666" t="s">
        <v>17</v>
      </c>
      <c r="I666">
        <v>0</v>
      </c>
      <c r="J666" t="s">
        <v>18</v>
      </c>
      <c r="K666" s="1">
        <v>45959</v>
      </c>
      <c r="L666">
        <v>1</v>
      </c>
      <c r="M666">
        <v>1</v>
      </c>
      <c r="N666">
        <v>7</v>
      </c>
      <c r="O666">
        <v>9</v>
      </c>
      <c r="P666" t="str">
        <f t="shared" si="20"/>
        <v>Promoter</v>
      </c>
      <c r="Q666">
        <v>10</v>
      </c>
      <c r="R666" t="s">
        <v>1034</v>
      </c>
      <c r="S666">
        <v>10</v>
      </c>
      <c r="T666" t="s">
        <v>1034</v>
      </c>
      <c r="U666" t="str">
        <f t="shared" si="21"/>
        <v>Yes</v>
      </c>
    </row>
    <row r="667" spans="1:21" x14ac:dyDescent="0.3">
      <c r="A667" t="s">
        <v>447</v>
      </c>
      <c r="B667" t="s">
        <v>29</v>
      </c>
      <c r="C667" t="s">
        <v>16</v>
      </c>
      <c r="D667" s="1">
        <v>45960</v>
      </c>
      <c r="E667" s="1">
        <v>45962</v>
      </c>
      <c r="F667" s="1">
        <v>45966</v>
      </c>
      <c r="G667" s="1">
        <v>45968</v>
      </c>
      <c r="H667" t="s">
        <v>17</v>
      </c>
      <c r="I667">
        <v>0</v>
      </c>
      <c r="J667" t="s">
        <v>18</v>
      </c>
      <c r="K667" s="1">
        <v>45996</v>
      </c>
      <c r="L667">
        <v>2</v>
      </c>
      <c r="M667">
        <v>4</v>
      </c>
      <c r="N667">
        <v>2</v>
      </c>
      <c r="O667">
        <v>2</v>
      </c>
      <c r="P667" t="str">
        <f t="shared" si="20"/>
        <v>Detractor</v>
      </c>
      <c r="Q667">
        <v>11</v>
      </c>
      <c r="R667" t="s">
        <v>1035</v>
      </c>
      <c r="S667">
        <v>11</v>
      </c>
      <c r="T667" t="s">
        <v>1035</v>
      </c>
      <c r="U667" t="str">
        <f t="shared" si="21"/>
        <v>Yes</v>
      </c>
    </row>
    <row r="668" spans="1:21" x14ac:dyDescent="0.3">
      <c r="A668" t="s">
        <v>95</v>
      </c>
      <c r="B668" t="s">
        <v>29</v>
      </c>
      <c r="C668" t="s">
        <v>16</v>
      </c>
      <c r="D668" s="1">
        <v>45950</v>
      </c>
      <c r="E668" s="1">
        <v>45953</v>
      </c>
      <c r="F668" s="1">
        <v>45957</v>
      </c>
      <c r="G668" s="1">
        <v>45960</v>
      </c>
      <c r="H668" t="s">
        <v>17</v>
      </c>
      <c r="I668">
        <v>0</v>
      </c>
      <c r="J668" t="s">
        <v>18</v>
      </c>
      <c r="K668" s="1">
        <v>45979</v>
      </c>
      <c r="L668">
        <v>3</v>
      </c>
      <c r="M668">
        <v>4</v>
      </c>
      <c r="N668">
        <v>3</v>
      </c>
      <c r="O668">
        <v>7</v>
      </c>
      <c r="P668" t="str">
        <f t="shared" si="20"/>
        <v>Passive</v>
      </c>
      <c r="Q668">
        <v>10</v>
      </c>
      <c r="R668" t="s">
        <v>1034</v>
      </c>
      <c r="S668">
        <v>10</v>
      </c>
      <c r="T668" t="s">
        <v>1034</v>
      </c>
      <c r="U668" t="str">
        <f t="shared" si="21"/>
        <v>Yes</v>
      </c>
    </row>
    <row r="669" spans="1:21" x14ac:dyDescent="0.3">
      <c r="A669" t="s">
        <v>96</v>
      </c>
      <c r="B669" t="s">
        <v>15</v>
      </c>
      <c r="C669" t="s">
        <v>16</v>
      </c>
      <c r="D669" s="1">
        <v>45954</v>
      </c>
      <c r="E669" s="1">
        <v>45957</v>
      </c>
      <c r="F669" s="1">
        <v>45960</v>
      </c>
      <c r="G669" s="1">
        <v>45963</v>
      </c>
      <c r="H669" t="s">
        <v>17</v>
      </c>
      <c r="I669">
        <v>0</v>
      </c>
      <c r="J669" t="s">
        <v>18</v>
      </c>
      <c r="K669" s="1">
        <v>45987</v>
      </c>
      <c r="L669">
        <v>3</v>
      </c>
      <c r="M669">
        <v>3</v>
      </c>
      <c r="N669">
        <v>3</v>
      </c>
      <c r="O669">
        <v>0</v>
      </c>
      <c r="P669" t="str">
        <f t="shared" si="20"/>
        <v>Detractor</v>
      </c>
      <c r="Q669">
        <v>10</v>
      </c>
      <c r="R669" t="s">
        <v>1034</v>
      </c>
      <c r="S669">
        <v>11</v>
      </c>
      <c r="T669" t="s">
        <v>1035</v>
      </c>
      <c r="U669" t="str">
        <f t="shared" si="21"/>
        <v>Yes</v>
      </c>
    </row>
    <row r="670" spans="1:21" x14ac:dyDescent="0.3">
      <c r="A670" t="s">
        <v>609</v>
      </c>
      <c r="B670" t="s">
        <v>15</v>
      </c>
      <c r="C670" t="s">
        <v>474</v>
      </c>
      <c r="D670" s="1">
        <v>45946</v>
      </c>
      <c r="E670" s="1">
        <v>45950</v>
      </c>
      <c r="F670" s="1">
        <v>45955</v>
      </c>
      <c r="G670" s="1">
        <v>45961</v>
      </c>
      <c r="H670" t="s">
        <v>17</v>
      </c>
      <c r="I670">
        <v>0</v>
      </c>
      <c r="J670" t="s">
        <v>18</v>
      </c>
      <c r="K670" s="1">
        <v>45974</v>
      </c>
      <c r="L670">
        <v>4</v>
      </c>
      <c r="M670">
        <v>5</v>
      </c>
      <c r="N670">
        <v>6</v>
      </c>
      <c r="O670">
        <v>2</v>
      </c>
      <c r="P670" t="str">
        <f t="shared" si="20"/>
        <v>Detractor</v>
      </c>
      <c r="Q670">
        <v>10</v>
      </c>
      <c r="R670" t="s">
        <v>1034</v>
      </c>
      <c r="S670">
        <v>10</v>
      </c>
      <c r="T670" t="s">
        <v>1034</v>
      </c>
      <c r="U670" t="str">
        <f t="shared" si="21"/>
        <v>Yes</v>
      </c>
    </row>
    <row r="671" spans="1:21" x14ac:dyDescent="0.3">
      <c r="A671" t="s">
        <v>820</v>
      </c>
      <c r="B671" t="s">
        <v>22</v>
      </c>
      <c r="C671" t="s">
        <v>474</v>
      </c>
      <c r="D671" s="1">
        <v>45957</v>
      </c>
      <c r="E671" s="1">
        <v>45962</v>
      </c>
      <c r="F671" s="1">
        <v>45963</v>
      </c>
      <c r="G671" s="1">
        <v>45965</v>
      </c>
      <c r="H671" t="s">
        <v>752</v>
      </c>
      <c r="I671">
        <v>1</v>
      </c>
      <c r="J671" t="s">
        <v>758</v>
      </c>
      <c r="K671" s="1"/>
      <c r="L671">
        <v>5</v>
      </c>
      <c r="M671">
        <v>1</v>
      </c>
      <c r="N671">
        <v>2</v>
      </c>
      <c r="P671" t="str">
        <f t="shared" si="20"/>
        <v>Not Applicable</v>
      </c>
      <c r="Q671">
        <v>11</v>
      </c>
      <c r="R671" t="s">
        <v>1035</v>
      </c>
      <c r="S671">
        <v>11</v>
      </c>
      <c r="T671" t="s">
        <v>1035</v>
      </c>
      <c r="U671" t="str">
        <f t="shared" si="21"/>
        <v>No</v>
      </c>
    </row>
    <row r="672" spans="1:21" x14ac:dyDescent="0.3">
      <c r="A672" t="s">
        <v>967</v>
      </c>
      <c r="B672" t="s">
        <v>15</v>
      </c>
      <c r="C672" t="s">
        <v>841</v>
      </c>
      <c r="D672" s="1">
        <v>45959</v>
      </c>
      <c r="E672" s="1"/>
      <c r="F672" s="1"/>
      <c r="G672" s="1"/>
      <c r="H672" t="s">
        <v>752</v>
      </c>
      <c r="I672">
        <v>1</v>
      </c>
      <c r="J672" t="s">
        <v>753</v>
      </c>
      <c r="K672" s="1"/>
      <c r="P672" t="str">
        <f t="shared" si="20"/>
        <v>Not Applicable</v>
      </c>
      <c r="R672" t="s">
        <v>1036</v>
      </c>
      <c r="T672" t="s">
        <v>1036</v>
      </c>
      <c r="U672" t="str">
        <f t="shared" si="21"/>
        <v>No</v>
      </c>
    </row>
    <row r="673" spans="1:21" x14ac:dyDescent="0.3">
      <c r="A673" t="s">
        <v>377</v>
      </c>
      <c r="B673" t="s">
        <v>27</v>
      </c>
      <c r="C673" t="s">
        <v>16</v>
      </c>
      <c r="D673" s="1">
        <v>45959</v>
      </c>
      <c r="E673" s="1">
        <v>45960</v>
      </c>
      <c r="F673" s="1">
        <v>45965</v>
      </c>
      <c r="G673" s="1">
        <v>45970</v>
      </c>
      <c r="H673" t="s">
        <v>17</v>
      </c>
      <c r="I673">
        <v>0</v>
      </c>
      <c r="J673" t="s">
        <v>18</v>
      </c>
      <c r="K673" s="1">
        <v>45995</v>
      </c>
      <c r="L673">
        <v>1</v>
      </c>
      <c r="M673">
        <v>5</v>
      </c>
      <c r="N673">
        <v>5</v>
      </c>
      <c r="O673">
        <v>0</v>
      </c>
      <c r="P673" t="str">
        <f t="shared" si="20"/>
        <v>Detractor</v>
      </c>
      <c r="Q673">
        <v>10</v>
      </c>
      <c r="R673" t="s">
        <v>1034</v>
      </c>
      <c r="S673">
        <v>11</v>
      </c>
      <c r="T673" t="s">
        <v>1035</v>
      </c>
      <c r="U673" t="str">
        <f t="shared" si="21"/>
        <v>Yes</v>
      </c>
    </row>
    <row r="674" spans="1:21" x14ac:dyDescent="0.3">
      <c r="A674" t="s">
        <v>723</v>
      </c>
      <c r="B674" t="s">
        <v>27</v>
      </c>
      <c r="C674" t="s">
        <v>474</v>
      </c>
      <c r="D674" s="1">
        <v>45940</v>
      </c>
      <c r="E674" s="1">
        <v>45945</v>
      </c>
      <c r="F674" s="1">
        <v>45946</v>
      </c>
      <c r="G674" s="1">
        <v>45948</v>
      </c>
      <c r="H674" t="s">
        <v>17</v>
      </c>
      <c r="I674">
        <v>0</v>
      </c>
      <c r="J674" t="s">
        <v>18</v>
      </c>
      <c r="K674" s="1">
        <v>45959</v>
      </c>
      <c r="L674">
        <v>5</v>
      </c>
      <c r="M674">
        <v>1</v>
      </c>
      <c r="N674">
        <v>2</v>
      </c>
      <c r="O674">
        <v>6</v>
      </c>
      <c r="P674" t="str">
        <f t="shared" si="20"/>
        <v>Detractor</v>
      </c>
      <c r="Q674">
        <v>10</v>
      </c>
      <c r="R674" t="s">
        <v>1034</v>
      </c>
      <c r="S674">
        <v>10</v>
      </c>
      <c r="T674" t="s">
        <v>1034</v>
      </c>
      <c r="U674" t="str">
        <f t="shared" si="21"/>
        <v>Yes</v>
      </c>
    </row>
    <row r="675" spans="1:21" x14ac:dyDescent="0.3">
      <c r="A675" t="s">
        <v>610</v>
      </c>
      <c r="B675" t="s">
        <v>29</v>
      </c>
      <c r="C675" t="s">
        <v>474</v>
      </c>
      <c r="D675" s="1">
        <v>45955</v>
      </c>
      <c r="E675" s="1">
        <v>45957</v>
      </c>
      <c r="F675" s="1">
        <v>45959</v>
      </c>
      <c r="G675" s="1">
        <v>45964</v>
      </c>
      <c r="H675" t="s">
        <v>17</v>
      </c>
      <c r="I675">
        <v>0</v>
      </c>
      <c r="J675" t="s">
        <v>18</v>
      </c>
      <c r="K675" s="1">
        <v>45994</v>
      </c>
      <c r="L675">
        <v>2</v>
      </c>
      <c r="M675">
        <v>2</v>
      </c>
      <c r="N675">
        <v>5</v>
      </c>
      <c r="O675">
        <v>10</v>
      </c>
      <c r="P675" t="str">
        <f t="shared" si="20"/>
        <v>Promoter</v>
      </c>
      <c r="Q675">
        <v>10</v>
      </c>
      <c r="R675" t="s">
        <v>1034</v>
      </c>
      <c r="S675">
        <v>11</v>
      </c>
      <c r="T675" t="s">
        <v>1035</v>
      </c>
      <c r="U675" t="str">
        <f t="shared" si="21"/>
        <v>Yes</v>
      </c>
    </row>
    <row r="676" spans="1:21" x14ac:dyDescent="0.3">
      <c r="A676" t="s">
        <v>611</v>
      </c>
      <c r="B676" t="s">
        <v>27</v>
      </c>
      <c r="C676" t="s">
        <v>474</v>
      </c>
      <c r="D676" s="1">
        <v>45956</v>
      </c>
      <c r="E676" s="1">
        <v>45960</v>
      </c>
      <c r="F676" s="1">
        <v>45962</v>
      </c>
      <c r="G676" s="1">
        <v>45966</v>
      </c>
      <c r="H676" t="s">
        <v>17</v>
      </c>
      <c r="I676">
        <v>0</v>
      </c>
      <c r="J676" t="s">
        <v>18</v>
      </c>
      <c r="K676" s="1">
        <v>45994</v>
      </c>
      <c r="L676">
        <v>4</v>
      </c>
      <c r="M676">
        <v>2</v>
      </c>
      <c r="N676">
        <v>4</v>
      </c>
      <c r="O676">
        <v>8</v>
      </c>
      <c r="P676" t="str">
        <f t="shared" si="20"/>
        <v>Passive</v>
      </c>
      <c r="Q676">
        <v>10</v>
      </c>
      <c r="R676" t="s">
        <v>1034</v>
      </c>
      <c r="S676">
        <v>11</v>
      </c>
      <c r="T676" t="s">
        <v>1035</v>
      </c>
      <c r="U676" t="str">
        <f t="shared" si="21"/>
        <v>Yes</v>
      </c>
    </row>
    <row r="677" spans="1:21" x14ac:dyDescent="0.3">
      <c r="A677" t="s">
        <v>968</v>
      </c>
      <c r="B677" t="s">
        <v>22</v>
      </c>
      <c r="C677" t="s">
        <v>841</v>
      </c>
      <c r="D677" s="1">
        <v>45938</v>
      </c>
      <c r="E677" s="1"/>
      <c r="F677" s="1"/>
      <c r="G677" s="1"/>
      <c r="H677" t="s">
        <v>752</v>
      </c>
      <c r="I677">
        <v>1</v>
      </c>
      <c r="J677" t="s">
        <v>753</v>
      </c>
      <c r="K677" s="1"/>
      <c r="P677" t="str">
        <f t="shared" si="20"/>
        <v>Not Applicable</v>
      </c>
      <c r="R677" t="s">
        <v>1036</v>
      </c>
      <c r="T677" t="s">
        <v>1036</v>
      </c>
      <c r="U677" t="str">
        <f t="shared" si="21"/>
        <v>No</v>
      </c>
    </row>
    <row r="678" spans="1:21" x14ac:dyDescent="0.3">
      <c r="A678" t="s">
        <v>97</v>
      </c>
      <c r="B678" t="s">
        <v>27</v>
      </c>
      <c r="C678" t="s">
        <v>16</v>
      </c>
      <c r="D678" s="1">
        <v>45950</v>
      </c>
      <c r="E678" s="1">
        <v>45953</v>
      </c>
      <c r="F678" s="1">
        <v>45958</v>
      </c>
      <c r="G678" s="1">
        <v>45962</v>
      </c>
      <c r="H678" t="s">
        <v>17</v>
      </c>
      <c r="I678">
        <v>0</v>
      </c>
      <c r="J678" t="s">
        <v>18</v>
      </c>
      <c r="K678" s="1">
        <v>45990</v>
      </c>
      <c r="L678">
        <v>3</v>
      </c>
      <c r="M678">
        <v>5</v>
      </c>
      <c r="N678">
        <v>4</v>
      </c>
      <c r="O678">
        <v>10</v>
      </c>
      <c r="P678" t="str">
        <f t="shared" si="20"/>
        <v>Promoter</v>
      </c>
      <c r="Q678">
        <v>10</v>
      </c>
      <c r="R678" t="s">
        <v>1034</v>
      </c>
      <c r="S678">
        <v>11</v>
      </c>
      <c r="T678" t="s">
        <v>1035</v>
      </c>
      <c r="U678" t="str">
        <f t="shared" si="21"/>
        <v>Yes</v>
      </c>
    </row>
    <row r="679" spans="1:21" x14ac:dyDescent="0.3">
      <c r="A679" t="s">
        <v>969</v>
      </c>
      <c r="B679" t="s">
        <v>27</v>
      </c>
      <c r="C679" t="s">
        <v>841</v>
      </c>
      <c r="D679" s="1">
        <v>45956</v>
      </c>
      <c r="E679" s="1"/>
      <c r="F679" s="1"/>
      <c r="G679" s="1"/>
      <c r="H679" t="s">
        <v>752</v>
      </c>
      <c r="I679">
        <v>1</v>
      </c>
      <c r="J679" t="s">
        <v>758</v>
      </c>
      <c r="K679" s="1"/>
      <c r="P679" t="str">
        <f t="shared" si="20"/>
        <v>Not Applicable</v>
      </c>
      <c r="R679" t="s">
        <v>1036</v>
      </c>
      <c r="T679" t="s">
        <v>1036</v>
      </c>
      <c r="U679" t="str">
        <f t="shared" si="21"/>
        <v>No</v>
      </c>
    </row>
    <row r="680" spans="1:21" x14ac:dyDescent="0.3">
      <c r="A680" t="s">
        <v>821</v>
      </c>
      <c r="B680" t="s">
        <v>22</v>
      </c>
      <c r="C680" t="s">
        <v>16</v>
      </c>
      <c r="D680" s="1">
        <v>45942</v>
      </c>
      <c r="E680" s="1">
        <v>45945</v>
      </c>
      <c r="F680" s="1">
        <v>45949</v>
      </c>
      <c r="G680" s="1">
        <v>45953</v>
      </c>
      <c r="H680" t="s">
        <v>752</v>
      </c>
      <c r="I680">
        <v>1</v>
      </c>
      <c r="J680" t="s">
        <v>756</v>
      </c>
      <c r="K680" s="1"/>
      <c r="L680">
        <v>3</v>
      </c>
      <c r="M680">
        <v>4</v>
      </c>
      <c r="N680">
        <v>4</v>
      </c>
      <c r="P680" t="str">
        <f t="shared" si="20"/>
        <v>Not Applicable</v>
      </c>
      <c r="Q680">
        <v>10</v>
      </c>
      <c r="R680" t="s">
        <v>1034</v>
      </c>
      <c r="S680">
        <v>10</v>
      </c>
      <c r="T680" t="s">
        <v>1034</v>
      </c>
      <c r="U680" t="str">
        <f t="shared" si="21"/>
        <v>No</v>
      </c>
    </row>
    <row r="681" spans="1:21" x14ac:dyDescent="0.3">
      <c r="A681" t="s">
        <v>289</v>
      </c>
      <c r="B681" t="s">
        <v>15</v>
      </c>
      <c r="C681" t="s">
        <v>16</v>
      </c>
      <c r="D681" s="1">
        <v>45938</v>
      </c>
      <c r="E681" s="1">
        <v>45942</v>
      </c>
      <c r="F681" s="1">
        <v>45945</v>
      </c>
      <c r="G681" s="1">
        <v>45947</v>
      </c>
      <c r="H681" t="s">
        <v>17</v>
      </c>
      <c r="I681">
        <v>0</v>
      </c>
      <c r="J681" t="s">
        <v>18</v>
      </c>
      <c r="K681" s="1">
        <v>45976</v>
      </c>
      <c r="L681">
        <v>4</v>
      </c>
      <c r="M681">
        <v>3</v>
      </c>
      <c r="N681">
        <v>2</v>
      </c>
      <c r="O681">
        <v>10</v>
      </c>
      <c r="P681" t="str">
        <f t="shared" si="20"/>
        <v>Promoter</v>
      </c>
      <c r="Q681">
        <v>10</v>
      </c>
      <c r="R681" t="s">
        <v>1034</v>
      </c>
      <c r="S681">
        <v>10</v>
      </c>
      <c r="T681" t="s">
        <v>1034</v>
      </c>
      <c r="U681" t="str">
        <f t="shared" si="21"/>
        <v>Yes</v>
      </c>
    </row>
    <row r="682" spans="1:21" x14ac:dyDescent="0.3">
      <c r="A682" t="s">
        <v>378</v>
      </c>
      <c r="B682" t="s">
        <v>15</v>
      </c>
      <c r="C682" t="s">
        <v>16</v>
      </c>
      <c r="D682" s="1">
        <v>45951</v>
      </c>
      <c r="E682" s="1">
        <v>45952</v>
      </c>
      <c r="F682" s="1">
        <v>45953</v>
      </c>
      <c r="G682" s="1">
        <v>45959</v>
      </c>
      <c r="H682" t="s">
        <v>17</v>
      </c>
      <c r="I682">
        <v>0</v>
      </c>
      <c r="J682" t="s">
        <v>18</v>
      </c>
      <c r="K682" s="1">
        <v>45971</v>
      </c>
      <c r="L682">
        <v>1</v>
      </c>
      <c r="M682">
        <v>1</v>
      </c>
      <c r="N682">
        <v>6</v>
      </c>
      <c r="O682">
        <v>2</v>
      </c>
      <c r="P682" t="str">
        <f t="shared" si="20"/>
        <v>Detractor</v>
      </c>
      <c r="Q682">
        <v>10</v>
      </c>
      <c r="R682" t="s">
        <v>1034</v>
      </c>
      <c r="S682">
        <v>10</v>
      </c>
      <c r="T682" t="s">
        <v>1034</v>
      </c>
      <c r="U682" t="str">
        <f t="shared" si="21"/>
        <v>Yes</v>
      </c>
    </row>
    <row r="683" spans="1:21" x14ac:dyDescent="0.3">
      <c r="A683" t="s">
        <v>194</v>
      </c>
      <c r="B683" t="s">
        <v>22</v>
      </c>
      <c r="C683" t="s">
        <v>16</v>
      </c>
      <c r="D683" s="1">
        <v>45937</v>
      </c>
      <c r="E683" s="1">
        <v>45942</v>
      </c>
      <c r="F683" s="1">
        <v>45943</v>
      </c>
      <c r="G683" s="1">
        <v>45948</v>
      </c>
      <c r="H683" t="s">
        <v>17</v>
      </c>
      <c r="I683">
        <v>0</v>
      </c>
      <c r="J683" t="s">
        <v>18</v>
      </c>
      <c r="K683" s="1">
        <v>45973</v>
      </c>
      <c r="L683">
        <v>5</v>
      </c>
      <c r="M683">
        <v>1</v>
      </c>
      <c r="N683">
        <v>5</v>
      </c>
      <c r="O683">
        <v>9</v>
      </c>
      <c r="P683" t="str">
        <f t="shared" si="20"/>
        <v>Promoter</v>
      </c>
      <c r="Q683">
        <v>10</v>
      </c>
      <c r="R683" t="s">
        <v>1034</v>
      </c>
      <c r="S683">
        <v>10</v>
      </c>
      <c r="T683" t="s">
        <v>1034</v>
      </c>
      <c r="U683" t="str">
        <f t="shared" si="21"/>
        <v>Yes</v>
      </c>
    </row>
    <row r="684" spans="1:21" x14ac:dyDescent="0.3">
      <c r="A684" t="s">
        <v>612</v>
      </c>
      <c r="B684" t="s">
        <v>29</v>
      </c>
      <c r="C684" t="s">
        <v>474</v>
      </c>
      <c r="D684" s="1">
        <v>45950</v>
      </c>
      <c r="E684" s="1">
        <v>45952</v>
      </c>
      <c r="F684" s="1">
        <v>45955</v>
      </c>
      <c r="G684" s="1">
        <v>45957</v>
      </c>
      <c r="H684" t="s">
        <v>17</v>
      </c>
      <c r="I684">
        <v>0</v>
      </c>
      <c r="J684" t="s">
        <v>18</v>
      </c>
      <c r="K684" s="1">
        <v>45973</v>
      </c>
      <c r="L684">
        <v>2</v>
      </c>
      <c r="M684">
        <v>3</v>
      </c>
      <c r="N684">
        <v>2</v>
      </c>
      <c r="O684">
        <v>8</v>
      </c>
      <c r="P684" t="str">
        <f t="shared" si="20"/>
        <v>Passive</v>
      </c>
      <c r="Q684">
        <v>10</v>
      </c>
      <c r="R684" t="s">
        <v>1034</v>
      </c>
      <c r="S684">
        <v>10</v>
      </c>
      <c r="T684" t="s">
        <v>1034</v>
      </c>
      <c r="U684" t="str">
        <f t="shared" si="21"/>
        <v>Yes</v>
      </c>
    </row>
    <row r="685" spans="1:21" x14ac:dyDescent="0.3">
      <c r="A685" t="s">
        <v>970</v>
      </c>
      <c r="B685" t="s">
        <v>27</v>
      </c>
      <c r="C685" t="s">
        <v>841</v>
      </c>
      <c r="D685" s="1">
        <v>45939</v>
      </c>
      <c r="E685" s="1"/>
      <c r="F685" s="1"/>
      <c r="G685" s="1"/>
      <c r="H685" t="s">
        <v>752</v>
      </c>
      <c r="I685">
        <v>1</v>
      </c>
      <c r="J685" t="s">
        <v>765</v>
      </c>
      <c r="K685" s="1"/>
      <c r="P685" t="str">
        <f t="shared" si="20"/>
        <v>Not Applicable</v>
      </c>
      <c r="R685" t="s">
        <v>1036</v>
      </c>
      <c r="T685" t="s">
        <v>1036</v>
      </c>
      <c r="U685" t="str">
        <f t="shared" si="21"/>
        <v>No</v>
      </c>
    </row>
    <row r="686" spans="1:21" x14ac:dyDescent="0.3">
      <c r="A686" t="s">
        <v>971</v>
      </c>
      <c r="B686" t="s">
        <v>22</v>
      </c>
      <c r="C686" t="s">
        <v>841</v>
      </c>
      <c r="D686" s="1">
        <v>45952</v>
      </c>
      <c r="E686" s="1"/>
      <c r="F686" s="1"/>
      <c r="G686" s="1"/>
      <c r="H686" t="s">
        <v>752</v>
      </c>
      <c r="I686">
        <v>1</v>
      </c>
      <c r="J686" t="s">
        <v>765</v>
      </c>
      <c r="K686" s="1"/>
      <c r="P686" t="str">
        <f t="shared" si="20"/>
        <v>Not Applicable</v>
      </c>
      <c r="R686" t="s">
        <v>1036</v>
      </c>
      <c r="T686" t="s">
        <v>1036</v>
      </c>
      <c r="U686" t="str">
        <f t="shared" si="21"/>
        <v>No</v>
      </c>
    </row>
    <row r="687" spans="1:21" x14ac:dyDescent="0.3">
      <c r="A687" t="s">
        <v>195</v>
      </c>
      <c r="B687" t="s">
        <v>27</v>
      </c>
      <c r="C687" t="s">
        <v>16</v>
      </c>
      <c r="D687" s="1">
        <v>45955</v>
      </c>
      <c r="E687" s="1">
        <v>45960</v>
      </c>
      <c r="F687" s="1">
        <v>45965</v>
      </c>
      <c r="G687" s="1">
        <v>45969</v>
      </c>
      <c r="H687" t="s">
        <v>17</v>
      </c>
      <c r="I687">
        <v>0</v>
      </c>
      <c r="J687" t="s">
        <v>18</v>
      </c>
      <c r="K687" s="1">
        <v>45995</v>
      </c>
      <c r="L687">
        <v>5</v>
      </c>
      <c r="M687">
        <v>5</v>
      </c>
      <c r="N687">
        <v>4</v>
      </c>
      <c r="O687">
        <v>5</v>
      </c>
      <c r="P687" t="str">
        <f t="shared" si="20"/>
        <v>Detractor</v>
      </c>
      <c r="Q687">
        <v>10</v>
      </c>
      <c r="R687" t="s">
        <v>1034</v>
      </c>
      <c r="S687">
        <v>11</v>
      </c>
      <c r="T687" t="s">
        <v>1035</v>
      </c>
      <c r="U687" t="str">
        <f t="shared" si="21"/>
        <v>Yes</v>
      </c>
    </row>
    <row r="688" spans="1:21" x14ac:dyDescent="0.3">
      <c r="A688" t="s">
        <v>972</v>
      </c>
      <c r="B688" t="s">
        <v>29</v>
      </c>
      <c r="C688" t="s">
        <v>841</v>
      </c>
      <c r="D688" s="1">
        <v>45954</v>
      </c>
      <c r="E688" s="1"/>
      <c r="F688" s="1"/>
      <c r="G688" s="1"/>
      <c r="H688" t="s">
        <v>752</v>
      </c>
      <c r="I688">
        <v>1</v>
      </c>
      <c r="J688" t="s">
        <v>753</v>
      </c>
      <c r="K688" s="1"/>
      <c r="P688" t="str">
        <f t="shared" si="20"/>
        <v>Not Applicable</v>
      </c>
      <c r="R688" t="s">
        <v>1036</v>
      </c>
      <c r="T688" t="s">
        <v>1036</v>
      </c>
      <c r="U688" t="str">
        <f t="shared" si="21"/>
        <v>No</v>
      </c>
    </row>
    <row r="689" spans="1:21" x14ac:dyDescent="0.3">
      <c r="A689" t="s">
        <v>973</v>
      </c>
      <c r="B689" t="s">
        <v>27</v>
      </c>
      <c r="C689" t="s">
        <v>841</v>
      </c>
      <c r="D689" s="1">
        <v>45955</v>
      </c>
      <c r="E689" s="1"/>
      <c r="F689" s="1"/>
      <c r="G689" s="1"/>
      <c r="H689" t="s">
        <v>752</v>
      </c>
      <c r="I689">
        <v>1</v>
      </c>
      <c r="J689" t="s">
        <v>758</v>
      </c>
      <c r="K689" s="1"/>
      <c r="P689" t="str">
        <f t="shared" si="20"/>
        <v>Not Applicable</v>
      </c>
      <c r="R689" t="s">
        <v>1036</v>
      </c>
      <c r="T689" t="s">
        <v>1036</v>
      </c>
      <c r="U689" t="str">
        <f t="shared" si="21"/>
        <v>No</v>
      </c>
    </row>
    <row r="690" spans="1:21" x14ac:dyDescent="0.3">
      <c r="A690" t="s">
        <v>98</v>
      </c>
      <c r="B690" t="s">
        <v>22</v>
      </c>
      <c r="C690" t="s">
        <v>16</v>
      </c>
      <c r="D690" s="1">
        <v>45952</v>
      </c>
      <c r="E690" s="1">
        <v>45955</v>
      </c>
      <c r="F690" s="1">
        <v>45960</v>
      </c>
      <c r="G690" s="1">
        <v>45963</v>
      </c>
      <c r="H690" t="s">
        <v>17</v>
      </c>
      <c r="I690">
        <v>0</v>
      </c>
      <c r="J690" t="s">
        <v>18</v>
      </c>
      <c r="K690" s="1">
        <v>45976</v>
      </c>
      <c r="L690">
        <v>3</v>
      </c>
      <c r="M690">
        <v>5</v>
      </c>
      <c r="N690">
        <v>3</v>
      </c>
      <c r="O690">
        <v>5</v>
      </c>
      <c r="P690" t="str">
        <f t="shared" si="20"/>
        <v>Detractor</v>
      </c>
      <c r="Q690">
        <v>10</v>
      </c>
      <c r="R690" t="s">
        <v>1034</v>
      </c>
      <c r="S690">
        <v>11</v>
      </c>
      <c r="T690" t="s">
        <v>1035</v>
      </c>
      <c r="U690" t="str">
        <f t="shared" si="21"/>
        <v>Yes</v>
      </c>
    </row>
    <row r="691" spans="1:21" x14ac:dyDescent="0.3">
      <c r="A691" t="s">
        <v>613</v>
      </c>
      <c r="B691" t="s">
        <v>27</v>
      </c>
      <c r="C691" t="s">
        <v>474</v>
      </c>
      <c r="D691" s="1">
        <v>45952</v>
      </c>
      <c r="E691" s="1">
        <v>45956</v>
      </c>
      <c r="F691" s="1">
        <v>45957</v>
      </c>
      <c r="G691" s="1">
        <v>45961</v>
      </c>
      <c r="H691" t="s">
        <v>17</v>
      </c>
      <c r="I691">
        <v>0</v>
      </c>
      <c r="J691" t="s">
        <v>18</v>
      </c>
      <c r="K691" s="1">
        <v>45983</v>
      </c>
      <c r="L691">
        <v>4</v>
      </c>
      <c r="M691">
        <v>1</v>
      </c>
      <c r="N691">
        <v>4</v>
      </c>
      <c r="O691">
        <v>2</v>
      </c>
      <c r="P691" t="str">
        <f t="shared" si="20"/>
        <v>Detractor</v>
      </c>
      <c r="Q691">
        <v>10</v>
      </c>
      <c r="R691" t="s">
        <v>1034</v>
      </c>
      <c r="S691">
        <v>10</v>
      </c>
      <c r="T691" t="s">
        <v>1034</v>
      </c>
      <c r="U691" t="str">
        <f t="shared" si="21"/>
        <v>Yes</v>
      </c>
    </row>
    <row r="692" spans="1:21" x14ac:dyDescent="0.3">
      <c r="A692" t="s">
        <v>99</v>
      </c>
      <c r="B692" t="s">
        <v>15</v>
      </c>
      <c r="C692" t="s">
        <v>16</v>
      </c>
      <c r="D692" s="1">
        <v>45957</v>
      </c>
      <c r="E692" s="1">
        <v>45960</v>
      </c>
      <c r="F692" s="1">
        <v>45962</v>
      </c>
      <c r="G692" s="1">
        <v>45968</v>
      </c>
      <c r="H692" t="s">
        <v>17</v>
      </c>
      <c r="I692">
        <v>0</v>
      </c>
      <c r="J692" t="s">
        <v>18</v>
      </c>
      <c r="K692" s="1">
        <v>45994</v>
      </c>
      <c r="L692">
        <v>3</v>
      </c>
      <c r="M692">
        <v>2</v>
      </c>
      <c r="N692">
        <v>6</v>
      </c>
      <c r="O692">
        <v>7</v>
      </c>
      <c r="P692" t="str">
        <f t="shared" si="20"/>
        <v>Passive</v>
      </c>
      <c r="Q692">
        <v>10</v>
      </c>
      <c r="R692" t="s">
        <v>1034</v>
      </c>
      <c r="S692">
        <v>11</v>
      </c>
      <c r="T692" t="s">
        <v>1035</v>
      </c>
      <c r="U692" t="str">
        <f t="shared" si="21"/>
        <v>Yes</v>
      </c>
    </row>
    <row r="693" spans="1:21" x14ac:dyDescent="0.3">
      <c r="A693" t="s">
        <v>100</v>
      </c>
      <c r="B693" t="s">
        <v>29</v>
      </c>
      <c r="C693" t="s">
        <v>16</v>
      </c>
      <c r="D693" s="1">
        <v>45935</v>
      </c>
      <c r="E693" s="1">
        <v>45938</v>
      </c>
      <c r="F693" s="1">
        <v>45941</v>
      </c>
      <c r="G693" s="1">
        <v>45945</v>
      </c>
      <c r="H693" t="s">
        <v>17</v>
      </c>
      <c r="I693">
        <v>0</v>
      </c>
      <c r="J693" t="s">
        <v>18</v>
      </c>
      <c r="K693" s="1">
        <v>45964</v>
      </c>
      <c r="L693">
        <v>3</v>
      </c>
      <c r="M693">
        <v>3</v>
      </c>
      <c r="N693">
        <v>4</v>
      </c>
      <c r="O693">
        <v>3</v>
      </c>
      <c r="P693" t="str">
        <f t="shared" si="20"/>
        <v>Detractor</v>
      </c>
      <c r="Q693">
        <v>10</v>
      </c>
      <c r="R693" t="s">
        <v>1034</v>
      </c>
      <c r="S693">
        <v>10</v>
      </c>
      <c r="T693" t="s">
        <v>1034</v>
      </c>
      <c r="U693" t="str">
        <f t="shared" si="21"/>
        <v>Yes</v>
      </c>
    </row>
    <row r="694" spans="1:21" x14ac:dyDescent="0.3">
      <c r="A694" t="s">
        <v>614</v>
      </c>
      <c r="B694" t="s">
        <v>29</v>
      </c>
      <c r="C694" t="s">
        <v>474</v>
      </c>
      <c r="D694" s="1">
        <v>45951</v>
      </c>
      <c r="E694" s="1">
        <v>45953</v>
      </c>
      <c r="F694" s="1">
        <v>45954</v>
      </c>
      <c r="G694" s="1">
        <v>45961</v>
      </c>
      <c r="H694" t="s">
        <v>17</v>
      </c>
      <c r="I694">
        <v>0</v>
      </c>
      <c r="J694" t="s">
        <v>18</v>
      </c>
      <c r="K694" s="1">
        <v>45984</v>
      </c>
      <c r="L694">
        <v>2</v>
      </c>
      <c r="M694">
        <v>1</v>
      </c>
      <c r="N694">
        <v>7</v>
      </c>
      <c r="O694">
        <v>8</v>
      </c>
      <c r="P694" t="str">
        <f t="shared" si="20"/>
        <v>Passive</v>
      </c>
      <c r="Q694">
        <v>10</v>
      </c>
      <c r="R694" t="s">
        <v>1034</v>
      </c>
      <c r="S694">
        <v>10</v>
      </c>
      <c r="T694" t="s">
        <v>1034</v>
      </c>
      <c r="U694" t="str">
        <f t="shared" si="21"/>
        <v>Yes</v>
      </c>
    </row>
    <row r="695" spans="1:21" x14ac:dyDescent="0.3">
      <c r="A695" t="s">
        <v>615</v>
      </c>
      <c r="B695" t="s">
        <v>29</v>
      </c>
      <c r="C695" t="s">
        <v>474</v>
      </c>
      <c r="D695" s="1">
        <v>45934</v>
      </c>
      <c r="E695" s="1">
        <v>45935</v>
      </c>
      <c r="F695" s="1">
        <v>45937</v>
      </c>
      <c r="G695" s="1">
        <v>45943</v>
      </c>
      <c r="H695" t="s">
        <v>17</v>
      </c>
      <c r="I695">
        <v>0</v>
      </c>
      <c r="J695" t="s">
        <v>18</v>
      </c>
      <c r="K695" s="1">
        <v>45954</v>
      </c>
      <c r="L695">
        <v>1</v>
      </c>
      <c r="M695">
        <v>2</v>
      </c>
      <c r="N695">
        <v>6</v>
      </c>
      <c r="O695">
        <v>7</v>
      </c>
      <c r="P695" t="str">
        <f t="shared" si="20"/>
        <v>Passive</v>
      </c>
      <c r="Q695">
        <v>10</v>
      </c>
      <c r="R695" t="s">
        <v>1034</v>
      </c>
      <c r="S695">
        <v>10</v>
      </c>
      <c r="T695" t="s">
        <v>1034</v>
      </c>
      <c r="U695" t="str">
        <f t="shared" si="21"/>
        <v>Yes</v>
      </c>
    </row>
    <row r="696" spans="1:21" x14ac:dyDescent="0.3">
      <c r="A696" t="s">
        <v>379</v>
      </c>
      <c r="B696" t="s">
        <v>22</v>
      </c>
      <c r="C696" t="s">
        <v>16</v>
      </c>
      <c r="D696" s="1">
        <v>45959</v>
      </c>
      <c r="E696" s="1">
        <v>45960</v>
      </c>
      <c r="F696" s="1">
        <v>45965</v>
      </c>
      <c r="G696" s="1">
        <v>45968</v>
      </c>
      <c r="H696" t="s">
        <v>17</v>
      </c>
      <c r="I696">
        <v>0</v>
      </c>
      <c r="J696" t="s">
        <v>18</v>
      </c>
      <c r="K696" s="1">
        <v>45982</v>
      </c>
      <c r="L696">
        <v>1</v>
      </c>
      <c r="M696">
        <v>5</v>
      </c>
      <c r="N696">
        <v>3</v>
      </c>
      <c r="O696">
        <v>2</v>
      </c>
      <c r="P696" t="str">
        <f t="shared" si="20"/>
        <v>Detractor</v>
      </c>
      <c r="Q696">
        <v>10</v>
      </c>
      <c r="R696" t="s">
        <v>1034</v>
      </c>
      <c r="S696">
        <v>11</v>
      </c>
      <c r="T696" t="s">
        <v>1035</v>
      </c>
      <c r="U696" t="str">
        <f t="shared" si="21"/>
        <v>Yes</v>
      </c>
    </row>
    <row r="697" spans="1:21" x14ac:dyDescent="0.3">
      <c r="A697" t="s">
        <v>616</v>
      </c>
      <c r="B697" t="s">
        <v>29</v>
      </c>
      <c r="C697" t="s">
        <v>474</v>
      </c>
      <c r="D697" s="1">
        <v>45951</v>
      </c>
      <c r="E697" s="1">
        <v>45953</v>
      </c>
      <c r="F697" s="1">
        <v>45955</v>
      </c>
      <c r="G697" s="1">
        <v>45960</v>
      </c>
      <c r="H697" t="s">
        <v>17</v>
      </c>
      <c r="I697">
        <v>0</v>
      </c>
      <c r="J697" t="s">
        <v>18</v>
      </c>
      <c r="K697" s="1">
        <v>45974</v>
      </c>
      <c r="L697">
        <v>2</v>
      </c>
      <c r="M697">
        <v>2</v>
      </c>
      <c r="N697">
        <v>5</v>
      </c>
      <c r="O697">
        <v>2</v>
      </c>
      <c r="P697" t="str">
        <f t="shared" si="20"/>
        <v>Detractor</v>
      </c>
      <c r="Q697">
        <v>10</v>
      </c>
      <c r="R697" t="s">
        <v>1034</v>
      </c>
      <c r="S697">
        <v>10</v>
      </c>
      <c r="T697" t="s">
        <v>1034</v>
      </c>
      <c r="U697" t="str">
        <f t="shared" si="21"/>
        <v>Yes</v>
      </c>
    </row>
    <row r="698" spans="1:21" x14ac:dyDescent="0.3">
      <c r="A698" t="s">
        <v>290</v>
      </c>
      <c r="B698" t="s">
        <v>15</v>
      </c>
      <c r="C698" t="s">
        <v>16</v>
      </c>
      <c r="D698" s="1">
        <v>45951</v>
      </c>
      <c r="E698" s="1">
        <v>45955</v>
      </c>
      <c r="F698" s="1">
        <v>45959</v>
      </c>
      <c r="G698" s="1">
        <v>45963</v>
      </c>
      <c r="H698" t="s">
        <v>17</v>
      </c>
      <c r="I698">
        <v>0</v>
      </c>
      <c r="J698" t="s">
        <v>18</v>
      </c>
      <c r="K698" s="1">
        <v>45979</v>
      </c>
      <c r="L698">
        <v>4</v>
      </c>
      <c r="M698">
        <v>4</v>
      </c>
      <c r="N698">
        <v>4</v>
      </c>
      <c r="O698">
        <v>9</v>
      </c>
      <c r="P698" t="str">
        <f t="shared" si="20"/>
        <v>Promoter</v>
      </c>
      <c r="Q698">
        <v>10</v>
      </c>
      <c r="R698" t="s">
        <v>1034</v>
      </c>
      <c r="S698">
        <v>11</v>
      </c>
      <c r="T698" t="s">
        <v>1035</v>
      </c>
      <c r="U698" t="str">
        <f t="shared" si="21"/>
        <v>Yes</v>
      </c>
    </row>
    <row r="699" spans="1:21" x14ac:dyDescent="0.3">
      <c r="A699" t="s">
        <v>974</v>
      </c>
      <c r="B699" t="s">
        <v>22</v>
      </c>
      <c r="C699" t="s">
        <v>841</v>
      </c>
      <c r="D699" s="1">
        <v>45932</v>
      </c>
      <c r="E699" s="1"/>
      <c r="F699" s="1"/>
      <c r="G699" s="1"/>
      <c r="H699" t="s">
        <v>752</v>
      </c>
      <c r="I699">
        <v>1</v>
      </c>
      <c r="J699" t="s">
        <v>765</v>
      </c>
      <c r="K699" s="1"/>
      <c r="P699" t="str">
        <f t="shared" si="20"/>
        <v>Not Applicable</v>
      </c>
      <c r="R699" t="s">
        <v>1036</v>
      </c>
      <c r="T699" t="s">
        <v>1036</v>
      </c>
      <c r="U699" t="str">
        <f t="shared" si="21"/>
        <v>No</v>
      </c>
    </row>
    <row r="700" spans="1:21" x14ac:dyDescent="0.3">
      <c r="A700" t="s">
        <v>975</v>
      </c>
      <c r="B700" t="s">
        <v>15</v>
      </c>
      <c r="C700" t="s">
        <v>841</v>
      </c>
      <c r="D700" s="1">
        <v>45940</v>
      </c>
      <c r="E700" s="1"/>
      <c r="F700" s="1"/>
      <c r="G700" s="1"/>
      <c r="H700" t="s">
        <v>752</v>
      </c>
      <c r="I700">
        <v>1</v>
      </c>
      <c r="J700" t="s">
        <v>765</v>
      </c>
      <c r="K700" s="1"/>
      <c r="P700" t="str">
        <f t="shared" si="20"/>
        <v>Not Applicable</v>
      </c>
      <c r="R700" t="s">
        <v>1036</v>
      </c>
      <c r="T700" t="s">
        <v>1036</v>
      </c>
      <c r="U700" t="str">
        <f t="shared" si="21"/>
        <v>No</v>
      </c>
    </row>
    <row r="701" spans="1:21" x14ac:dyDescent="0.3">
      <c r="A701" t="s">
        <v>724</v>
      </c>
      <c r="B701" t="s">
        <v>27</v>
      </c>
      <c r="C701" t="s">
        <v>474</v>
      </c>
      <c r="D701" s="1">
        <v>45956</v>
      </c>
      <c r="E701" s="1">
        <v>45961</v>
      </c>
      <c r="F701" s="1">
        <v>45962</v>
      </c>
      <c r="G701" s="1">
        <v>45968</v>
      </c>
      <c r="H701" t="s">
        <v>17</v>
      </c>
      <c r="I701">
        <v>0</v>
      </c>
      <c r="J701" t="s">
        <v>18</v>
      </c>
      <c r="K701" s="1">
        <v>45988</v>
      </c>
      <c r="L701">
        <v>5</v>
      </c>
      <c r="M701">
        <v>1</v>
      </c>
      <c r="N701">
        <v>6</v>
      </c>
      <c r="O701">
        <v>7</v>
      </c>
      <c r="P701" t="str">
        <f t="shared" si="20"/>
        <v>Passive</v>
      </c>
      <c r="Q701">
        <v>10</v>
      </c>
      <c r="R701" t="s">
        <v>1034</v>
      </c>
      <c r="S701">
        <v>11</v>
      </c>
      <c r="T701" t="s">
        <v>1035</v>
      </c>
      <c r="U701" t="str">
        <f t="shared" si="21"/>
        <v>Yes</v>
      </c>
    </row>
    <row r="702" spans="1:21" x14ac:dyDescent="0.3">
      <c r="A702" t="s">
        <v>976</v>
      </c>
      <c r="B702" t="s">
        <v>27</v>
      </c>
      <c r="C702" t="s">
        <v>841</v>
      </c>
      <c r="D702" s="1">
        <v>45945</v>
      </c>
      <c r="E702" s="1"/>
      <c r="F702" s="1"/>
      <c r="G702" s="1"/>
      <c r="H702" t="s">
        <v>752</v>
      </c>
      <c r="I702">
        <v>1</v>
      </c>
      <c r="J702" t="s">
        <v>756</v>
      </c>
      <c r="K702" s="1"/>
      <c r="P702" t="str">
        <f t="shared" si="20"/>
        <v>Not Applicable</v>
      </c>
      <c r="R702" t="s">
        <v>1036</v>
      </c>
      <c r="T702" t="s">
        <v>1036</v>
      </c>
      <c r="U702" t="str">
        <f t="shared" si="21"/>
        <v>No</v>
      </c>
    </row>
    <row r="703" spans="1:21" x14ac:dyDescent="0.3">
      <c r="A703" t="s">
        <v>617</v>
      </c>
      <c r="B703" t="s">
        <v>27</v>
      </c>
      <c r="C703" t="s">
        <v>474</v>
      </c>
      <c r="D703" s="1">
        <v>45932</v>
      </c>
      <c r="E703" s="1">
        <v>45936</v>
      </c>
      <c r="F703" s="1">
        <v>45939</v>
      </c>
      <c r="G703" s="1">
        <v>45944</v>
      </c>
      <c r="H703" t="s">
        <v>17</v>
      </c>
      <c r="I703">
        <v>0</v>
      </c>
      <c r="J703" t="s">
        <v>18</v>
      </c>
      <c r="K703" s="1">
        <v>45967</v>
      </c>
      <c r="L703">
        <v>4</v>
      </c>
      <c r="M703">
        <v>3</v>
      </c>
      <c r="N703">
        <v>5</v>
      </c>
      <c r="O703">
        <v>9</v>
      </c>
      <c r="P703" t="str">
        <f t="shared" si="20"/>
        <v>Promoter</v>
      </c>
      <c r="Q703">
        <v>10</v>
      </c>
      <c r="R703" t="s">
        <v>1034</v>
      </c>
      <c r="S703">
        <v>10</v>
      </c>
      <c r="T703" t="s">
        <v>1034</v>
      </c>
      <c r="U703" t="str">
        <f t="shared" si="21"/>
        <v>Yes</v>
      </c>
    </row>
    <row r="704" spans="1:21" x14ac:dyDescent="0.3">
      <c r="A704" t="s">
        <v>822</v>
      </c>
      <c r="B704" t="s">
        <v>27</v>
      </c>
      <c r="C704" t="s">
        <v>474</v>
      </c>
      <c r="D704" s="1">
        <v>45949</v>
      </c>
      <c r="E704" s="1">
        <v>45954</v>
      </c>
      <c r="F704" s="1">
        <v>45956</v>
      </c>
      <c r="G704" s="1">
        <v>45959</v>
      </c>
      <c r="H704" t="s">
        <v>752</v>
      </c>
      <c r="I704">
        <v>1</v>
      </c>
      <c r="J704" t="s">
        <v>777</v>
      </c>
      <c r="K704" s="1"/>
      <c r="L704">
        <v>5</v>
      </c>
      <c r="M704">
        <v>2</v>
      </c>
      <c r="N704">
        <v>3</v>
      </c>
      <c r="P704" t="str">
        <f t="shared" si="20"/>
        <v>Not Applicable</v>
      </c>
      <c r="Q704">
        <v>10</v>
      </c>
      <c r="R704" t="s">
        <v>1034</v>
      </c>
      <c r="S704">
        <v>10</v>
      </c>
      <c r="T704" t="s">
        <v>1034</v>
      </c>
      <c r="U704" t="str">
        <f t="shared" si="21"/>
        <v>No</v>
      </c>
    </row>
    <row r="705" spans="1:21" x14ac:dyDescent="0.3">
      <c r="A705" t="s">
        <v>380</v>
      </c>
      <c r="B705" t="s">
        <v>15</v>
      </c>
      <c r="C705" t="s">
        <v>16</v>
      </c>
      <c r="D705" s="1">
        <v>45942</v>
      </c>
      <c r="E705" s="1">
        <v>45943</v>
      </c>
      <c r="F705" s="1">
        <v>45948</v>
      </c>
      <c r="G705" s="1">
        <v>45955</v>
      </c>
      <c r="H705" t="s">
        <v>17</v>
      </c>
      <c r="I705">
        <v>0</v>
      </c>
      <c r="J705" t="s">
        <v>18</v>
      </c>
      <c r="K705" s="1">
        <v>45983</v>
      </c>
      <c r="L705">
        <v>1</v>
      </c>
      <c r="M705">
        <v>5</v>
      </c>
      <c r="N705">
        <v>7</v>
      </c>
      <c r="O705">
        <v>2</v>
      </c>
      <c r="P705" t="str">
        <f t="shared" si="20"/>
        <v>Detractor</v>
      </c>
      <c r="Q705">
        <v>10</v>
      </c>
      <c r="R705" t="s">
        <v>1034</v>
      </c>
      <c r="S705">
        <v>10</v>
      </c>
      <c r="T705" t="s">
        <v>1034</v>
      </c>
      <c r="U705" t="str">
        <f t="shared" si="21"/>
        <v>Yes</v>
      </c>
    </row>
    <row r="706" spans="1:21" x14ac:dyDescent="0.3">
      <c r="A706" t="s">
        <v>101</v>
      </c>
      <c r="B706" t="s">
        <v>22</v>
      </c>
      <c r="C706" t="s">
        <v>16</v>
      </c>
      <c r="D706" s="1">
        <v>45954</v>
      </c>
      <c r="E706" s="1">
        <v>45957</v>
      </c>
      <c r="F706" s="1">
        <v>45959</v>
      </c>
      <c r="G706" s="1">
        <v>45965</v>
      </c>
      <c r="H706" t="s">
        <v>17</v>
      </c>
      <c r="I706">
        <v>0</v>
      </c>
      <c r="J706" t="s">
        <v>18</v>
      </c>
      <c r="K706" s="1">
        <v>45989</v>
      </c>
      <c r="L706">
        <v>3</v>
      </c>
      <c r="M706">
        <v>2</v>
      </c>
      <c r="N706">
        <v>6</v>
      </c>
      <c r="O706">
        <v>9</v>
      </c>
      <c r="P706" t="str">
        <f t="shared" ref="P706:P769" si="22">IF(ISBLANK(O706), "Not Applicable", IF(O706&gt;=9, "Promoter", IF(O706&gt;=7, "Passive", "Detractor")))</f>
        <v>Promoter</v>
      </c>
      <c r="Q706">
        <v>10</v>
      </c>
      <c r="R706" t="s">
        <v>1034</v>
      </c>
      <c r="S706">
        <v>11</v>
      </c>
      <c r="T706" t="s">
        <v>1035</v>
      </c>
      <c r="U706" t="str">
        <f t="shared" ref="U706:U769" si="23">IF(
H706="Yes","No",
IF(
OR(
C706="Hot",
AND(C706="Warm",NOT(ISBLANK(E706)))
),
"Yes",
"No"
)
)</f>
        <v>Yes</v>
      </c>
    </row>
    <row r="707" spans="1:21" x14ac:dyDescent="0.3">
      <c r="A707" t="s">
        <v>102</v>
      </c>
      <c r="B707" t="s">
        <v>22</v>
      </c>
      <c r="C707" t="s">
        <v>16</v>
      </c>
      <c r="D707" s="1">
        <v>45935</v>
      </c>
      <c r="E707" s="1">
        <v>45938</v>
      </c>
      <c r="F707" s="1">
        <v>45943</v>
      </c>
      <c r="G707" s="1">
        <v>45946</v>
      </c>
      <c r="H707" t="s">
        <v>17</v>
      </c>
      <c r="I707">
        <v>0</v>
      </c>
      <c r="J707" t="s">
        <v>18</v>
      </c>
      <c r="K707" s="1">
        <v>45960</v>
      </c>
      <c r="L707">
        <v>3</v>
      </c>
      <c r="M707">
        <v>5</v>
      </c>
      <c r="N707">
        <v>3</v>
      </c>
      <c r="O707">
        <v>2</v>
      </c>
      <c r="P707" t="str">
        <f t="shared" si="22"/>
        <v>Detractor</v>
      </c>
      <c r="Q707">
        <v>10</v>
      </c>
      <c r="R707" t="s">
        <v>1034</v>
      </c>
      <c r="S707">
        <v>10</v>
      </c>
      <c r="T707" t="s">
        <v>1034</v>
      </c>
      <c r="U707" t="str">
        <f t="shared" si="23"/>
        <v>Yes</v>
      </c>
    </row>
    <row r="708" spans="1:21" x14ac:dyDescent="0.3">
      <c r="A708" t="s">
        <v>291</v>
      </c>
      <c r="B708" t="s">
        <v>29</v>
      </c>
      <c r="C708" t="s">
        <v>16</v>
      </c>
      <c r="D708" s="1">
        <v>45933</v>
      </c>
      <c r="E708" s="1">
        <v>45937</v>
      </c>
      <c r="F708" s="1">
        <v>45941</v>
      </c>
      <c r="G708" s="1">
        <v>45944</v>
      </c>
      <c r="H708" t="s">
        <v>17</v>
      </c>
      <c r="I708">
        <v>0</v>
      </c>
      <c r="J708" t="s">
        <v>18</v>
      </c>
      <c r="K708" s="1">
        <v>45964</v>
      </c>
      <c r="L708">
        <v>4</v>
      </c>
      <c r="M708">
        <v>4</v>
      </c>
      <c r="N708">
        <v>3</v>
      </c>
      <c r="O708">
        <v>6</v>
      </c>
      <c r="P708" t="str">
        <f t="shared" si="22"/>
        <v>Detractor</v>
      </c>
      <c r="Q708">
        <v>10</v>
      </c>
      <c r="R708" t="s">
        <v>1034</v>
      </c>
      <c r="S708">
        <v>10</v>
      </c>
      <c r="T708" t="s">
        <v>1034</v>
      </c>
      <c r="U708" t="str">
        <f t="shared" si="23"/>
        <v>Yes</v>
      </c>
    </row>
    <row r="709" spans="1:21" x14ac:dyDescent="0.3">
      <c r="A709" t="s">
        <v>823</v>
      </c>
      <c r="B709" t="s">
        <v>15</v>
      </c>
      <c r="C709" t="s">
        <v>474</v>
      </c>
      <c r="D709" s="1">
        <v>45960</v>
      </c>
      <c r="E709" s="1">
        <v>45962</v>
      </c>
      <c r="F709" s="1">
        <v>45967</v>
      </c>
      <c r="G709" s="1">
        <v>45969</v>
      </c>
      <c r="H709" t="s">
        <v>752</v>
      </c>
      <c r="I709">
        <v>1</v>
      </c>
      <c r="J709" t="s">
        <v>753</v>
      </c>
      <c r="K709" s="1"/>
      <c r="L709">
        <v>2</v>
      </c>
      <c r="M709">
        <v>5</v>
      </c>
      <c r="N709">
        <v>2</v>
      </c>
      <c r="P709" t="str">
        <f t="shared" si="22"/>
        <v>Not Applicable</v>
      </c>
      <c r="Q709">
        <v>11</v>
      </c>
      <c r="R709" t="s">
        <v>1035</v>
      </c>
      <c r="S709">
        <v>11</v>
      </c>
      <c r="T709" t="s">
        <v>1035</v>
      </c>
      <c r="U709" t="str">
        <f t="shared" si="23"/>
        <v>No</v>
      </c>
    </row>
    <row r="710" spans="1:21" x14ac:dyDescent="0.3">
      <c r="A710" t="s">
        <v>725</v>
      </c>
      <c r="B710" t="s">
        <v>27</v>
      </c>
      <c r="C710" t="s">
        <v>474</v>
      </c>
      <c r="D710" s="1">
        <v>45940</v>
      </c>
      <c r="E710" s="1">
        <v>45945</v>
      </c>
      <c r="F710" s="1">
        <v>45948</v>
      </c>
      <c r="G710" s="1">
        <v>45953</v>
      </c>
      <c r="H710" t="s">
        <v>17</v>
      </c>
      <c r="I710">
        <v>0</v>
      </c>
      <c r="J710" t="s">
        <v>18</v>
      </c>
      <c r="K710" s="1">
        <v>45968</v>
      </c>
      <c r="L710">
        <v>5</v>
      </c>
      <c r="M710">
        <v>3</v>
      </c>
      <c r="N710">
        <v>5</v>
      </c>
      <c r="O710">
        <v>2</v>
      </c>
      <c r="P710" t="str">
        <f t="shared" si="22"/>
        <v>Detractor</v>
      </c>
      <c r="Q710">
        <v>10</v>
      </c>
      <c r="R710" t="s">
        <v>1034</v>
      </c>
      <c r="S710">
        <v>10</v>
      </c>
      <c r="T710" t="s">
        <v>1034</v>
      </c>
      <c r="U710" t="str">
        <f t="shared" si="23"/>
        <v>Yes</v>
      </c>
    </row>
    <row r="711" spans="1:21" x14ac:dyDescent="0.3">
      <c r="A711" t="s">
        <v>103</v>
      </c>
      <c r="B711" t="s">
        <v>15</v>
      </c>
      <c r="C711" t="s">
        <v>16</v>
      </c>
      <c r="D711" s="1">
        <v>45941</v>
      </c>
      <c r="E711" s="1">
        <v>45944</v>
      </c>
      <c r="F711" s="1">
        <v>45948</v>
      </c>
      <c r="G711" s="1">
        <v>45950</v>
      </c>
      <c r="H711" t="s">
        <v>17</v>
      </c>
      <c r="I711">
        <v>0</v>
      </c>
      <c r="J711" t="s">
        <v>18</v>
      </c>
      <c r="K711" s="1">
        <v>45962</v>
      </c>
      <c r="L711">
        <v>3</v>
      </c>
      <c r="M711">
        <v>4</v>
      </c>
      <c r="N711">
        <v>2</v>
      </c>
      <c r="O711">
        <v>6</v>
      </c>
      <c r="P711" t="str">
        <f t="shared" si="22"/>
        <v>Detractor</v>
      </c>
      <c r="Q711">
        <v>10</v>
      </c>
      <c r="R711" t="s">
        <v>1034</v>
      </c>
      <c r="S711">
        <v>10</v>
      </c>
      <c r="T711" t="s">
        <v>1034</v>
      </c>
      <c r="U711" t="str">
        <f t="shared" si="23"/>
        <v>Yes</v>
      </c>
    </row>
    <row r="712" spans="1:21" x14ac:dyDescent="0.3">
      <c r="A712" t="s">
        <v>292</v>
      </c>
      <c r="B712" t="s">
        <v>29</v>
      </c>
      <c r="C712" t="s">
        <v>16</v>
      </c>
      <c r="D712" s="1">
        <v>45954</v>
      </c>
      <c r="E712" s="1">
        <v>45958</v>
      </c>
      <c r="F712" s="1">
        <v>45960</v>
      </c>
      <c r="G712" s="1">
        <v>45963</v>
      </c>
      <c r="H712" t="s">
        <v>17</v>
      </c>
      <c r="I712">
        <v>0</v>
      </c>
      <c r="J712" t="s">
        <v>18</v>
      </c>
      <c r="K712" s="1">
        <v>45988</v>
      </c>
      <c r="L712">
        <v>4</v>
      </c>
      <c r="M712">
        <v>2</v>
      </c>
      <c r="N712">
        <v>3</v>
      </c>
      <c r="O712">
        <v>8</v>
      </c>
      <c r="P712" t="str">
        <f t="shared" si="22"/>
        <v>Passive</v>
      </c>
      <c r="Q712">
        <v>10</v>
      </c>
      <c r="R712" t="s">
        <v>1034</v>
      </c>
      <c r="S712">
        <v>11</v>
      </c>
      <c r="T712" t="s">
        <v>1035</v>
      </c>
      <c r="U712" t="str">
        <f t="shared" si="23"/>
        <v>Yes</v>
      </c>
    </row>
    <row r="713" spans="1:21" x14ac:dyDescent="0.3">
      <c r="A713" t="s">
        <v>448</v>
      </c>
      <c r="B713" t="s">
        <v>29</v>
      </c>
      <c r="C713" t="s">
        <v>16</v>
      </c>
      <c r="D713" s="1">
        <v>45944</v>
      </c>
      <c r="E713" s="1">
        <v>45946</v>
      </c>
      <c r="F713" s="1">
        <v>45947</v>
      </c>
      <c r="G713" s="1">
        <v>45953</v>
      </c>
      <c r="H713" t="s">
        <v>17</v>
      </c>
      <c r="I713">
        <v>0</v>
      </c>
      <c r="J713" t="s">
        <v>18</v>
      </c>
      <c r="K713" s="1">
        <v>45973</v>
      </c>
      <c r="L713">
        <v>2</v>
      </c>
      <c r="M713">
        <v>1</v>
      </c>
      <c r="N713">
        <v>6</v>
      </c>
      <c r="O713">
        <v>2</v>
      </c>
      <c r="P713" t="str">
        <f t="shared" si="22"/>
        <v>Detractor</v>
      </c>
      <c r="Q713">
        <v>10</v>
      </c>
      <c r="R713" t="s">
        <v>1034</v>
      </c>
      <c r="S713">
        <v>10</v>
      </c>
      <c r="T713" t="s">
        <v>1034</v>
      </c>
      <c r="U713" t="str">
        <f t="shared" si="23"/>
        <v>Yes</v>
      </c>
    </row>
    <row r="714" spans="1:21" x14ac:dyDescent="0.3">
      <c r="A714" t="s">
        <v>618</v>
      </c>
      <c r="B714" t="s">
        <v>15</v>
      </c>
      <c r="C714" t="s">
        <v>474</v>
      </c>
      <c r="D714" s="1">
        <v>45936</v>
      </c>
      <c r="E714" s="1">
        <v>45937</v>
      </c>
      <c r="F714" s="1">
        <v>45942</v>
      </c>
      <c r="G714" s="1">
        <v>45946</v>
      </c>
      <c r="H714" t="s">
        <v>17</v>
      </c>
      <c r="I714">
        <v>0</v>
      </c>
      <c r="J714" t="s">
        <v>18</v>
      </c>
      <c r="K714" s="1">
        <v>45976</v>
      </c>
      <c r="L714">
        <v>1</v>
      </c>
      <c r="M714">
        <v>5</v>
      </c>
      <c r="N714">
        <v>4</v>
      </c>
      <c r="O714">
        <v>5</v>
      </c>
      <c r="P714" t="str">
        <f t="shared" si="22"/>
        <v>Detractor</v>
      </c>
      <c r="Q714">
        <v>10</v>
      </c>
      <c r="R714" t="s">
        <v>1034</v>
      </c>
      <c r="S714">
        <v>10</v>
      </c>
      <c r="T714" t="s">
        <v>1034</v>
      </c>
      <c r="U714" t="str">
        <f t="shared" si="23"/>
        <v>Yes</v>
      </c>
    </row>
    <row r="715" spans="1:21" x14ac:dyDescent="0.3">
      <c r="A715" t="s">
        <v>449</v>
      </c>
      <c r="B715" t="s">
        <v>15</v>
      </c>
      <c r="C715" t="s">
        <v>16</v>
      </c>
      <c r="D715" s="1">
        <v>45937</v>
      </c>
      <c r="E715" s="1">
        <v>45939</v>
      </c>
      <c r="F715" s="1">
        <v>45942</v>
      </c>
      <c r="G715" s="1">
        <v>45949</v>
      </c>
      <c r="H715" t="s">
        <v>17</v>
      </c>
      <c r="I715">
        <v>0</v>
      </c>
      <c r="J715" t="s">
        <v>18</v>
      </c>
      <c r="K715" s="1">
        <v>45964</v>
      </c>
      <c r="L715">
        <v>2</v>
      </c>
      <c r="M715">
        <v>3</v>
      </c>
      <c r="N715">
        <v>7</v>
      </c>
      <c r="O715">
        <v>8</v>
      </c>
      <c r="P715" t="str">
        <f t="shared" si="22"/>
        <v>Passive</v>
      </c>
      <c r="Q715">
        <v>10</v>
      </c>
      <c r="R715" t="s">
        <v>1034</v>
      </c>
      <c r="S715">
        <v>10</v>
      </c>
      <c r="T715" t="s">
        <v>1034</v>
      </c>
      <c r="U715" t="str">
        <f t="shared" si="23"/>
        <v>Yes</v>
      </c>
    </row>
    <row r="716" spans="1:21" x14ac:dyDescent="0.3">
      <c r="A716" t="s">
        <v>619</v>
      </c>
      <c r="B716" t="s">
        <v>15</v>
      </c>
      <c r="C716" t="s">
        <v>474</v>
      </c>
      <c r="D716" s="1">
        <v>45935</v>
      </c>
      <c r="E716" s="1">
        <v>45936</v>
      </c>
      <c r="F716" s="1">
        <v>45937</v>
      </c>
      <c r="G716" s="1">
        <v>45944</v>
      </c>
      <c r="H716" t="s">
        <v>17</v>
      </c>
      <c r="I716">
        <v>0</v>
      </c>
      <c r="J716" t="s">
        <v>18</v>
      </c>
      <c r="K716" s="1">
        <v>45964</v>
      </c>
      <c r="L716">
        <v>1</v>
      </c>
      <c r="M716">
        <v>1</v>
      </c>
      <c r="N716">
        <v>7</v>
      </c>
      <c r="O716">
        <v>7</v>
      </c>
      <c r="P716" t="str">
        <f t="shared" si="22"/>
        <v>Passive</v>
      </c>
      <c r="Q716">
        <v>10</v>
      </c>
      <c r="R716" t="s">
        <v>1034</v>
      </c>
      <c r="S716">
        <v>10</v>
      </c>
      <c r="T716" t="s">
        <v>1034</v>
      </c>
      <c r="U716" t="str">
        <f t="shared" si="23"/>
        <v>Yes</v>
      </c>
    </row>
    <row r="717" spans="1:21" x14ac:dyDescent="0.3">
      <c r="A717" t="s">
        <v>620</v>
      </c>
      <c r="B717" t="s">
        <v>22</v>
      </c>
      <c r="C717" t="s">
        <v>474</v>
      </c>
      <c r="D717" s="1">
        <v>45956</v>
      </c>
      <c r="E717" s="1">
        <v>45960</v>
      </c>
      <c r="F717" s="1">
        <v>45961</v>
      </c>
      <c r="G717" s="1">
        <v>45963</v>
      </c>
      <c r="H717" t="s">
        <v>17</v>
      </c>
      <c r="I717">
        <v>0</v>
      </c>
      <c r="J717" t="s">
        <v>18</v>
      </c>
      <c r="K717" s="1">
        <v>45993</v>
      </c>
      <c r="L717">
        <v>4</v>
      </c>
      <c r="M717">
        <v>1</v>
      </c>
      <c r="N717">
        <v>2</v>
      </c>
      <c r="O717">
        <v>7</v>
      </c>
      <c r="P717" t="str">
        <f t="shared" si="22"/>
        <v>Passive</v>
      </c>
      <c r="Q717">
        <v>10</v>
      </c>
      <c r="R717" t="s">
        <v>1034</v>
      </c>
      <c r="S717">
        <v>11</v>
      </c>
      <c r="T717" t="s">
        <v>1035</v>
      </c>
      <c r="U717" t="str">
        <f t="shared" si="23"/>
        <v>Yes</v>
      </c>
    </row>
    <row r="718" spans="1:21" x14ac:dyDescent="0.3">
      <c r="A718" t="s">
        <v>450</v>
      </c>
      <c r="B718" t="s">
        <v>27</v>
      </c>
      <c r="C718" t="s">
        <v>16</v>
      </c>
      <c r="D718" s="1">
        <v>45948</v>
      </c>
      <c r="E718" s="1">
        <v>45950</v>
      </c>
      <c r="F718" s="1">
        <v>45954</v>
      </c>
      <c r="G718" s="1">
        <v>45958</v>
      </c>
      <c r="H718" t="s">
        <v>17</v>
      </c>
      <c r="I718">
        <v>0</v>
      </c>
      <c r="J718" t="s">
        <v>18</v>
      </c>
      <c r="K718" s="1">
        <v>45969</v>
      </c>
      <c r="L718">
        <v>2</v>
      </c>
      <c r="M718">
        <v>4</v>
      </c>
      <c r="N718">
        <v>4</v>
      </c>
      <c r="O718">
        <v>9</v>
      </c>
      <c r="P718" t="str">
        <f t="shared" si="22"/>
        <v>Promoter</v>
      </c>
      <c r="Q718">
        <v>10</v>
      </c>
      <c r="R718" t="s">
        <v>1034</v>
      </c>
      <c r="S718">
        <v>10</v>
      </c>
      <c r="T718" t="s">
        <v>1034</v>
      </c>
      <c r="U718" t="str">
        <f t="shared" si="23"/>
        <v>Yes</v>
      </c>
    </row>
    <row r="719" spans="1:21" x14ac:dyDescent="0.3">
      <c r="A719" t="s">
        <v>621</v>
      </c>
      <c r="B719" t="s">
        <v>15</v>
      </c>
      <c r="C719" t="s">
        <v>474</v>
      </c>
      <c r="D719" s="1">
        <v>45959</v>
      </c>
      <c r="E719" s="1">
        <v>45963</v>
      </c>
      <c r="F719" s="1">
        <v>45965</v>
      </c>
      <c r="G719" s="1">
        <v>45967</v>
      </c>
      <c r="H719" t="s">
        <v>17</v>
      </c>
      <c r="I719">
        <v>0</v>
      </c>
      <c r="J719" t="s">
        <v>18</v>
      </c>
      <c r="K719" s="1">
        <v>45977</v>
      </c>
      <c r="L719">
        <v>4</v>
      </c>
      <c r="M719">
        <v>2</v>
      </c>
      <c r="N719">
        <v>2</v>
      </c>
      <c r="O719">
        <v>7</v>
      </c>
      <c r="P719" t="str">
        <f t="shared" si="22"/>
        <v>Passive</v>
      </c>
      <c r="Q719">
        <v>11</v>
      </c>
      <c r="R719" t="s">
        <v>1035</v>
      </c>
      <c r="S719">
        <v>11</v>
      </c>
      <c r="T719" t="s">
        <v>1035</v>
      </c>
      <c r="U719" t="str">
        <f t="shared" si="23"/>
        <v>Yes</v>
      </c>
    </row>
    <row r="720" spans="1:21" x14ac:dyDescent="0.3">
      <c r="A720" t="s">
        <v>622</v>
      </c>
      <c r="B720" t="s">
        <v>15</v>
      </c>
      <c r="C720" t="s">
        <v>474</v>
      </c>
      <c r="D720" s="1">
        <v>45942</v>
      </c>
      <c r="E720" s="1">
        <v>45943</v>
      </c>
      <c r="F720" s="1">
        <v>45944</v>
      </c>
      <c r="G720" s="1">
        <v>45951</v>
      </c>
      <c r="H720" t="s">
        <v>17</v>
      </c>
      <c r="I720">
        <v>0</v>
      </c>
      <c r="J720" t="s">
        <v>18</v>
      </c>
      <c r="K720" s="1">
        <v>45975</v>
      </c>
      <c r="L720">
        <v>1</v>
      </c>
      <c r="M720">
        <v>1</v>
      </c>
      <c r="N720">
        <v>7</v>
      </c>
      <c r="O720">
        <v>2</v>
      </c>
      <c r="P720" t="str">
        <f t="shared" si="22"/>
        <v>Detractor</v>
      </c>
      <c r="Q720">
        <v>10</v>
      </c>
      <c r="R720" t="s">
        <v>1034</v>
      </c>
      <c r="S720">
        <v>10</v>
      </c>
      <c r="T720" t="s">
        <v>1034</v>
      </c>
      <c r="U720" t="str">
        <f t="shared" si="23"/>
        <v>Yes</v>
      </c>
    </row>
    <row r="721" spans="1:21" x14ac:dyDescent="0.3">
      <c r="A721" t="s">
        <v>104</v>
      </c>
      <c r="B721" t="s">
        <v>15</v>
      </c>
      <c r="C721" t="s">
        <v>16</v>
      </c>
      <c r="D721" s="1">
        <v>45947</v>
      </c>
      <c r="E721" s="1">
        <v>45950</v>
      </c>
      <c r="F721" s="1">
        <v>45953</v>
      </c>
      <c r="G721" s="1">
        <v>45958</v>
      </c>
      <c r="H721" t="s">
        <v>17</v>
      </c>
      <c r="I721">
        <v>0</v>
      </c>
      <c r="J721" t="s">
        <v>18</v>
      </c>
      <c r="K721" s="1">
        <v>45976</v>
      </c>
      <c r="L721">
        <v>3</v>
      </c>
      <c r="M721">
        <v>3</v>
      </c>
      <c r="N721">
        <v>5</v>
      </c>
      <c r="O721">
        <v>7</v>
      </c>
      <c r="P721" t="str">
        <f t="shared" si="22"/>
        <v>Passive</v>
      </c>
      <c r="Q721">
        <v>10</v>
      </c>
      <c r="R721" t="s">
        <v>1034</v>
      </c>
      <c r="S721">
        <v>10</v>
      </c>
      <c r="T721" t="s">
        <v>1034</v>
      </c>
      <c r="U721" t="str">
        <f t="shared" si="23"/>
        <v>Yes</v>
      </c>
    </row>
    <row r="722" spans="1:21" x14ac:dyDescent="0.3">
      <c r="A722" t="s">
        <v>105</v>
      </c>
      <c r="B722" t="s">
        <v>29</v>
      </c>
      <c r="C722" t="s">
        <v>16</v>
      </c>
      <c r="D722" s="1">
        <v>45947</v>
      </c>
      <c r="E722" s="1">
        <v>45950</v>
      </c>
      <c r="F722" s="1">
        <v>45955</v>
      </c>
      <c r="G722" s="1">
        <v>45962</v>
      </c>
      <c r="H722" t="s">
        <v>17</v>
      </c>
      <c r="I722">
        <v>0</v>
      </c>
      <c r="J722" t="s">
        <v>18</v>
      </c>
      <c r="K722" s="1">
        <v>45978</v>
      </c>
      <c r="L722">
        <v>3</v>
      </c>
      <c r="M722">
        <v>5</v>
      </c>
      <c r="N722">
        <v>7</v>
      </c>
      <c r="O722">
        <v>4</v>
      </c>
      <c r="P722" t="str">
        <f t="shared" si="22"/>
        <v>Detractor</v>
      </c>
      <c r="Q722">
        <v>10</v>
      </c>
      <c r="R722" t="s">
        <v>1034</v>
      </c>
      <c r="S722">
        <v>11</v>
      </c>
      <c r="T722" t="s">
        <v>1035</v>
      </c>
      <c r="U722" t="str">
        <f t="shared" si="23"/>
        <v>Yes</v>
      </c>
    </row>
    <row r="723" spans="1:21" x14ac:dyDescent="0.3">
      <c r="A723" t="s">
        <v>381</v>
      </c>
      <c r="B723" t="s">
        <v>29</v>
      </c>
      <c r="C723" t="s">
        <v>16</v>
      </c>
      <c r="D723" s="1">
        <v>45960</v>
      </c>
      <c r="E723" s="1">
        <v>45961</v>
      </c>
      <c r="F723" s="1">
        <v>45966</v>
      </c>
      <c r="G723" s="1">
        <v>45973</v>
      </c>
      <c r="H723" t="s">
        <v>17</v>
      </c>
      <c r="I723">
        <v>0</v>
      </c>
      <c r="J723" t="s">
        <v>18</v>
      </c>
      <c r="K723" s="1">
        <v>45988</v>
      </c>
      <c r="L723">
        <v>1</v>
      </c>
      <c r="M723">
        <v>5</v>
      </c>
      <c r="N723">
        <v>7</v>
      </c>
      <c r="O723">
        <v>6</v>
      </c>
      <c r="P723" t="str">
        <f t="shared" si="22"/>
        <v>Detractor</v>
      </c>
      <c r="Q723">
        <v>10</v>
      </c>
      <c r="R723" t="s">
        <v>1034</v>
      </c>
      <c r="S723">
        <v>11</v>
      </c>
      <c r="T723" t="s">
        <v>1035</v>
      </c>
      <c r="U723" t="str">
        <f t="shared" si="23"/>
        <v>Yes</v>
      </c>
    </row>
    <row r="724" spans="1:21" x14ac:dyDescent="0.3">
      <c r="A724" t="s">
        <v>726</v>
      </c>
      <c r="B724" t="s">
        <v>22</v>
      </c>
      <c r="C724" t="s">
        <v>474</v>
      </c>
      <c r="D724" s="1">
        <v>45939</v>
      </c>
      <c r="E724" s="1">
        <v>45944</v>
      </c>
      <c r="F724" s="1">
        <v>45949</v>
      </c>
      <c r="G724" s="1">
        <v>45953</v>
      </c>
      <c r="H724" t="s">
        <v>17</v>
      </c>
      <c r="I724">
        <v>0</v>
      </c>
      <c r="J724" t="s">
        <v>18</v>
      </c>
      <c r="K724" s="1">
        <v>45981</v>
      </c>
      <c r="L724">
        <v>5</v>
      </c>
      <c r="M724">
        <v>5</v>
      </c>
      <c r="N724">
        <v>4</v>
      </c>
      <c r="O724">
        <v>3</v>
      </c>
      <c r="P724" t="str">
        <f t="shared" si="22"/>
        <v>Detractor</v>
      </c>
      <c r="Q724">
        <v>10</v>
      </c>
      <c r="R724" t="s">
        <v>1034</v>
      </c>
      <c r="S724">
        <v>10</v>
      </c>
      <c r="T724" t="s">
        <v>1034</v>
      </c>
      <c r="U724" t="str">
        <f t="shared" si="23"/>
        <v>Yes</v>
      </c>
    </row>
    <row r="725" spans="1:21" x14ac:dyDescent="0.3">
      <c r="A725" t="s">
        <v>727</v>
      </c>
      <c r="B725" t="s">
        <v>27</v>
      </c>
      <c r="C725" t="s">
        <v>474</v>
      </c>
      <c r="D725" s="1">
        <v>45957</v>
      </c>
      <c r="E725" s="1">
        <v>45962</v>
      </c>
      <c r="F725" s="1">
        <v>45966</v>
      </c>
      <c r="G725" s="1">
        <v>45968</v>
      </c>
      <c r="H725" t="s">
        <v>17</v>
      </c>
      <c r="I725">
        <v>0</v>
      </c>
      <c r="J725" t="s">
        <v>18</v>
      </c>
      <c r="K725" s="1">
        <v>45983</v>
      </c>
      <c r="L725">
        <v>5</v>
      </c>
      <c r="M725">
        <v>4</v>
      </c>
      <c r="N725">
        <v>2</v>
      </c>
      <c r="O725">
        <v>4</v>
      </c>
      <c r="P725" t="str">
        <f t="shared" si="22"/>
        <v>Detractor</v>
      </c>
      <c r="Q725">
        <v>11</v>
      </c>
      <c r="R725" t="s">
        <v>1035</v>
      </c>
      <c r="S725">
        <v>11</v>
      </c>
      <c r="T725" t="s">
        <v>1035</v>
      </c>
      <c r="U725" t="str">
        <f t="shared" si="23"/>
        <v>Yes</v>
      </c>
    </row>
    <row r="726" spans="1:21" x14ac:dyDescent="0.3">
      <c r="A726" t="s">
        <v>623</v>
      </c>
      <c r="B726" t="s">
        <v>22</v>
      </c>
      <c r="C726" t="s">
        <v>474</v>
      </c>
      <c r="D726" s="1">
        <v>45936</v>
      </c>
      <c r="E726" s="1">
        <v>45939</v>
      </c>
      <c r="F726" s="1">
        <v>45942</v>
      </c>
      <c r="G726" s="1">
        <v>45945</v>
      </c>
      <c r="H726" t="s">
        <v>17</v>
      </c>
      <c r="I726">
        <v>0</v>
      </c>
      <c r="J726" t="s">
        <v>18</v>
      </c>
      <c r="K726" s="1">
        <v>45970</v>
      </c>
      <c r="L726">
        <v>3</v>
      </c>
      <c r="M726">
        <v>3</v>
      </c>
      <c r="N726">
        <v>3</v>
      </c>
      <c r="O726">
        <v>10</v>
      </c>
      <c r="P726" t="str">
        <f t="shared" si="22"/>
        <v>Promoter</v>
      </c>
      <c r="Q726">
        <v>10</v>
      </c>
      <c r="R726" t="s">
        <v>1034</v>
      </c>
      <c r="S726">
        <v>10</v>
      </c>
      <c r="T726" t="s">
        <v>1034</v>
      </c>
      <c r="U726" t="str">
        <f t="shared" si="23"/>
        <v>Yes</v>
      </c>
    </row>
    <row r="727" spans="1:21" x14ac:dyDescent="0.3">
      <c r="A727" t="s">
        <v>624</v>
      </c>
      <c r="B727" t="s">
        <v>27</v>
      </c>
      <c r="C727" t="s">
        <v>474</v>
      </c>
      <c r="D727" s="1">
        <v>45939</v>
      </c>
      <c r="E727" s="1">
        <v>45942</v>
      </c>
      <c r="F727" s="1">
        <v>45943</v>
      </c>
      <c r="G727" s="1">
        <v>45949</v>
      </c>
      <c r="H727" t="s">
        <v>17</v>
      </c>
      <c r="I727">
        <v>0</v>
      </c>
      <c r="J727" t="s">
        <v>18</v>
      </c>
      <c r="K727" s="1">
        <v>45961</v>
      </c>
      <c r="L727">
        <v>3</v>
      </c>
      <c r="M727">
        <v>1</v>
      </c>
      <c r="N727">
        <v>6</v>
      </c>
      <c r="O727">
        <v>8</v>
      </c>
      <c r="P727" t="str">
        <f t="shared" si="22"/>
        <v>Passive</v>
      </c>
      <c r="Q727">
        <v>10</v>
      </c>
      <c r="R727" t="s">
        <v>1034</v>
      </c>
      <c r="S727">
        <v>10</v>
      </c>
      <c r="T727" t="s">
        <v>1034</v>
      </c>
      <c r="U727" t="str">
        <f t="shared" si="23"/>
        <v>Yes</v>
      </c>
    </row>
    <row r="728" spans="1:21" x14ac:dyDescent="0.3">
      <c r="A728" t="s">
        <v>451</v>
      </c>
      <c r="B728" t="s">
        <v>29</v>
      </c>
      <c r="C728" t="s">
        <v>16</v>
      </c>
      <c r="D728" s="1">
        <v>45960</v>
      </c>
      <c r="E728" s="1">
        <v>45962</v>
      </c>
      <c r="F728" s="1">
        <v>45965</v>
      </c>
      <c r="G728" s="1">
        <v>45968</v>
      </c>
      <c r="H728" t="s">
        <v>17</v>
      </c>
      <c r="I728">
        <v>0</v>
      </c>
      <c r="J728" t="s">
        <v>18</v>
      </c>
      <c r="K728" s="1">
        <v>45982</v>
      </c>
      <c r="L728">
        <v>2</v>
      </c>
      <c r="M728">
        <v>3</v>
      </c>
      <c r="N728">
        <v>3</v>
      </c>
      <c r="O728">
        <v>10</v>
      </c>
      <c r="P728" t="str">
        <f t="shared" si="22"/>
        <v>Promoter</v>
      </c>
      <c r="Q728">
        <v>11</v>
      </c>
      <c r="R728" t="s">
        <v>1035</v>
      </c>
      <c r="S728">
        <v>11</v>
      </c>
      <c r="T728" t="s">
        <v>1035</v>
      </c>
      <c r="U728" t="str">
        <f t="shared" si="23"/>
        <v>Yes</v>
      </c>
    </row>
    <row r="729" spans="1:21" x14ac:dyDescent="0.3">
      <c r="A729" t="s">
        <v>977</v>
      </c>
      <c r="B729" t="s">
        <v>29</v>
      </c>
      <c r="C729" t="s">
        <v>841</v>
      </c>
      <c r="D729" s="1">
        <v>45957</v>
      </c>
      <c r="E729" s="1"/>
      <c r="F729" s="1"/>
      <c r="G729" s="1"/>
      <c r="H729" t="s">
        <v>752</v>
      </c>
      <c r="I729">
        <v>1</v>
      </c>
      <c r="J729" t="s">
        <v>753</v>
      </c>
      <c r="K729" s="1"/>
      <c r="P729" t="str">
        <f t="shared" si="22"/>
        <v>Not Applicable</v>
      </c>
      <c r="R729" t="s">
        <v>1036</v>
      </c>
      <c r="T729" t="s">
        <v>1036</v>
      </c>
      <c r="U729" t="str">
        <f t="shared" si="23"/>
        <v>No</v>
      </c>
    </row>
    <row r="730" spans="1:21" x14ac:dyDescent="0.3">
      <c r="A730" t="s">
        <v>452</v>
      </c>
      <c r="B730" t="s">
        <v>29</v>
      </c>
      <c r="C730" t="s">
        <v>16</v>
      </c>
      <c r="D730" s="1">
        <v>45961</v>
      </c>
      <c r="E730" s="1">
        <v>45963</v>
      </c>
      <c r="F730" s="1">
        <v>45967</v>
      </c>
      <c r="G730" s="1">
        <v>45972</v>
      </c>
      <c r="H730" t="s">
        <v>17</v>
      </c>
      <c r="I730">
        <v>0</v>
      </c>
      <c r="J730" t="s">
        <v>18</v>
      </c>
      <c r="K730" s="1">
        <v>46001</v>
      </c>
      <c r="L730">
        <v>2</v>
      </c>
      <c r="M730">
        <v>4</v>
      </c>
      <c r="N730">
        <v>5</v>
      </c>
      <c r="O730">
        <v>3</v>
      </c>
      <c r="P730" t="str">
        <f t="shared" si="22"/>
        <v>Detractor</v>
      </c>
      <c r="Q730">
        <v>11</v>
      </c>
      <c r="R730" t="s">
        <v>1035</v>
      </c>
      <c r="S730">
        <v>11</v>
      </c>
      <c r="T730" t="s">
        <v>1035</v>
      </c>
      <c r="U730" t="str">
        <f t="shared" si="23"/>
        <v>Yes</v>
      </c>
    </row>
    <row r="731" spans="1:21" x14ac:dyDescent="0.3">
      <c r="A731" t="s">
        <v>106</v>
      </c>
      <c r="B731" t="s">
        <v>22</v>
      </c>
      <c r="C731" t="s">
        <v>16</v>
      </c>
      <c r="D731" s="1">
        <v>45946</v>
      </c>
      <c r="E731" s="1">
        <v>45949</v>
      </c>
      <c r="F731" s="1">
        <v>45953</v>
      </c>
      <c r="G731" s="1">
        <v>45958</v>
      </c>
      <c r="H731" t="s">
        <v>17</v>
      </c>
      <c r="I731">
        <v>0</v>
      </c>
      <c r="J731" t="s">
        <v>18</v>
      </c>
      <c r="K731" s="1">
        <v>45981</v>
      </c>
      <c r="L731">
        <v>3</v>
      </c>
      <c r="M731">
        <v>4</v>
      </c>
      <c r="N731">
        <v>5</v>
      </c>
      <c r="O731">
        <v>9</v>
      </c>
      <c r="P731" t="str">
        <f t="shared" si="22"/>
        <v>Promoter</v>
      </c>
      <c r="Q731">
        <v>10</v>
      </c>
      <c r="R731" t="s">
        <v>1034</v>
      </c>
      <c r="S731">
        <v>10</v>
      </c>
      <c r="T731" t="s">
        <v>1034</v>
      </c>
      <c r="U731" t="str">
        <f t="shared" si="23"/>
        <v>Yes</v>
      </c>
    </row>
    <row r="732" spans="1:21" x14ac:dyDescent="0.3">
      <c r="A732" t="s">
        <v>196</v>
      </c>
      <c r="B732" t="s">
        <v>15</v>
      </c>
      <c r="C732" t="s">
        <v>16</v>
      </c>
      <c r="D732" s="1">
        <v>45961</v>
      </c>
      <c r="E732" s="1">
        <v>45966</v>
      </c>
      <c r="F732" s="1">
        <v>45968</v>
      </c>
      <c r="G732" s="1">
        <v>45970</v>
      </c>
      <c r="H732" t="s">
        <v>17</v>
      </c>
      <c r="I732">
        <v>0</v>
      </c>
      <c r="J732" t="s">
        <v>18</v>
      </c>
      <c r="K732" s="1">
        <v>46000</v>
      </c>
      <c r="L732">
        <v>5</v>
      </c>
      <c r="M732">
        <v>2</v>
      </c>
      <c r="N732">
        <v>2</v>
      </c>
      <c r="O732">
        <v>1</v>
      </c>
      <c r="P732" t="str">
        <f t="shared" si="22"/>
        <v>Detractor</v>
      </c>
      <c r="Q732">
        <v>11</v>
      </c>
      <c r="R732" t="s">
        <v>1035</v>
      </c>
      <c r="S732">
        <v>11</v>
      </c>
      <c r="T732" t="s">
        <v>1035</v>
      </c>
      <c r="U732" t="str">
        <f t="shared" si="23"/>
        <v>Yes</v>
      </c>
    </row>
    <row r="733" spans="1:21" x14ac:dyDescent="0.3">
      <c r="A733" t="s">
        <v>453</v>
      </c>
      <c r="B733" t="s">
        <v>15</v>
      </c>
      <c r="C733" t="s">
        <v>16</v>
      </c>
      <c r="D733" s="1">
        <v>45956</v>
      </c>
      <c r="E733" s="1">
        <v>45958</v>
      </c>
      <c r="F733" s="1">
        <v>45961</v>
      </c>
      <c r="G733" s="1">
        <v>45964</v>
      </c>
      <c r="H733" t="s">
        <v>17</v>
      </c>
      <c r="I733">
        <v>0</v>
      </c>
      <c r="J733" t="s">
        <v>18</v>
      </c>
      <c r="K733" s="1">
        <v>45987</v>
      </c>
      <c r="L733">
        <v>2</v>
      </c>
      <c r="M733">
        <v>3</v>
      </c>
      <c r="N733">
        <v>3</v>
      </c>
      <c r="O733">
        <v>8</v>
      </c>
      <c r="P733" t="str">
        <f t="shared" si="22"/>
        <v>Passive</v>
      </c>
      <c r="Q733">
        <v>10</v>
      </c>
      <c r="R733" t="s">
        <v>1034</v>
      </c>
      <c r="S733">
        <v>11</v>
      </c>
      <c r="T733" t="s">
        <v>1035</v>
      </c>
      <c r="U733" t="str">
        <f t="shared" si="23"/>
        <v>Yes</v>
      </c>
    </row>
    <row r="734" spans="1:21" x14ac:dyDescent="0.3">
      <c r="A734" t="s">
        <v>382</v>
      </c>
      <c r="B734" t="s">
        <v>29</v>
      </c>
      <c r="C734" t="s">
        <v>16</v>
      </c>
      <c r="D734" s="1">
        <v>45940</v>
      </c>
      <c r="E734" s="1">
        <v>45941</v>
      </c>
      <c r="F734" s="1">
        <v>45946</v>
      </c>
      <c r="G734" s="1">
        <v>45953</v>
      </c>
      <c r="H734" t="s">
        <v>17</v>
      </c>
      <c r="I734">
        <v>0</v>
      </c>
      <c r="J734" t="s">
        <v>18</v>
      </c>
      <c r="K734" s="1">
        <v>45975</v>
      </c>
      <c r="L734">
        <v>1</v>
      </c>
      <c r="M734">
        <v>5</v>
      </c>
      <c r="N734">
        <v>7</v>
      </c>
      <c r="O734">
        <v>6</v>
      </c>
      <c r="P734" t="str">
        <f t="shared" si="22"/>
        <v>Detractor</v>
      </c>
      <c r="Q734">
        <v>10</v>
      </c>
      <c r="R734" t="s">
        <v>1034</v>
      </c>
      <c r="S734">
        <v>10</v>
      </c>
      <c r="T734" t="s">
        <v>1034</v>
      </c>
      <c r="U734" t="str">
        <f t="shared" si="23"/>
        <v>Yes</v>
      </c>
    </row>
    <row r="735" spans="1:21" x14ac:dyDescent="0.3">
      <c r="A735" t="s">
        <v>454</v>
      </c>
      <c r="B735" t="s">
        <v>15</v>
      </c>
      <c r="C735" t="s">
        <v>16</v>
      </c>
      <c r="D735" s="1">
        <v>45954</v>
      </c>
      <c r="E735" s="1">
        <v>45956</v>
      </c>
      <c r="F735" s="1">
        <v>45960</v>
      </c>
      <c r="G735" s="1">
        <v>45964</v>
      </c>
      <c r="H735" t="s">
        <v>17</v>
      </c>
      <c r="I735">
        <v>0</v>
      </c>
      <c r="J735" t="s">
        <v>18</v>
      </c>
      <c r="K735" s="1">
        <v>45987</v>
      </c>
      <c r="L735">
        <v>2</v>
      </c>
      <c r="M735">
        <v>4</v>
      </c>
      <c r="N735">
        <v>4</v>
      </c>
      <c r="O735">
        <v>4</v>
      </c>
      <c r="P735" t="str">
        <f t="shared" si="22"/>
        <v>Detractor</v>
      </c>
      <c r="Q735">
        <v>10</v>
      </c>
      <c r="R735" t="s">
        <v>1034</v>
      </c>
      <c r="S735">
        <v>11</v>
      </c>
      <c r="T735" t="s">
        <v>1035</v>
      </c>
      <c r="U735" t="str">
        <f t="shared" si="23"/>
        <v>Yes</v>
      </c>
    </row>
    <row r="736" spans="1:21" x14ac:dyDescent="0.3">
      <c r="A736" t="s">
        <v>455</v>
      </c>
      <c r="B736" t="s">
        <v>15</v>
      </c>
      <c r="C736" t="s">
        <v>16</v>
      </c>
      <c r="D736" s="1">
        <v>45958</v>
      </c>
      <c r="E736" s="1">
        <v>45960</v>
      </c>
      <c r="F736" s="1">
        <v>45964</v>
      </c>
      <c r="G736" s="1">
        <v>45966</v>
      </c>
      <c r="H736" t="s">
        <v>17</v>
      </c>
      <c r="I736">
        <v>0</v>
      </c>
      <c r="J736" t="s">
        <v>18</v>
      </c>
      <c r="K736" s="1">
        <v>45991</v>
      </c>
      <c r="L736">
        <v>2</v>
      </c>
      <c r="M736">
        <v>4</v>
      </c>
      <c r="N736">
        <v>2</v>
      </c>
      <c r="O736">
        <v>4</v>
      </c>
      <c r="P736" t="str">
        <f t="shared" si="22"/>
        <v>Detractor</v>
      </c>
      <c r="Q736">
        <v>10</v>
      </c>
      <c r="R736" t="s">
        <v>1034</v>
      </c>
      <c r="S736">
        <v>11</v>
      </c>
      <c r="T736" t="s">
        <v>1035</v>
      </c>
      <c r="U736" t="str">
        <f t="shared" si="23"/>
        <v>Yes</v>
      </c>
    </row>
    <row r="737" spans="1:21" x14ac:dyDescent="0.3">
      <c r="A737" t="s">
        <v>625</v>
      </c>
      <c r="B737" t="s">
        <v>22</v>
      </c>
      <c r="C737" t="s">
        <v>474</v>
      </c>
      <c r="D737" s="1">
        <v>45941</v>
      </c>
      <c r="E737" s="1">
        <v>45943</v>
      </c>
      <c r="F737" s="1">
        <v>45945</v>
      </c>
      <c r="G737" s="1">
        <v>45947</v>
      </c>
      <c r="H737" t="s">
        <v>17</v>
      </c>
      <c r="I737">
        <v>0</v>
      </c>
      <c r="J737" t="s">
        <v>18</v>
      </c>
      <c r="K737" s="1">
        <v>45969</v>
      </c>
      <c r="L737">
        <v>2</v>
      </c>
      <c r="M737">
        <v>2</v>
      </c>
      <c r="N737">
        <v>2</v>
      </c>
      <c r="O737">
        <v>9</v>
      </c>
      <c r="P737" t="str">
        <f t="shared" si="22"/>
        <v>Promoter</v>
      </c>
      <c r="Q737">
        <v>10</v>
      </c>
      <c r="R737" t="s">
        <v>1034</v>
      </c>
      <c r="S737">
        <v>10</v>
      </c>
      <c r="T737" t="s">
        <v>1034</v>
      </c>
      <c r="U737" t="str">
        <f t="shared" si="23"/>
        <v>Yes</v>
      </c>
    </row>
    <row r="738" spans="1:21" x14ac:dyDescent="0.3">
      <c r="A738" t="s">
        <v>293</v>
      </c>
      <c r="B738" t="s">
        <v>27</v>
      </c>
      <c r="C738" t="s">
        <v>16</v>
      </c>
      <c r="D738" s="1">
        <v>45956</v>
      </c>
      <c r="E738" s="1">
        <v>45960</v>
      </c>
      <c r="F738" s="1">
        <v>45965</v>
      </c>
      <c r="G738" s="1">
        <v>45968</v>
      </c>
      <c r="H738" t="s">
        <v>17</v>
      </c>
      <c r="I738">
        <v>0</v>
      </c>
      <c r="J738" t="s">
        <v>18</v>
      </c>
      <c r="K738" s="1">
        <v>45978</v>
      </c>
      <c r="L738">
        <v>4</v>
      </c>
      <c r="M738">
        <v>5</v>
      </c>
      <c r="N738">
        <v>3</v>
      </c>
      <c r="O738">
        <v>0</v>
      </c>
      <c r="P738" t="str">
        <f t="shared" si="22"/>
        <v>Detractor</v>
      </c>
      <c r="Q738">
        <v>10</v>
      </c>
      <c r="R738" t="s">
        <v>1034</v>
      </c>
      <c r="S738">
        <v>11</v>
      </c>
      <c r="T738" t="s">
        <v>1035</v>
      </c>
      <c r="U738" t="str">
        <f t="shared" si="23"/>
        <v>Yes</v>
      </c>
    </row>
    <row r="739" spans="1:21" x14ac:dyDescent="0.3">
      <c r="A739" t="s">
        <v>978</v>
      </c>
      <c r="B739" t="s">
        <v>29</v>
      </c>
      <c r="C739" t="s">
        <v>841</v>
      </c>
      <c r="D739" s="1">
        <v>45934</v>
      </c>
      <c r="E739" s="1"/>
      <c r="F739" s="1"/>
      <c r="G739" s="1"/>
      <c r="H739" t="s">
        <v>752</v>
      </c>
      <c r="I739">
        <v>1</v>
      </c>
      <c r="J739" t="s">
        <v>777</v>
      </c>
      <c r="K739" s="1"/>
      <c r="P739" t="str">
        <f t="shared" si="22"/>
        <v>Not Applicable</v>
      </c>
      <c r="R739" t="s">
        <v>1036</v>
      </c>
      <c r="T739" t="s">
        <v>1036</v>
      </c>
      <c r="U739" t="str">
        <f t="shared" si="23"/>
        <v>No</v>
      </c>
    </row>
    <row r="740" spans="1:21" x14ac:dyDescent="0.3">
      <c r="A740" t="s">
        <v>626</v>
      </c>
      <c r="B740" t="s">
        <v>29</v>
      </c>
      <c r="C740" t="s">
        <v>474</v>
      </c>
      <c r="D740" s="1">
        <v>45945</v>
      </c>
      <c r="E740" s="1">
        <v>45946</v>
      </c>
      <c r="F740" s="1">
        <v>45950</v>
      </c>
      <c r="G740" s="1">
        <v>45956</v>
      </c>
      <c r="H740" t="s">
        <v>17</v>
      </c>
      <c r="I740">
        <v>0</v>
      </c>
      <c r="J740" t="s">
        <v>18</v>
      </c>
      <c r="K740" s="1">
        <v>45967</v>
      </c>
      <c r="L740">
        <v>1</v>
      </c>
      <c r="M740">
        <v>4</v>
      </c>
      <c r="N740">
        <v>6</v>
      </c>
      <c r="O740">
        <v>7</v>
      </c>
      <c r="P740" t="str">
        <f t="shared" si="22"/>
        <v>Passive</v>
      </c>
      <c r="Q740">
        <v>10</v>
      </c>
      <c r="R740" t="s">
        <v>1034</v>
      </c>
      <c r="S740">
        <v>10</v>
      </c>
      <c r="T740" t="s">
        <v>1034</v>
      </c>
      <c r="U740" t="str">
        <f t="shared" si="23"/>
        <v>Yes</v>
      </c>
    </row>
    <row r="741" spans="1:21" x14ac:dyDescent="0.3">
      <c r="A741" t="s">
        <v>627</v>
      </c>
      <c r="B741" t="s">
        <v>22</v>
      </c>
      <c r="C741" t="s">
        <v>474</v>
      </c>
      <c r="D741" s="1">
        <v>45961</v>
      </c>
      <c r="E741" s="1">
        <v>45964</v>
      </c>
      <c r="F741" s="1">
        <v>45965</v>
      </c>
      <c r="G741" s="1">
        <v>45970</v>
      </c>
      <c r="H741" t="s">
        <v>17</v>
      </c>
      <c r="I741">
        <v>0</v>
      </c>
      <c r="J741" t="s">
        <v>18</v>
      </c>
      <c r="K741" s="1">
        <v>45997</v>
      </c>
      <c r="L741">
        <v>3</v>
      </c>
      <c r="M741">
        <v>1</v>
      </c>
      <c r="N741">
        <v>5</v>
      </c>
      <c r="O741">
        <v>7</v>
      </c>
      <c r="P741" t="str">
        <f t="shared" si="22"/>
        <v>Passive</v>
      </c>
      <c r="Q741">
        <v>11</v>
      </c>
      <c r="R741" t="s">
        <v>1035</v>
      </c>
      <c r="S741">
        <v>11</v>
      </c>
      <c r="T741" t="s">
        <v>1035</v>
      </c>
      <c r="U741" t="str">
        <f t="shared" si="23"/>
        <v>Yes</v>
      </c>
    </row>
    <row r="742" spans="1:21" x14ac:dyDescent="0.3">
      <c r="A742" t="s">
        <v>197</v>
      </c>
      <c r="B742" t="s">
        <v>22</v>
      </c>
      <c r="C742" t="s">
        <v>16</v>
      </c>
      <c r="D742" s="1">
        <v>45933</v>
      </c>
      <c r="E742" s="1">
        <v>45938</v>
      </c>
      <c r="F742" s="1">
        <v>45943</v>
      </c>
      <c r="G742" s="1">
        <v>45950</v>
      </c>
      <c r="H742" t="s">
        <v>17</v>
      </c>
      <c r="I742">
        <v>0</v>
      </c>
      <c r="J742" t="s">
        <v>18</v>
      </c>
      <c r="K742" s="1">
        <v>45966</v>
      </c>
      <c r="L742">
        <v>5</v>
      </c>
      <c r="M742">
        <v>5</v>
      </c>
      <c r="N742">
        <v>7</v>
      </c>
      <c r="O742">
        <v>1</v>
      </c>
      <c r="P742" t="str">
        <f t="shared" si="22"/>
        <v>Detractor</v>
      </c>
      <c r="Q742">
        <v>10</v>
      </c>
      <c r="R742" t="s">
        <v>1034</v>
      </c>
      <c r="S742">
        <v>10</v>
      </c>
      <c r="T742" t="s">
        <v>1034</v>
      </c>
      <c r="U742" t="str">
        <f t="shared" si="23"/>
        <v>Yes</v>
      </c>
    </row>
    <row r="743" spans="1:21" x14ac:dyDescent="0.3">
      <c r="A743" t="s">
        <v>198</v>
      </c>
      <c r="B743" t="s">
        <v>15</v>
      </c>
      <c r="C743" t="s">
        <v>16</v>
      </c>
      <c r="D743" s="1">
        <v>45935</v>
      </c>
      <c r="E743" s="1">
        <v>45940</v>
      </c>
      <c r="F743" s="1">
        <v>45943</v>
      </c>
      <c r="G743" s="1">
        <v>45947</v>
      </c>
      <c r="H743" t="s">
        <v>17</v>
      </c>
      <c r="I743">
        <v>0</v>
      </c>
      <c r="J743" t="s">
        <v>18</v>
      </c>
      <c r="K743" s="1">
        <v>45968</v>
      </c>
      <c r="L743">
        <v>5</v>
      </c>
      <c r="M743">
        <v>3</v>
      </c>
      <c r="N743">
        <v>4</v>
      </c>
      <c r="O743">
        <v>2</v>
      </c>
      <c r="P743" t="str">
        <f t="shared" si="22"/>
        <v>Detractor</v>
      </c>
      <c r="Q743">
        <v>10</v>
      </c>
      <c r="R743" t="s">
        <v>1034</v>
      </c>
      <c r="S743">
        <v>10</v>
      </c>
      <c r="T743" t="s">
        <v>1034</v>
      </c>
      <c r="U743" t="str">
        <f t="shared" si="23"/>
        <v>Yes</v>
      </c>
    </row>
    <row r="744" spans="1:21" x14ac:dyDescent="0.3">
      <c r="A744" t="s">
        <v>107</v>
      </c>
      <c r="B744" t="s">
        <v>29</v>
      </c>
      <c r="C744" t="s">
        <v>16</v>
      </c>
      <c r="D744" s="1">
        <v>45955</v>
      </c>
      <c r="E744" s="1">
        <v>45958</v>
      </c>
      <c r="F744" s="1">
        <v>45960</v>
      </c>
      <c r="G744" s="1">
        <v>45965</v>
      </c>
      <c r="H744" t="s">
        <v>17</v>
      </c>
      <c r="I744">
        <v>0</v>
      </c>
      <c r="J744" t="s">
        <v>18</v>
      </c>
      <c r="K744" s="1">
        <v>45975</v>
      </c>
      <c r="L744">
        <v>3</v>
      </c>
      <c r="M744">
        <v>2</v>
      </c>
      <c r="N744">
        <v>5</v>
      </c>
      <c r="O744">
        <v>2</v>
      </c>
      <c r="P744" t="str">
        <f t="shared" si="22"/>
        <v>Detractor</v>
      </c>
      <c r="Q744">
        <v>10</v>
      </c>
      <c r="R744" t="s">
        <v>1034</v>
      </c>
      <c r="S744">
        <v>11</v>
      </c>
      <c r="T744" t="s">
        <v>1035</v>
      </c>
      <c r="U744" t="str">
        <f t="shared" si="23"/>
        <v>Yes</v>
      </c>
    </row>
    <row r="745" spans="1:21" x14ac:dyDescent="0.3">
      <c r="A745" t="s">
        <v>294</v>
      </c>
      <c r="B745" t="s">
        <v>27</v>
      </c>
      <c r="C745" t="s">
        <v>16</v>
      </c>
      <c r="D745" s="1">
        <v>45961</v>
      </c>
      <c r="E745" s="1">
        <v>45965</v>
      </c>
      <c r="F745" s="1">
        <v>45966</v>
      </c>
      <c r="G745" s="1">
        <v>45973</v>
      </c>
      <c r="H745" t="s">
        <v>17</v>
      </c>
      <c r="I745">
        <v>0</v>
      </c>
      <c r="J745" t="s">
        <v>18</v>
      </c>
      <c r="K745" s="1">
        <v>45993</v>
      </c>
      <c r="L745">
        <v>4</v>
      </c>
      <c r="M745">
        <v>1</v>
      </c>
      <c r="N745">
        <v>7</v>
      </c>
      <c r="O745">
        <v>1</v>
      </c>
      <c r="P745" t="str">
        <f t="shared" si="22"/>
        <v>Detractor</v>
      </c>
      <c r="Q745">
        <v>11</v>
      </c>
      <c r="R745" t="s">
        <v>1035</v>
      </c>
      <c r="S745">
        <v>11</v>
      </c>
      <c r="T745" t="s">
        <v>1035</v>
      </c>
      <c r="U745" t="str">
        <f t="shared" si="23"/>
        <v>Yes</v>
      </c>
    </row>
    <row r="746" spans="1:21" x14ac:dyDescent="0.3">
      <c r="A746" t="s">
        <v>728</v>
      </c>
      <c r="B746" t="s">
        <v>22</v>
      </c>
      <c r="C746" t="s">
        <v>474</v>
      </c>
      <c r="D746" s="1">
        <v>45938</v>
      </c>
      <c r="E746" s="1">
        <v>45943</v>
      </c>
      <c r="F746" s="1">
        <v>45944</v>
      </c>
      <c r="G746" s="1">
        <v>45946</v>
      </c>
      <c r="H746" t="s">
        <v>17</v>
      </c>
      <c r="I746">
        <v>0</v>
      </c>
      <c r="J746" t="s">
        <v>18</v>
      </c>
      <c r="K746" s="1">
        <v>45972</v>
      </c>
      <c r="L746">
        <v>5</v>
      </c>
      <c r="M746">
        <v>1</v>
      </c>
      <c r="N746">
        <v>2</v>
      </c>
      <c r="O746">
        <v>5</v>
      </c>
      <c r="P746" t="str">
        <f t="shared" si="22"/>
        <v>Detractor</v>
      </c>
      <c r="Q746">
        <v>10</v>
      </c>
      <c r="R746" t="s">
        <v>1034</v>
      </c>
      <c r="S746">
        <v>10</v>
      </c>
      <c r="T746" t="s">
        <v>1034</v>
      </c>
      <c r="U746" t="str">
        <f t="shared" si="23"/>
        <v>Yes</v>
      </c>
    </row>
    <row r="747" spans="1:21" x14ac:dyDescent="0.3">
      <c r="A747" t="s">
        <v>456</v>
      </c>
      <c r="B747" t="s">
        <v>27</v>
      </c>
      <c r="C747" t="s">
        <v>16</v>
      </c>
      <c r="D747" s="1">
        <v>45958</v>
      </c>
      <c r="E747" s="1">
        <v>45960</v>
      </c>
      <c r="F747" s="1">
        <v>45963</v>
      </c>
      <c r="G747" s="1">
        <v>45969</v>
      </c>
      <c r="H747" t="s">
        <v>17</v>
      </c>
      <c r="I747">
        <v>0</v>
      </c>
      <c r="J747" t="s">
        <v>18</v>
      </c>
      <c r="K747" s="1">
        <v>45985</v>
      </c>
      <c r="L747">
        <v>2</v>
      </c>
      <c r="M747">
        <v>3</v>
      </c>
      <c r="N747">
        <v>6</v>
      </c>
      <c r="O747">
        <v>9</v>
      </c>
      <c r="P747" t="str">
        <f t="shared" si="22"/>
        <v>Promoter</v>
      </c>
      <c r="Q747">
        <v>10</v>
      </c>
      <c r="R747" t="s">
        <v>1034</v>
      </c>
      <c r="S747">
        <v>11</v>
      </c>
      <c r="T747" t="s">
        <v>1035</v>
      </c>
      <c r="U747" t="str">
        <f t="shared" si="23"/>
        <v>Yes</v>
      </c>
    </row>
    <row r="748" spans="1:21" x14ac:dyDescent="0.3">
      <c r="A748" t="s">
        <v>824</v>
      </c>
      <c r="B748" t="s">
        <v>27</v>
      </c>
      <c r="C748" t="s">
        <v>16</v>
      </c>
      <c r="D748" s="1">
        <v>45952</v>
      </c>
      <c r="E748" s="1">
        <v>45957</v>
      </c>
      <c r="F748" s="1">
        <v>45959</v>
      </c>
      <c r="G748" s="1">
        <v>45961</v>
      </c>
      <c r="H748" t="s">
        <v>752</v>
      </c>
      <c r="I748">
        <v>1</v>
      </c>
      <c r="J748" t="s">
        <v>765</v>
      </c>
      <c r="K748" s="1"/>
      <c r="L748">
        <v>5</v>
      </c>
      <c r="M748">
        <v>2</v>
      </c>
      <c r="N748">
        <v>2</v>
      </c>
      <c r="P748" t="str">
        <f t="shared" si="22"/>
        <v>Not Applicable</v>
      </c>
      <c r="Q748">
        <v>10</v>
      </c>
      <c r="R748" t="s">
        <v>1034</v>
      </c>
      <c r="S748">
        <v>10</v>
      </c>
      <c r="T748" t="s">
        <v>1034</v>
      </c>
      <c r="U748" t="str">
        <f t="shared" si="23"/>
        <v>No</v>
      </c>
    </row>
    <row r="749" spans="1:21" x14ac:dyDescent="0.3">
      <c r="A749" t="s">
        <v>979</v>
      </c>
      <c r="B749" t="s">
        <v>29</v>
      </c>
      <c r="C749" t="s">
        <v>841</v>
      </c>
      <c r="D749" s="1">
        <v>45954</v>
      </c>
      <c r="E749" s="1"/>
      <c r="F749" s="1"/>
      <c r="G749" s="1"/>
      <c r="H749" t="s">
        <v>752</v>
      </c>
      <c r="I749">
        <v>1</v>
      </c>
      <c r="J749" t="s">
        <v>756</v>
      </c>
      <c r="K749" s="1"/>
      <c r="P749" t="str">
        <f t="shared" si="22"/>
        <v>Not Applicable</v>
      </c>
      <c r="R749" t="s">
        <v>1036</v>
      </c>
      <c r="T749" t="s">
        <v>1036</v>
      </c>
      <c r="U749" t="str">
        <f t="shared" si="23"/>
        <v>No</v>
      </c>
    </row>
    <row r="750" spans="1:21" x14ac:dyDescent="0.3">
      <c r="A750" t="s">
        <v>383</v>
      </c>
      <c r="B750" t="s">
        <v>29</v>
      </c>
      <c r="C750" t="s">
        <v>16</v>
      </c>
      <c r="D750" s="1">
        <v>45952</v>
      </c>
      <c r="E750" s="1">
        <v>45953</v>
      </c>
      <c r="F750" s="1">
        <v>45957</v>
      </c>
      <c r="G750" s="1">
        <v>45963</v>
      </c>
      <c r="H750" t="s">
        <v>17</v>
      </c>
      <c r="I750">
        <v>0</v>
      </c>
      <c r="J750" t="s">
        <v>18</v>
      </c>
      <c r="K750" s="1">
        <v>45973</v>
      </c>
      <c r="L750">
        <v>1</v>
      </c>
      <c r="M750">
        <v>4</v>
      </c>
      <c r="N750">
        <v>6</v>
      </c>
      <c r="O750">
        <v>7</v>
      </c>
      <c r="P750" t="str">
        <f t="shared" si="22"/>
        <v>Passive</v>
      </c>
      <c r="Q750">
        <v>10</v>
      </c>
      <c r="R750" t="s">
        <v>1034</v>
      </c>
      <c r="S750">
        <v>11</v>
      </c>
      <c r="T750" t="s">
        <v>1035</v>
      </c>
      <c r="U750" t="str">
        <f t="shared" si="23"/>
        <v>Yes</v>
      </c>
    </row>
    <row r="751" spans="1:21" x14ac:dyDescent="0.3">
      <c r="A751" t="s">
        <v>628</v>
      </c>
      <c r="B751" t="s">
        <v>22</v>
      </c>
      <c r="C751" t="s">
        <v>474</v>
      </c>
      <c r="D751" s="1">
        <v>45943</v>
      </c>
      <c r="E751" s="1">
        <v>45944</v>
      </c>
      <c r="F751" s="1">
        <v>45946</v>
      </c>
      <c r="G751" s="1">
        <v>45949</v>
      </c>
      <c r="H751" t="s">
        <v>17</v>
      </c>
      <c r="I751">
        <v>0</v>
      </c>
      <c r="J751" t="s">
        <v>18</v>
      </c>
      <c r="K751" s="1">
        <v>45959</v>
      </c>
      <c r="L751">
        <v>1</v>
      </c>
      <c r="M751">
        <v>2</v>
      </c>
      <c r="N751">
        <v>3</v>
      </c>
      <c r="O751">
        <v>0</v>
      </c>
      <c r="P751" t="str">
        <f t="shared" si="22"/>
        <v>Detractor</v>
      </c>
      <c r="Q751">
        <v>10</v>
      </c>
      <c r="R751" t="s">
        <v>1034</v>
      </c>
      <c r="S751">
        <v>10</v>
      </c>
      <c r="T751" t="s">
        <v>1034</v>
      </c>
      <c r="U751" t="str">
        <f t="shared" si="23"/>
        <v>Yes</v>
      </c>
    </row>
    <row r="752" spans="1:21" x14ac:dyDescent="0.3">
      <c r="A752" t="s">
        <v>629</v>
      </c>
      <c r="B752" t="s">
        <v>29</v>
      </c>
      <c r="C752" t="s">
        <v>474</v>
      </c>
      <c r="D752" s="1">
        <v>45961</v>
      </c>
      <c r="E752" s="1">
        <v>45964</v>
      </c>
      <c r="F752" s="1">
        <v>45968</v>
      </c>
      <c r="G752" s="1">
        <v>45975</v>
      </c>
      <c r="H752" t="s">
        <v>17</v>
      </c>
      <c r="I752">
        <v>0</v>
      </c>
      <c r="J752" t="s">
        <v>18</v>
      </c>
      <c r="K752" s="1">
        <v>46005</v>
      </c>
      <c r="L752">
        <v>3</v>
      </c>
      <c r="M752">
        <v>4</v>
      </c>
      <c r="N752">
        <v>7</v>
      </c>
      <c r="O752">
        <v>7</v>
      </c>
      <c r="P752" t="str">
        <f t="shared" si="22"/>
        <v>Passive</v>
      </c>
      <c r="Q752">
        <v>11</v>
      </c>
      <c r="R752" t="s">
        <v>1035</v>
      </c>
      <c r="S752">
        <v>11</v>
      </c>
      <c r="T752" t="s">
        <v>1035</v>
      </c>
      <c r="U752" t="str">
        <f t="shared" si="23"/>
        <v>Yes</v>
      </c>
    </row>
    <row r="753" spans="1:21" x14ac:dyDescent="0.3">
      <c r="A753" t="s">
        <v>630</v>
      </c>
      <c r="B753" t="s">
        <v>29</v>
      </c>
      <c r="C753" t="s">
        <v>474</v>
      </c>
      <c r="D753" s="1">
        <v>45958</v>
      </c>
      <c r="E753" s="1">
        <v>45962</v>
      </c>
      <c r="F753" s="1">
        <v>45965</v>
      </c>
      <c r="G753" s="1">
        <v>45970</v>
      </c>
      <c r="H753" t="s">
        <v>17</v>
      </c>
      <c r="I753">
        <v>0</v>
      </c>
      <c r="J753" t="s">
        <v>18</v>
      </c>
      <c r="K753" s="1">
        <v>45987</v>
      </c>
      <c r="L753">
        <v>4</v>
      </c>
      <c r="M753">
        <v>3</v>
      </c>
      <c r="N753">
        <v>5</v>
      </c>
      <c r="O753">
        <v>4</v>
      </c>
      <c r="P753" t="str">
        <f t="shared" si="22"/>
        <v>Detractor</v>
      </c>
      <c r="Q753">
        <v>11</v>
      </c>
      <c r="R753" t="s">
        <v>1035</v>
      </c>
      <c r="S753">
        <v>11</v>
      </c>
      <c r="T753" t="s">
        <v>1035</v>
      </c>
      <c r="U753" t="str">
        <f t="shared" si="23"/>
        <v>Yes</v>
      </c>
    </row>
    <row r="754" spans="1:21" x14ac:dyDescent="0.3">
      <c r="A754" t="s">
        <v>295</v>
      </c>
      <c r="B754" t="s">
        <v>29</v>
      </c>
      <c r="C754" t="s">
        <v>16</v>
      </c>
      <c r="D754" s="1">
        <v>45956</v>
      </c>
      <c r="E754" s="1">
        <v>45960</v>
      </c>
      <c r="F754" s="1">
        <v>45963</v>
      </c>
      <c r="G754" s="1">
        <v>45965</v>
      </c>
      <c r="H754" t="s">
        <v>17</v>
      </c>
      <c r="I754">
        <v>0</v>
      </c>
      <c r="J754" t="s">
        <v>18</v>
      </c>
      <c r="K754" s="1">
        <v>45982</v>
      </c>
      <c r="L754">
        <v>4</v>
      </c>
      <c r="M754">
        <v>3</v>
      </c>
      <c r="N754">
        <v>2</v>
      </c>
      <c r="O754">
        <v>4</v>
      </c>
      <c r="P754" t="str">
        <f t="shared" si="22"/>
        <v>Detractor</v>
      </c>
      <c r="Q754">
        <v>10</v>
      </c>
      <c r="R754" t="s">
        <v>1034</v>
      </c>
      <c r="S754">
        <v>11</v>
      </c>
      <c r="T754" t="s">
        <v>1035</v>
      </c>
      <c r="U754" t="str">
        <f t="shared" si="23"/>
        <v>Yes</v>
      </c>
    </row>
    <row r="755" spans="1:21" x14ac:dyDescent="0.3">
      <c r="A755" t="s">
        <v>729</v>
      </c>
      <c r="B755" t="s">
        <v>27</v>
      </c>
      <c r="C755" t="s">
        <v>474</v>
      </c>
      <c r="D755" s="1">
        <v>45948</v>
      </c>
      <c r="E755" s="1">
        <v>45953</v>
      </c>
      <c r="F755" s="1">
        <v>45954</v>
      </c>
      <c r="G755" s="1">
        <v>45960</v>
      </c>
      <c r="H755" t="s">
        <v>17</v>
      </c>
      <c r="I755">
        <v>0</v>
      </c>
      <c r="J755" t="s">
        <v>18</v>
      </c>
      <c r="K755" s="1">
        <v>45981</v>
      </c>
      <c r="L755">
        <v>5</v>
      </c>
      <c r="M755">
        <v>1</v>
      </c>
      <c r="N755">
        <v>6</v>
      </c>
      <c r="O755">
        <v>9</v>
      </c>
      <c r="P755" t="str">
        <f t="shared" si="22"/>
        <v>Promoter</v>
      </c>
      <c r="Q755">
        <v>10</v>
      </c>
      <c r="R755" t="s">
        <v>1034</v>
      </c>
      <c r="S755">
        <v>10</v>
      </c>
      <c r="T755" t="s">
        <v>1034</v>
      </c>
      <c r="U755" t="str">
        <f t="shared" si="23"/>
        <v>Yes</v>
      </c>
    </row>
    <row r="756" spans="1:21" x14ac:dyDescent="0.3">
      <c r="A756" t="s">
        <v>296</v>
      </c>
      <c r="B756" t="s">
        <v>22</v>
      </c>
      <c r="C756" t="s">
        <v>16</v>
      </c>
      <c r="D756" s="1">
        <v>45942</v>
      </c>
      <c r="E756" s="1">
        <v>45946</v>
      </c>
      <c r="F756" s="1">
        <v>45947</v>
      </c>
      <c r="G756" s="1">
        <v>45953</v>
      </c>
      <c r="H756" t="s">
        <v>17</v>
      </c>
      <c r="I756">
        <v>0</v>
      </c>
      <c r="J756" t="s">
        <v>18</v>
      </c>
      <c r="K756" s="1">
        <v>45972</v>
      </c>
      <c r="L756">
        <v>4</v>
      </c>
      <c r="M756">
        <v>1</v>
      </c>
      <c r="N756">
        <v>6</v>
      </c>
      <c r="O756">
        <v>6</v>
      </c>
      <c r="P756" t="str">
        <f t="shared" si="22"/>
        <v>Detractor</v>
      </c>
      <c r="Q756">
        <v>10</v>
      </c>
      <c r="R756" t="s">
        <v>1034</v>
      </c>
      <c r="S756">
        <v>10</v>
      </c>
      <c r="T756" t="s">
        <v>1034</v>
      </c>
      <c r="U756" t="str">
        <f t="shared" si="23"/>
        <v>Yes</v>
      </c>
    </row>
    <row r="757" spans="1:21" x14ac:dyDescent="0.3">
      <c r="A757" t="s">
        <v>297</v>
      </c>
      <c r="B757" t="s">
        <v>15</v>
      </c>
      <c r="C757" t="s">
        <v>16</v>
      </c>
      <c r="D757" s="1">
        <v>45933</v>
      </c>
      <c r="E757" s="1">
        <v>45937</v>
      </c>
      <c r="F757" s="1">
        <v>45938</v>
      </c>
      <c r="G757" s="1">
        <v>45940</v>
      </c>
      <c r="H757" t="s">
        <v>17</v>
      </c>
      <c r="I757">
        <v>0</v>
      </c>
      <c r="J757" t="s">
        <v>18</v>
      </c>
      <c r="K757" s="1">
        <v>45954</v>
      </c>
      <c r="L757">
        <v>4</v>
      </c>
      <c r="M757">
        <v>1</v>
      </c>
      <c r="N757">
        <v>2</v>
      </c>
      <c r="O757">
        <v>5</v>
      </c>
      <c r="P757" t="str">
        <f t="shared" si="22"/>
        <v>Detractor</v>
      </c>
      <c r="Q757">
        <v>10</v>
      </c>
      <c r="R757" t="s">
        <v>1034</v>
      </c>
      <c r="S757">
        <v>10</v>
      </c>
      <c r="T757" t="s">
        <v>1034</v>
      </c>
      <c r="U757" t="str">
        <f t="shared" si="23"/>
        <v>Yes</v>
      </c>
    </row>
    <row r="758" spans="1:21" x14ac:dyDescent="0.3">
      <c r="A758" t="s">
        <v>730</v>
      </c>
      <c r="B758" t="s">
        <v>27</v>
      </c>
      <c r="C758" t="s">
        <v>474</v>
      </c>
      <c r="D758" s="1">
        <v>45956</v>
      </c>
      <c r="E758" s="1">
        <v>45961</v>
      </c>
      <c r="F758" s="1">
        <v>45964</v>
      </c>
      <c r="G758" s="1">
        <v>45969</v>
      </c>
      <c r="H758" t="s">
        <v>17</v>
      </c>
      <c r="I758">
        <v>0</v>
      </c>
      <c r="J758" t="s">
        <v>18</v>
      </c>
      <c r="K758" s="1">
        <v>45982</v>
      </c>
      <c r="L758">
        <v>5</v>
      </c>
      <c r="M758">
        <v>3</v>
      </c>
      <c r="N758">
        <v>5</v>
      </c>
      <c r="O758">
        <v>7</v>
      </c>
      <c r="P758" t="str">
        <f t="shared" si="22"/>
        <v>Passive</v>
      </c>
      <c r="Q758">
        <v>10</v>
      </c>
      <c r="R758" t="s">
        <v>1034</v>
      </c>
      <c r="S758">
        <v>11</v>
      </c>
      <c r="T758" t="s">
        <v>1035</v>
      </c>
      <c r="U758" t="str">
        <f t="shared" si="23"/>
        <v>Yes</v>
      </c>
    </row>
    <row r="759" spans="1:21" x14ac:dyDescent="0.3">
      <c r="A759" t="s">
        <v>631</v>
      </c>
      <c r="B759" t="s">
        <v>29</v>
      </c>
      <c r="C759" t="s">
        <v>474</v>
      </c>
      <c r="D759" s="1">
        <v>45943</v>
      </c>
      <c r="E759" s="1">
        <v>45944</v>
      </c>
      <c r="F759" s="1">
        <v>45948</v>
      </c>
      <c r="G759" s="1">
        <v>45955</v>
      </c>
      <c r="H759" t="s">
        <v>17</v>
      </c>
      <c r="I759">
        <v>0</v>
      </c>
      <c r="J759" t="s">
        <v>18</v>
      </c>
      <c r="K759" s="1">
        <v>45977</v>
      </c>
      <c r="L759">
        <v>1</v>
      </c>
      <c r="M759">
        <v>4</v>
      </c>
      <c r="N759">
        <v>7</v>
      </c>
      <c r="O759">
        <v>6</v>
      </c>
      <c r="P759" t="str">
        <f t="shared" si="22"/>
        <v>Detractor</v>
      </c>
      <c r="Q759">
        <v>10</v>
      </c>
      <c r="R759" t="s">
        <v>1034</v>
      </c>
      <c r="S759">
        <v>10</v>
      </c>
      <c r="T759" t="s">
        <v>1034</v>
      </c>
      <c r="U759" t="str">
        <f t="shared" si="23"/>
        <v>Yes</v>
      </c>
    </row>
    <row r="760" spans="1:21" x14ac:dyDescent="0.3">
      <c r="A760" t="s">
        <v>632</v>
      </c>
      <c r="B760" t="s">
        <v>27</v>
      </c>
      <c r="C760" t="s">
        <v>474</v>
      </c>
      <c r="D760" s="1">
        <v>45931</v>
      </c>
      <c r="E760" s="1">
        <v>45933</v>
      </c>
      <c r="F760" s="1">
        <v>45936</v>
      </c>
      <c r="G760" s="1">
        <v>45939</v>
      </c>
      <c r="H760" t="s">
        <v>17</v>
      </c>
      <c r="I760">
        <v>0</v>
      </c>
      <c r="J760" t="s">
        <v>18</v>
      </c>
      <c r="K760" s="1">
        <v>45965</v>
      </c>
      <c r="L760">
        <v>2</v>
      </c>
      <c r="M760">
        <v>3</v>
      </c>
      <c r="N760">
        <v>3</v>
      </c>
      <c r="O760">
        <v>6</v>
      </c>
      <c r="P760" t="str">
        <f t="shared" si="22"/>
        <v>Detractor</v>
      </c>
      <c r="Q760">
        <v>10</v>
      </c>
      <c r="R760" t="s">
        <v>1034</v>
      </c>
      <c r="S760">
        <v>10</v>
      </c>
      <c r="T760" t="s">
        <v>1034</v>
      </c>
      <c r="U760" t="str">
        <f t="shared" si="23"/>
        <v>Yes</v>
      </c>
    </row>
    <row r="761" spans="1:21" x14ac:dyDescent="0.3">
      <c r="A761" t="s">
        <v>980</v>
      </c>
      <c r="B761" t="s">
        <v>29</v>
      </c>
      <c r="C761" t="s">
        <v>841</v>
      </c>
      <c r="D761" s="1">
        <v>45939</v>
      </c>
      <c r="E761" s="1"/>
      <c r="F761" s="1"/>
      <c r="G761" s="1"/>
      <c r="H761" t="s">
        <v>752</v>
      </c>
      <c r="I761">
        <v>1</v>
      </c>
      <c r="J761" t="s">
        <v>756</v>
      </c>
      <c r="K761" s="1"/>
      <c r="P761" t="str">
        <f t="shared" si="22"/>
        <v>Not Applicable</v>
      </c>
      <c r="R761" t="s">
        <v>1036</v>
      </c>
      <c r="T761" t="s">
        <v>1036</v>
      </c>
      <c r="U761" t="str">
        <f t="shared" si="23"/>
        <v>No</v>
      </c>
    </row>
    <row r="762" spans="1:21" x14ac:dyDescent="0.3">
      <c r="A762" t="s">
        <v>633</v>
      </c>
      <c r="B762" t="s">
        <v>29</v>
      </c>
      <c r="C762" t="s">
        <v>474</v>
      </c>
      <c r="D762" s="1">
        <v>45948</v>
      </c>
      <c r="E762" s="1">
        <v>45951</v>
      </c>
      <c r="F762" s="1">
        <v>45954</v>
      </c>
      <c r="G762" s="1">
        <v>45957</v>
      </c>
      <c r="H762" t="s">
        <v>17</v>
      </c>
      <c r="I762">
        <v>0</v>
      </c>
      <c r="J762" t="s">
        <v>18</v>
      </c>
      <c r="K762" s="1">
        <v>45985</v>
      </c>
      <c r="L762">
        <v>3</v>
      </c>
      <c r="M762">
        <v>3</v>
      </c>
      <c r="N762">
        <v>3</v>
      </c>
      <c r="O762">
        <v>2</v>
      </c>
      <c r="P762" t="str">
        <f t="shared" si="22"/>
        <v>Detractor</v>
      </c>
      <c r="Q762">
        <v>10</v>
      </c>
      <c r="R762" t="s">
        <v>1034</v>
      </c>
      <c r="S762">
        <v>10</v>
      </c>
      <c r="T762" t="s">
        <v>1034</v>
      </c>
      <c r="U762" t="str">
        <f t="shared" si="23"/>
        <v>Yes</v>
      </c>
    </row>
    <row r="763" spans="1:21" x14ac:dyDescent="0.3">
      <c r="A763" t="s">
        <v>384</v>
      </c>
      <c r="B763" t="s">
        <v>27</v>
      </c>
      <c r="C763" t="s">
        <v>16</v>
      </c>
      <c r="D763" s="1">
        <v>45934</v>
      </c>
      <c r="E763" s="1">
        <v>45935</v>
      </c>
      <c r="F763" s="1">
        <v>45936</v>
      </c>
      <c r="G763" s="1">
        <v>45940</v>
      </c>
      <c r="H763" t="s">
        <v>17</v>
      </c>
      <c r="I763">
        <v>0</v>
      </c>
      <c r="J763" t="s">
        <v>18</v>
      </c>
      <c r="K763" s="1">
        <v>45959</v>
      </c>
      <c r="L763">
        <v>1</v>
      </c>
      <c r="M763">
        <v>1</v>
      </c>
      <c r="N763">
        <v>4</v>
      </c>
      <c r="O763">
        <v>8</v>
      </c>
      <c r="P763" t="str">
        <f t="shared" si="22"/>
        <v>Passive</v>
      </c>
      <c r="Q763">
        <v>10</v>
      </c>
      <c r="R763" t="s">
        <v>1034</v>
      </c>
      <c r="S763">
        <v>10</v>
      </c>
      <c r="T763" t="s">
        <v>1034</v>
      </c>
      <c r="U763" t="str">
        <f t="shared" si="23"/>
        <v>Yes</v>
      </c>
    </row>
    <row r="764" spans="1:21" x14ac:dyDescent="0.3">
      <c r="A764" t="s">
        <v>981</v>
      </c>
      <c r="B764" t="s">
        <v>22</v>
      </c>
      <c r="C764" t="s">
        <v>841</v>
      </c>
      <c r="D764" s="1">
        <v>45945</v>
      </c>
      <c r="E764" s="1"/>
      <c r="F764" s="1"/>
      <c r="G764" s="1"/>
      <c r="H764" t="s">
        <v>752</v>
      </c>
      <c r="I764">
        <v>1</v>
      </c>
      <c r="J764" t="s">
        <v>753</v>
      </c>
      <c r="K764" s="1"/>
      <c r="P764" t="str">
        <f t="shared" si="22"/>
        <v>Not Applicable</v>
      </c>
      <c r="R764" t="s">
        <v>1036</v>
      </c>
      <c r="T764" t="s">
        <v>1036</v>
      </c>
      <c r="U764" t="str">
        <f t="shared" si="23"/>
        <v>No</v>
      </c>
    </row>
    <row r="765" spans="1:21" x14ac:dyDescent="0.3">
      <c r="A765" t="s">
        <v>825</v>
      </c>
      <c r="B765" t="s">
        <v>29</v>
      </c>
      <c r="C765" t="s">
        <v>16</v>
      </c>
      <c r="D765" s="1">
        <v>45942</v>
      </c>
      <c r="E765" s="1">
        <v>45946</v>
      </c>
      <c r="F765" s="1">
        <v>45948</v>
      </c>
      <c r="G765" s="1">
        <v>45952</v>
      </c>
      <c r="H765" t="s">
        <v>752</v>
      </c>
      <c r="I765">
        <v>1</v>
      </c>
      <c r="J765" t="s">
        <v>756</v>
      </c>
      <c r="K765" s="1"/>
      <c r="L765">
        <v>4</v>
      </c>
      <c r="M765">
        <v>2</v>
      </c>
      <c r="N765">
        <v>4</v>
      </c>
      <c r="P765" t="str">
        <f t="shared" si="22"/>
        <v>Not Applicable</v>
      </c>
      <c r="Q765">
        <v>10</v>
      </c>
      <c r="R765" t="s">
        <v>1034</v>
      </c>
      <c r="S765">
        <v>10</v>
      </c>
      <c r="T765" t="s">
        <v>1034</v>
      </c>
      <c r="U765" t="str">
        <f t="shared" si="23"/>
        <v>No</v>
      </c>
    </row>
    <row r="766" spans="1:21" x14ac:dyDescent="0.3">
      <c r="A766" t="s">
        <v>982</v>
      </c>
      <c r="B766" t="s">
        <v>22</v>
      </c>
      <c r="C766" t="s">
        <v>841</v>
      </c>
      <c r="D766" s="1">
        <v>45952</v>
      </c>
      <c r="E766" s="1"/>
      <c r="F766" s="1"/>
      <c r="G766" s="1"/>
      <c r="H766" t="s">
        <v>752</v>
      </c>
      <c r="I766">
        <v>1</v>
      </c>
      <c r="J766" t="s">
        <v>777</v>
      </c>
      <c r="K766" s="1"/>
      <c r="P766" t="str">
        <f t="shared" si="22"/>
        <v>Not Applicable</v>
      </c>
      <c r="R766" t="s">
        <v>1036</v>
      </c>
      <c r="T766" t="s">
        <v>1036</v>
      </c>
      <c r="U766" t="str">
        <f t="shared" si="23"/>
        <v>No</v>
      </c>
    </row>
    <row r="767" spans="1:21" x14ac:dyDescent="0.3">
      <c r="A767" t="s">
        <v>298</v>
      </c>
      <c r="B767" t="s">
        <v>15</v>
      </c>
      <c r="C767" t="s">
        <v>16</v>
      </c>
      <c r="D767" s="1">
        <v>45954</v>
      </c>
      <c r="E767" s="1">
        <v>45958</v>
      </c>
      <c r="F767" s="1">
        <v>45959</v>
      </c>
      <c r="G767" s="1">
        <v>45963</v>
      </c>
      <c r="H767" t="s">
        <v>17</v>
      </c>
      <c r="I767">
        <v>0</v>
      </c>
      <c r="J767" t="s">
        <v>18</v>
      </c>
      <c r="K767" s="1">
        <v>45978</v>
      </c>
      <c r="L767">
        <v>4</v>
      </c>
      <c r="M767">
        <v>1</v>
      </c>
      <c r="N767">
        <v>4</v>
      </c>
      <c r="O767">
        <v>1</v>
      </c>
      <c r="P767" t="str">
        <f t="shared" si="22"/>
        <v>Detractor</v>
      </c>
      <c r="Q767">
        <v>10</v>
      </c>
      <c r="R767" t="s">
        <v>1034</v>
      </c>
      <c r="S767">
        <v>11</v>
      </c>
      <c r="T767" t="s">
        <v>1035</v>
      </c>
      <c r="U767" t="str">
        <f t="shared" si="23"/>
        <v>Yes</v>
      </c>
    </row>
    <row r="768" spans="1:21" x14ac:dyDescent="0.3">
      <c r="A768" t="s">
        <v>983</v>
      </c>
      <c r="B768" t="s">
        <v>29</v>
      </c>
      <c r="C768" t="s">
        <v>841</v>
      </c>
      <c r="D768" s="1">
        <v>45952</v>
      </c>
      <c r="E768" s="1"/>
      <c r="F768" s="1"/>
      <c r="G768" s="1"/>
      <c r="H768" t="s">
        <v>752</v>
      </c>
      <c r="I768">
        <v>1</v>
      </c>
      <c r="J768" t="s">
        <v>765</v>
      </c>
      <c r="K768" s="1"/>
      <c r="P768" t="str">
        <f t="shared" si="22"/>
        <v>Not Applicable</v>
      </c>
      <c r="R768" t="s">
        <v>1036</v>
      </c>
      <c r="T768" t="s">
        <v>1036</v>
      </c>
      <c r="U768" t="str">
        <f t="shared" si="23"/>
        <v>No</v>
      </c>
    </row>
    <row r="769" spans="1:21" x14ac:dyDescent="0.3">
      <c r="A769" t="s">
        <v>731</v>
      </c>
      <c r="B769" t="s">
        <v>22</v>
      </c>
      <c r="C769" t="s">
        <v>474</v>
      </c>
      <c r="D769" s="1">
        <v>45939</v>
      </c>
      <c r="E769" s="1">
        <v>45944</v>
      </c>
      <c r="F769" s="1">
        <v>45946</v>
      </c>
      <c r="G769" s="1">
        <v>45951</v>
      </c>
      <c r="H769" t="s">
        <v>17</v>
      </c>
      <c r="I769">
        <v>0</v>
      </c>
      <c r="J769" t="s">
        <v>18</v>
      </c>
      <c r="K769" s="1">
        <v>45963</v>
      </c>
      <c r="L769">
        <v>5</v>
      </c>
      <c r="M769">
        <v>2</v>
      </c>
      <c r="N769">
        <v>5</v>
      </c>
      <c r="O769">
        <v>0</v>
      </c>
      <c r="P769" t="str">
        <f t="shared" si="22"/>
        <v>Detractor</v>
      </c>
      <c r="Q769">
        <v>10</v>
      </c>
      <c r="R769" t="s">
        <v>1034</v>
      </c>
      <c r="S769">
        <v>10</v>
      </c>
      <c r="T769" t="s">
        <v>1034</v>
      </c>
      <c r="U769" t="str">
        <f t="shared" si="23"/>
        <v>Yes</v>
      </c>
    </row>
    <row r="770" spans="1:21" x14ac:dyDescent="0.3">
      <c r="A770" t="s">
        <v>634</v>
      </c>
      <c r="B770" t="s">
        <v>22</v>
      </c>
      <c r="C770" t="s">
        <v>474</v>
      </c>
      <c r="D770" s="1">
        <v>45949</v>
      </c>
      <c r="E770" s="1">
        <v>45952</v>
      </c>
      <c r="F770" s="1">
        <v>45956</v>
      </c>
      <c r="G770" s="1">
        <v>45963</v>
      </c>
      <c r="H770" t="s">
        <v>17</v>
      </c>
      <c r="I770">
        <v>0</v>
      </c>
      <c r="J770" t="s">
        <v>18</v>
      </c>
      <c r="K770" s="1">
        <v>45974</v>
      </c>
      <c r="L770">
        <v>3</v>
      </c>
      <c r="M770">
        <v>4</v>
      </c>
      <c r="N770">
        <v>7</v>
      </c>
      <c r="O770">
        <v>4</v>
      </c>
      <c r="P770" t="str">
        <f t="shared" ref="P770:P833" si="24">IF(ISBLANK(O770), "Not Applicable", IF(O770&gt;=9, "Promoter", IF(O770&gt;=7, "Passive", "Detractor")))</f>
        <v>Detractor</v>
      </c>
      <c r="Q770">
        <v>10</v>
      </c>
      <c r="R770" t="s">
        <v>1034</v>
      </c>
      <c r="S770">
        <v>11</v>
      </c>
      <c r="T770" t="s">
        <v>1035</v>
      </c>
      <c r="U770" t="str">
        <f t="shared" ref="U770:U833" si="25">IF(
H770="Yes","No",
IF(
OR(
C770="Hot",
AND(C770="Warm",NOT(ISBLANK(E770)))
),
"Yes",
"No"
)
)</f>
        <v>Yes</v>
      </c>
    </row>
    <row r="771" spans="1:21" x14ac:dyDescent="0.3">
      <c r="A771" t="s">
        <v>457</v>
      </c>
      <c r="B771" t="s">
        <v>15</v>
      </c>
      <c r="C771" t="s">
        <v>16</v>
      </c>
      <c r="D771" s="1">
        <v>45943</v>
      </c>
      <c r="E771" s="1">
        <v>45945</v>
      </c>
      <c r="F771" s="1">
        <v>45949</v>
      </c>
      <c r="G771" s="1">
        <v>45956</v>
      </c>
      <c r="H771" t="s">
        <v>17</v>
      </c>
      <c r="I771">
        <v>0</v>
      </c>
      <c r="J771" t="s">
        <v>18</v>
      </c>
      <c r="K771" s="1">
        <v>45975</v>
      </c>
      <c r="L771">
        <v>2</v>
      </c>
      <c r="M771">
        <v>4</v>
      </c>
      <c r="N771">
        <v>7</v>
      </c>
      <c r="O771">
        <v>0</v>
      </c>
      <c r="P771" t="str">
        <f t="shared" si="24"/>
        <v>Detractor</v>
      </c>
      <c r="Q771">
        <v>10</v>
      </c>
      <c r="R771" t="s">
        <v>1034</v>
      </c>
      <c r="S771">
        <v>10</v>
      </c>
      <c r="T771" t="s">
        <v>1034</v>
      </c>
      <c r="U771" t="str">
        <f t="shared" si="25"/>
        <v>Yes</v>
      </c>
    </row>
    <row r="772" spans="1:21" x14ac:dyDescent="0.3">
      <c r="A772" t="s">
        <v>984</v>
      </c>
      <c r="B772" t="s">
        <v>22</v>
      </c>
      <c r="C772" t="s">
        <v>841</v>
      </c>
      <c r="D772" s="1">
        <v>45957</v>
      </c>
      <c r="E772" s="1"/>
      <c r="F772" s="1"/>
      <c r="G772" s="1"/>
      <c r="H772" t="s">
        <v>752</v>
      </c>
      <c r="I772">
        <v>1</v>
      </c>
      <c r="J772" t="s">
        <v>777</v>
      </c>
      <c r="K772" s="1"/>
      <c r="P772" t="str">
        <f t="shared" si="24"/>
        <v>Not Applicable</v>
      </c>
      <c r="R772" t="s">
        <v>1036</v>
      </c>
      <c r="T772" t="s">
        <v>1036</v>
      </c>
      <c r="U772" t="str">
        <f t="shared" si="25"/>
        <v>No</v>
      </c>
    </row>
    <row r="773" spans="1:21" x14ac:dyDescent="0.3">
      <c r="A773" t="s">
        <v>985</v>
      </c>
      <c r="B773" t="s">
        <v>22</v>
      </c>
      <c r="C773" t="s">
        <v>841</v>
      </c>
      <c r="D773" s="1">
        <v>45951</v>
      </c>
      <c r="E773" s="1"/>
      <c r="F773" s="1"/>
      <c r="G773" s="1"/>
      <c r="H773" t="s">
        <v>752</v>
      </c>
      <c r="I773">
        <v>1</v>
      </c>
      <c r="J773" t="s">
        <v>758</v>
      </c>
      <c r="K773" s="1"/>
      <c r="P773" t="str">
        <f t="shared" si="24"/>
        <v>Not Applicable</v>
      </c>
      <c r="R773" t="s">
        <v>1036</v>
      </c>
      <c r="T773" t="s">
        <v>1036</v>
      </c>
      <c r="U773" t="str">
        <f t="shared" si="25"/>
        <v>No</v>
      </c>
    </row>
    <row r="774" spans="1:21" x14ac:dyDescent="0.3">
      <c r="A774" t="s">
        <v>732</v>
      </c>
      <c r="B774" t="s">
        <v>15</v>
      </c>
      <c r="C774" t="s">
        <v>474</v>
      </c>
      <c r="D774" s="1">
        <v>45961</v>
      </c>
      <c r="E774" s="1">
        <v>45966</v>
      </c>
      <c r="F774" s="1">
        <v>45971</v>
      </c>
      <c r="G774" s="1">
        <v>45975</v>
      </c>
      <c r="H774" t="s">
        <v>17</v>
      </c>
      <c r="I774">
        <v>0</v>
      </c>
      <c r="J774" t="s">
        <v>18</v>
      </c>
      <c r="K774" s="1">
        <v>45994</v>
      </c>
      <c r="L774">
        <v>5</v>
      </c>
      <c r="M774">
        <v>5</v>
      </c>
      <c r="N774">
        <v>4</v>
      </c>
      <c r="O774">
        <v>4</v>
      </c>
      <c r="P774" t="str">
        <f t="shared" si="24"/>
        <v>Detractor</v>
      </c>
      <c r="Q774">
        <v>11</v>
      </c>
      <c r="R774" t="s">
        <v>1035</v>
      </c>
      <c r="S774">
        <v>11</v>
      </c>
      <c r="T774" t="s">
        <v>1035</v>
      </c>
      <c r="U774" t="str">
        <f t="shared" si="25"/>
        <v>Yes</v>
      </c>
    </row>
    <row r="775" spans="1:21" x14ac:dyDescent="0.3">
      <c r="A775" t="s">
        <v>733</v>
      </c>
      <c r="B775" t="s">
        <v>29</v>
      </c>
      <c r="C775" t="s">
        <v>474</v>
      </c>
      <c r="D775" s="1">
        <v>45942</v>
      </c>
      <c r="E775" s="1">
        <v>45947</v>
      </c>
      <c r="F775" s="1">
        <v>45952</v>
      </c>
      <c r="G775" s="1">
        <v>45956</v>
      </c>
      <c r="H775" t="s">
        <v>17</v>
      </c>
      <c r="I775">
        <v>0</v>
      </c>
      <c r="J775" t="s">
        <v>18</v>
      </c>
      <c r="K775" s="1">
        <v>45980</v>
      </c>
      <c r="L775">
        <v>5</v>
      </c>
      <c r="M775">
        <v>5</v>
      </c>
      <c r="N775">
        <v>4</v>
      </c>
      <c r="O775">
        <v>1</v>
      </c>
      <c r="P775" t="str">
        <f t="shared" si="24"/>
        <v>Detractor</v>
      </c>
      <c r="Q775">
        <v>10</v>
      </c>
      <c r="R775" t="s">
        <v>1034</v>
      </c>
      <c r="S775">
        <v>10</v>
      </c>
      <c r="T775" t="s">
        <v>1034</v>
      </c>
      <c r="U775" t="str">
        <f t="shared" si="25"/>
        <v>Yes</v>
      </c>
    </row>
    <row r="776" spans="1:21" x14ac:dyDescent="0.3">
      <c r="A776" t="s">
        <v>986</v>
      </c>
      <c r="B776" t="s">
        <v>22</v>
      </c>
      <c r="C776" t="s">
        <v>841</v>
      </c>
      <c r="D776" s="1">
        <v>45934</v>
      </c>
      <c r="E776" s="1"/>
      <c r="F776" s="1"/>
      <c r="G776" s="1"/>
      <c r="H776" t="s">
        <v>752</v>
      </c>
      <c r="I776">
        <v>1</v>
      </c>
      <c r="J776" t="s">
        <v>753</v>
      </c>
      <c r="K776" s="1"/>
      <c r="P776" t="str">
        <f t="shared" si="24"/>
        <v>Not Applicable</v>
      </c>
      <c r="R776" t="s">
        <v>1036</v>
      </c>
      <c r="T776" t="s">
        <v>1036</v>
      </c>
      <c r="U776" t="str">
        <f t="shared" si="25"/>
        <v>No</v>
      </c>
    </row>
    <row r="777" spans="1:21" x14ac:dyDescent="0.3">
      <c r="A777" t="s">
        <v>635</v>
      </c>
      <c r="B777" t="s">
        <v>22</v>
      </c>
      <c r="C777" t="s">
        <v>474</v>
      </c>
      <c r="D777" s="1">
        <v>45952</v>
      </c>
      <c r="E777" s="1">
        <v>45954</v>
      </c>
      <c r="F777" s="1">
        <v>45959</v>
      </c>
      <c r="G777" s="1">
        <v>45964</v>
      </c>
      <c r="H777" t="s">
        <v>17</v>
      </c>
      <c r="I777">
        <v>0</v>
      </c>
      <c r="J777" t="s">
        <v>18</v>
      </c>
      <c r="K777" s="1">
        <v>45990</v>
      </c>
      <c r="L777">
        <v>2</v>
      </c>
      <c r="M777">
        <v>5</v>
      </c>
      <c r="N777">
        <v>5</v>
      </c>
      <c r="O777">
        <v>10</v>
      </c>
      <c r="P777" t="str">
        <f t="shared" si="24"/>
        <v>Promoter</v>
      </c>
      <c r="Q777">
        <v>10</v>
      </c>
      <c r="R777" t="s">
        <v>1034</v>
      </c>
      <c r="S777">
        <v>11</v>
      </c>
      <c r="T777" t="s">
        <v>1035</v>
      </c>
      <c r="U777" t="str">
        <f t="shared" si="25"/>
        <v>Yes</v>
      </c>
    </row>
    <row r="778" spans="1:21" x14ac:dyDescent="0.3">
      <c r="A778" t="s">
        <v>458</v>
      </c>
      <c r="B778" t="s">
        <v>22</v>
      </c>
      <c r="C778" t="s">
        <v>16</v>
      </c>
      <c r="D778" s="1">
        <v>45938</v>
      </c>
      <c r="E778" s="1">
        <v>45940</v>
      </c>
      <c r="F778" s="1">
        <v>45944</v>
      </c>
      <c r="G778" s="1">
        <v>45948</v>
      </c>
      <c r="H778" t="s">
        <v>17</v>
      </c>
      <c r="I778">
        <v>0</v>
      </c>
      <c r="J778" t="s">
        <v>18</v>
      </c>
      <c r="K778" s="1">
        <v>45977</v>
      </c>
      <c r="L778">
        <v>2</v>
      </c>
      <c r="M778">
        <v>4</v>
      </c>
      <c r="N778">
        <v>4</v>
      </c>
      <c r="O778">
        <v>1</v>
      </c>
      <c r="P778" t="str">
        <f t="shared" si="24"/>
        <v>Detractor</v>
      </c>
      <c r="Q778">
        <v>10</v>
      </c>
      <c r="R778" t="s">
        <v>1034</v>
      </c>
      <c r="S778">
        <v>10</v>
      </c>
      <c r="T778" t="s">
        <v>1034</v>
      </c>
      <c r="U778" t="str">
        <f t="shared" si="25"/>
        <v>Yes</v>
      </c>
    </row>
    <row r="779" spans="1:21" x14ac:dyDescent="0.3">
      <c r="A779" t="s">
        <v>987</v>
      </c>
      <c r="B779" t="s">
        <v>27</v>
      </c>
      <c r="C779" t="s">
        <v>841</v>
      </c>
      <c r="D779" s="1">
        <v>45946</v>
      </c>
      <c r="E779" s="1"/>
      <c r="F779" s="1"/>
      <c r="G779" s="1"/>
      <c r="H779" t="s">
        <v>752</v>
      </c>
      <c r="I779">
        <v>1</v>
      </c>
      <c r="J779" t="s">
        <v>756</v>
      </c>
      <c r="K779" s="1"/>
      <c r="P779" t="str">
        <f t="shared" si="24"/>
        <v>Not Applicable</v>
      </c>
      <c r="R779" t="s">
        <v>1036</v>
      </c>
      <c r="T779" t="s">
        <v>1036</v>
      </c>
      <c r="U779" t="str">
        <f t="shared" si="25"/>
        <v>No</v>
      </c>
    </row>
    <row r="780" spans="1:21" x14ac:dyDescent="0.3">
      <c r="A780" t="s">
        <v>299</v>
      </c>
      <c r="B780" t="s">
        <v>15</v>
      </c>
      <c r="C780" t="s">
        <v>16</v>
      </c>
      <c r="D780" s="1">
        <v>45931</v>
      </c>
      <c r="E780" s="1">
        <v>45935</v>
      </c>
      <c r="F780" s="1">
        <v>45936</v>
      </c>
      <c r="G780" s="1">
        <v>45939</v>
      </c>
      <c r="H780" t="s">
        <v>17</v>
      </c>
      <c r="I780">
        <v>0</v>
      </c>
      <c r="J780" t="s">
        <v>18</v>
      </c>
      <c r="K780" s="1">
        <v>45965</v>
      </c>
      <c r="L780">
        <v>4</v>
      </c>
      <c r="M780">
        <v>1</v>
      </c>
      <c r="N780">
        <v>3</v>
      </c>
      <c r="O780">
        <v>3</v>
      </c>
      <c r="P780" t="str">
        <f t="shared" si="24"/>
        <v>Detractor</v>
      </c>
      <c r="Q780">
        <v>10</v>
      </c>
      <c r="R780" t="s">
        <v>1034</v>
      </c>
      <c r="S780">
        <v>10</v>
      </c>
      <c r="T780" t="s">
        <v>1034</v>
      </c>
      <c r="U780" t="str">
        <f t="shared" si="25"/>
        <v>Yes</v>
      </c>
    </row>
    <row r="781" spans="1:21" x14ac:dyDescent="0.3">
      <c r="A781" t="s">
        <v>199</v>
      </c>
      <c r="B781" t="s">
        <v>27</v>
      </c>
      <c r="C781" t="s">
        <v>16</v>
      </c>
      <c r="D781" s="1">
        <v>45950</v>
      </c>
      <c r="E781" s="1">
        <v>45955</v>
      </c>
      <c r="F781" s="1">
        <v>45956</v>
      </c>
      <c r="G781" s="1">
        <v>45958</v>
      </c>
      <c r="H781" t="s">
        <v>17</v>
      </c>
      <c r="I781">
        <v>0</v>
      </c>
      <c r="J781" t="s">
        <v>18</v>
      </c>
      <c r="K781" s="1">
        <v>45978</v>
      </c>
      <c r="L781">
        <v>5</v>
      </c>
      <c r="M781">
        <v>1</v>
      </c>
      <c r="N781">
        <v>2</v>
      </c>
      <c r="O781">
        <v>2</v>
      </c>
      <c r="P781" t="str">
        <f t="shared" si="24"/>
        <v>Detractor</v>
      </c>
      <c r="Q781">
        <v>10</v>
      </c>
      <c r="R781" t="s">
        <v>1034</v>
      </c>
      <c r="S781">
        <v>10</v>
      </c>
      <c r="T781" t="s">
        <v>1034</v>
      </c>
      <c r="U781" t="str">
        <f t="shared" si="25"/>
        <v>Yes</v>
      </c>
    </row>
    <row r="782" spans="1:21" x14ac:dyDescent="0.3">
      <c r="A782" t="s">
        <v>385</v>
      </c>
      <c r="B782" t="s">
        <v>15</v>
      </c>
      <c r="C782" t="s">
        <v>16</v>
      </c>
      <c r="D782" s="1">
        <v>45959</v>
      </c>
      <c r="E782" s="1">
        <v>45960</v>
      </c>
      <c r="F782" s="1">
        <v>45961</v>
      </c>
      <c r="G782" s="1">
        <v>45964</v>
      </c>
      <c r="H782" t="s">
        <v>17</v>
      </c>
      <c r="I782">
        <v>0</v>
      </c>
      <c r="J782" t="s">
        <v>18</v>
      </c>
      <c r="K782" s="1">
        <v>45987</v>
      </c>
      <c r="L782">
        <v>1</v>
      </c>
      <c r="M782">
        <v>1</v>
      </c>
      <c r="N782">
        <v>3</v>
      </c>
      <c r="O782">
        <v>2</v>
      </c>
      <c r="P782" t="str">
        <f t="shared" si="24"/>
        <v>Detractor</v>
      </c>
      <c r="Q782">
        <v>10</v>
      </c>
      <c r="R782" t="s">
        <v>1034</v>
      </c>
      <c r="S782">
        <v>11</v>
      </c>
      <c r="T782" t="s">
        <v>1035</v>
      </c>
      <c r="U782" t="str">
        <f t="shared" si="25"/>
        <v>Yes</v>
      </c>
    </row>
    <row r="783" spans="1:21" x14ac:dyDescent="0.3">
      <c r="A783" t="s">
        <v>636</v>
      </c>
      <c r="B783" t="s">
        <v>29</v>
      </c>
      <c r="C783" t="s">
        <v>474</v>
      </c>
      <c r="D783" s="1">
        <v>45961</v>
      </c>
      <c r="E783" s="1">
        <v>45962</v>
      </c>
      <c r="F783" s="1">
        <v>45965</v>
      </c>
      <c r="G783" s="1">
        <v>45968</v>
      </c>
      <c r="H783" t="s">
        <v>17</v>
      </c>
      <c r="I783">
        <v>0</v>
      </c>
      <c r="J783" t="s">
        <v>18</v>
      </c>
      <c r="K783" s="1">
        <v>45982</v>
      </c>
      <c r="L783">
        <v>1</v>
      </c>
      <c r="M783">
        <v>3</v>
      </c>
      <c r="N783">
        <v>3</v>
      </c>
      <c r="O783">
        <v>4</v>
      </c>
      <c r="P783" t="str">
        <f t="shared" si="24"/>
        <v>Detractor</v>
      </c>
      <c r="Q783">
        <v>11</v>
      </c>
      <c r="R783" t="s">
        <v>1035</v>
      </c>
      <c r="S783">
        <v>11</v>
      </c>
      <c r="T783" t="s">
        <v>1035</v>
      </c>
      <c r="U783" t="str">
        <f t="shared" si="25"/>
        <v>Yes</v>
      </c>
    </row>
    <row r="784" spans="1:21" x14ac:dyDescent="0.3">
      <c r="A784" t="s">
        <v>988</v>
      </c>
      <c r="B784" t="s">
        <v>29</v>
      </c>
      <c r="C784" t="s">
        <v>841</v>
      </c>
      <c r="D784" s="1">
        <v>45948</v>
      </c>
      <c r="E784" s="1"/>
      <c r="F784" s="1"/>
      <c r="G784" s="1"/>
      <c r="H784" t="s">
        <v>752</v>
      </c>
      <c r="I784">
        <v>1</v>
      </c>
      <c r="J784" t="s">
        <v>758</v>
      </c>
      <c r="K784" s="1"/>
      <c r="P784" t="str">
        <f t="shared" si="24"/>
        <v>Not Applicable</v>
      </c>
      <c r="R784" t="s">
        <v>1036</v>
      </c>
      <c r="T784" t="s">
        <v>1036</v>
      </c>
      <c r="U784" t="str">
        <f t="shared" si="25"/>
        <v>No</v>
      </c>
    </row>
    <row r="785" spans="1:21" x14ac:dyDescent="0.3">
      <c r="A785" t="s">
        <v>200</v>
      </c>
      <c r="B785" t="s">
        <v>22</v>
      </c>
      <c r="C785" t="s">
        <v>16</v>
      </c>
      <c r="D785" s="1">
        <v>45941</v>
      </c>
      <c r="E785" s="1">
        <v>45946</v>
      </c>
      <c r="F785" s="1">
        <v>45951</v>
      </c>
      <c r="G785" s="1">
        <v>45957</v>
      </c>
      <c r="H785" t="s">
        <v>17</v>
      </c>
      <c r="I785">
        <v>0</v>
      </c>
      <c r="J785" t="s">
        <v>18</v>
      </c>
      <c r="K785" s="1">
        <v>45977</v>
      </c>
      <c r="L785">
        <v>5</v>
      </c>
      <c r="M785">
        <v>5</v>
      </c>
      <c r="N785">
        <v>6</v>
      </c>
      <c r="O785">
        <v>9</v>
      </c>
      <c r="P785" t="str">
        <f t="shared" si="24"/>
        <v>Promoter</v>
      </c>
      <c r="Q785">
        <v>10</v>
      </c>
      <c r="R785" t="s">
        <v>1034</v>
      </c>
      <c r="S785">
        <v>10</v>
      </c>
      <c r="T785" t="s">
        <v>1034</v>
      </c>
      <c r="U785" t="str">
        <f t="shared" si="25"/>
        <v>Yes</v>
      </c>
    </row>
    <row r="786" spans="1:21" x14ac:dyDescent="0.3">
      <c r="A786" t="s">
        <v>989</v>
      </c>
      <c r="B786" t="s">
        <v>15</v>
      </c>
      <c r="C786" t="s">
        <v>841</v>
      </c>
      <c r="D786" s="1">
        <v>45960</v>
      </c>
      <c r="E786" s="1"/>
      <c r="F786" s="1"/>
      <c r="G786" s="1"/>
      <c r="H786" t="s">
        <v>752</v>
      </c>
      <c r="I786">
        <v>1</v>
      </c>
      <c r="J786" t="s">
        <v>756</v>
      </c>
      <c r="K786" s="1"/>
      <c r="P786" t="str">
        <f t="shared" si="24"/>
        <v>Not Applicable</v>
      </c>
      <c r="R786" t="s">
        <v>1036</v>
      </c>
      <c r="T786" t="s">
        <v>1036</v>
      </c>
      <c r="U786" t="str">
        <f t="shared" si="25"/>
        <v>No</v>
      </c>
    </row>
    <row r="787" spans="1:21" x14ac:dyDescent="0.3">
      <c r="A787" t="s">
        <v>637</v>
      </c>
      <c r="B787" t="s">
        <v>29</v>
      </c>
      <c r="C787" t="s">
        <v>474</v>
      </c>
      <c r="D787" s="1">
        <v>45950</v>
      </c>
      <c r="E787" s="1">
        <v>45952</v>
      </c>
      <c r="F787" s="1">
        <v>45953</v>
      </c>
      <c r="G787" s="1">
        <v>45955</v>
      </c>
      <c r="H787" t="s">
        <v>17</v>
      </c>
      <c r="I787">
        <v>0</v>
      </c>
      <c r="J787" t="s">
        <v>18</v>
      </c>
      <c r="K787" s="1">
        <v>45980</v>
      </c>
      <c r="L787">
        <v>2</v>
      </c>
      <c r="M787">
        <v>1</v>
      </c>
      <c r="N787">
        <v>2</v>
      </c>
      <c r="O787">
        <v>7</v>
      </c>
      <c r="P787" t="str">
        <f t="shared" si="24"/>
        <v>Passive</v>
      </c>
      <c r="Q787">
        <v>10</v>
      </c>
      <c r="R787" t="s">
        <v>1034</v>
      </c>
      <c r="S787">
        <v>10</v>
      </c>
      <c r="T787" t="s">
        <v>1034</v>
      </c>
      <c r="U787" t="str">
        <f t="shared" si="25"/>
        <v>Yes</v>
      </c>
    </row>
    <row r="788" spans="1:21" x14ac:dyDescent="0.3">
      <c r="A788" t="s">
        <v>990</v>
      </c>
      <c r="B788" t="s">
        <v>15</v>
      </c>
      <c r="C788" t="s">
        <v>841</v>
      </c>
      <c r="D788" s="1">
        <v>45938</v>
      </c>
      <c r="E788" s="1"/>
      <c r="F788" s="1"/>
      <c r="G788" s="1"/>
      <c r="H788" t="s">
        <v>752</v>
      </c>
      <c r="I788">
        <v>1</v>
      </c>
      <c r="J788" t="s">
        <v>765</v>
      </c>
      <c r="K788" s="1"/>
      <c r="P788" t="str">
        <f t="shared" si="24"/>
        <v>Not Applicable</v>
      </c>
      <c r="R788" t="s">
        <v>1036</v>
      </c>
      <c r="T788" t="s">
        <v>1036</v>
      </c>
      <c r="U788" t="str">
        <f t="shared" si="25"/>
        <v>No</v>
      </c>
    </row>
    <row r="789" spans="1:21" x14ac:dyDescent="0.3">
      <c r="A789" t="s">
        <v>108</v>
      </c>
      <c r="B789" t="s">
        <v>29</v>
      </c>
      <c r="C789" t="s">
        <v>16</v>
      </c>
      <c r="D789" s="1">
        <v>45951</v>
      </c>
      <c r="E789" s="1">
        <v>45954</v>
      </c>
      <c r="F789" s="1">
        <v>45959</v>
      </c>
      <c r="G789" s="1">
        <v>45962</v>
      </c>
      <c r="H789" t="s">
        <v>17</v>
      </c>
      <c r="I789">
        <v>0</v>
      </c>
      <c r="J789" t="s">
        <v>18</v>
      </c>
      <c r="K789" s="1">
        <v>45983</v>
      </c>
      <c r="L789">
        <v>3</v>
      </c>
      <c r="M789">
        <v>5</v>
      </c>
      <c r="N789">
        <v>3</v>
      </c>
      <c r="O789">
        <v>3</v>
      </c>
      <c r="P789" t="str">
        <f t="shared" si="24"/>
        <v>Detractor</v>
      </c>
      <c r="Q789">
        <v>10</v>
      </c>
      <c r="R789" t="s">
        <v>1034</v>
      </c>
      <c r="S789">
        <v>11</v>
      </c>
      <c r="T789" t="s">
        <v>1035</v>
      </c>
      <c r="U789" t="str">
        <f t="shared" si="25"/>
        <v>Yes</v>
      </c>
    </row>
    <row r="790" spans="1:21" x14ac:dyDescent="0.3">
      <c r="A790" t="s">
        <v>638</v>
      </c>
      <c r="B790" t="s">
        <v>27</v>
      </c>
      <c r="C790" t="s">
        <v>474</v>
      </c>
      <c r="D790" s="1">
        <v>45933</v>
      </c>
      <c r="E790" s="1">
        <v>45935</v>
      </c>
      <c r="F790" s="1">
        <v>45940</v>
      </c>
      <c r="G790" s="1">
        <v>45942</v>
      </c>
      <c r="H790" t="s">
        <v>17</v>
      </c>
      <c r="I790">
        <v>0</v>
      </c>
      <c r="J790" t="s">
        <v>18</v>
      </c>
      <c r="K790" s="1">
        <v>45958</v>
      </c>
      <c r="L790">
        <v>2</v>
      </c>
      <c r="M790">
        <v>5</v>
      </c>
      <c r="N790">
        <v>2</v>
      </c>
      <c r="O790">
        <v>3</v>
      </c>
      <c r="P790" t="str">
        <f t="shared" si="24"/>
        <v>Detractor</v>
      </c>
      <c r="Q790">
        <v>10</v>
      </c>
      <c r="R790" t="s">
        <v>1034</v>
      </c>
      <c r="S790">
        <v>10</v>
      </c>
      <c r="T790" t="s">
        <v>1034</v>
      </c>
      <c r="U790" t="str">
        <f t="shared" si="25"/>
        <v>Yes</v>
      </c>
    </row>
    <row r="791" spans="1:21" x14ac:dyDescent="0.3">
      <c r="A791" t="s">
        <v>639</v>
      </c>
      <c r="B791" t="s">
        <v>29</v>
      </c>
      <c r="C791" t="s">
        <v>474</v>
      </c>
      <c r="D791" s="1">
        <v>45951</v>
      </c>
      <c r="E791" s="1">
        <v>45953</v>
      </c>
      <c r="F791" s="1">
        <v>45956</v>
      </c>
      <c r="G791" s="1">
        <v>45959</v>
      </c>
      <c r="H791" t="s">
        <v>17</v>
      </c>
      <c r="I791">
        <v>0</v>
      </c>
      <c r="J791" t="s">
        <v>18</v>
      </c>
      <c r="K791" s="1">
        <v>45974</v>
      </c>
      <c r="L791">
        <v>2</v>
      </c>
      <c r="M791">
        <v>3</v>
      </c>
      <c r="N791">
        <v>3</v>
      </c>
      <c r="O791">
        <v>3</v>
      </c>
      <c r="P791" t="str">
        <f t="shared" si="24"/>
        <v>Detractor</v>
      </c>
      <c r="Q791">
        <v>10</v>
      </c>
      <c r="R791" t="s">
        <v>1034</v>
      </c>
      <c r="S791">
        <v>10</v>
      </c>
      <c r="T791" t="s">
        <v>1034</v>
      </c>
      <c r="U791" t="str">
        <f t="shared" si="25"/>
        <v>Yes</v>
      </c>
    </row>
    <row r="792" spans="1:21" x14ac:dyDescent="0.3">
      <c r="A792" t="s">
        <v>109</v>
      </c>
      <c r="B792" t="s">
        <v>27</v>
      </c>
      <c r="C792" t="s">
        <v>16</v>
      </c>
      <c r="D792" s="1">
        <v>45957</v>
      </c>
      <c r="E792" s="1">
        <v>45960</v>
      </c>
      <c r="F792" s="1">
        <v>45964</v>
      </c>
      <c r="G792" s="1">
        <v>45969</v>
      </c>
      <c r="H792" t="s">
        <v>17</v>
      </c>
      <c r="I792">
        <v>0</v>
      </c>
      <c r="J792" t="s">
        <v>18</v>
      </c>
      <c r="K792" s="1">
        <v>45991</v>
      </c>
      <c r="L792">
        <v>3</v>
      </c>
      <c r="M792">
        <v>4</v>
      </c>
      <c r="N792">
        <v>5</v>
      </c>
      <c r="O792">
        <v>5</v>
      </c>
      <c r="P792" t="str">
        <f t="shared" si="24"/>
        <v>Detractor</v>
      </c>
      <c r="Q792">
        <v>10</v>
      </c>
      <c r="R792" t="s">
        <v>1034</v>
      </c>
      <c r="S792">
        <v>11</v>
      </c>
      <c r="T792" t="s">
        <v>1035</v>
      </c>
      <c r="U792" t="str">
        <f t="shared" si="25"/>
        <v>Yes</v>
      </c>
    </row>
    <row r="793" spans="1:21" x14ac:dyDescent="0.3">
      <c r="A793" t="s">
        <v>459</v>
      </c>
      <c r="B793" t="s">
        <v>29</v>
      </c>
      <c r="C793" t="s">
        <v>16</v>
      </c>
      <c r="D793" s="1">
        <v>45945</v>
      </c>
      <c r="E793" s="1">
        <v>45947</v>
      </c>
      <c r="F793" s="1">
        <v>45948</v>
      </c>
      <c r="G793" s="1">
        <v>45953</v>
      </c>
      <c r="H793" t="s">
        <v>17</v>
      </c>
      <c r="I793">
        <v>0</v>
      </c>
      <c r="J793" t="s">
        <v>18</v>
      </c>
      <c r="K793" s="1">
        <v>45963</v>
      </c>
      <c r="L793">
        <v>2</v>
      </c>
      <c r="M793">
        <v>1</v>
      </c>
      <c r="N793">
        <v>5</v>
      </c>
      <c r="O793">
        <v>8</v>
      </c>
      <c r="P793" t="str">
        <f t="shared" si="24"/>
        <v>Passive</v>
      </c>
      <c r="Q793">
        <v>10</v>
      </c>
      <c r="R793" t="s">
        <v>1034</v>
      </c>
      <c r="S793">
        <v>10</v>
      </c>
      <c r="T793" t="s">
        <v>1034</v>
      </c>
      <c r="U793" t="str">
        <f t="shared" si="25"/>
        <v>Yes</v>
      </c>
    </row>
    <row r="794" spans="1:21" x14ac:dyDescent="0.3">
      <c r="A794" t="s">
        <v>991</v>
      </c>
      <c r="B794" t="s">
        <v>22</v>
      </c>
      <c r="C794" t="s">
        <v>841</v>
      </c>
      <c r="D794" s="1">
        <v>45960</v>
      </c>
      <c r="E794" s="1"/>
      <c r="F794" s="1"/>
      <c r="G794" s="1"/>
      <c r="H794" t="s">
        <v>752</v>
      </c>
      <c r="I794">
        <v>1</v>
      </c>
      <c r="J794" t="s">
        <v>765</v>
      </c>
      <c r="K794" s="1"/>
      <c r="P794" t="str">
        <f t="shared" si="24"/>
        <v>Not Applicable</v>
      </c>
      <c r="R794" t="s">
        <v>1036</v>
      </c>
      <c r="T794" t="s">
        <v>1036</v>
      </c>
      <c r="U794" t="str">
        <f t="shared" si="25"/>
        <v>No</v>
      </c>
    </row>
    <row r="795" spans="1:21" x14ac:dyDescent="0.3">
      <c r="A795" t="s">
        <v>640</v>
      </c>
      <c r="B795" t="s">
        <v>27</v>
      </c>
      <c r="C795" t="s">
        <v>474</v>
      </c>
      <c r="D795" s="1">
        <v>45953</v>
      </c>
      <c r="E795" s="1">
        <v>45956</v>
      </c>
      <c r="F795" s="1">
        <v>45959</v>
      </c>
      <c r="G795" s="1">
        <v>45963</v>
      </c>
      <c r="H795" t="s">
        <v>17</v>
      </c>
      <c r="I795">
        <v>0</v>
      </c>
      <c r="J795" t="s">
        <v>18</v>
      </c>
      <c r="K795" s="1">
        <v>45980</v>
      </c>
      <c r="L795">
        <v>3</v>
      </c>
      <c r="M795">
        <v>3</v>
      </c>
      <c r="N795">
        <v>4</v>
      </c>
      <c r="O795">
        <v>1</v>
      </c>
      <c r="P795" t="str">
        <f t="shared" si="24"/>
        <v>Detractor</v>
      </c>
      <c r="Q795">
        <v>10</v>
      </c>
      <c r="R795" t="s">
        <v>1034</v>
      </c>
      <c r="S795">
        <v>11</v>
      </c>
      <c r="T795" t="s">
        <v>1035</v>
      </c>
      <c r="U795" t="str">
        <f t="shared" si="25"/>
        <v>Yes</v>
      </c>
    </row>
    <row r="796" spans="1:21" x14ac:dyDescent="0.3">
      <c r="A796" t="s">
        <v>734</v>
      </c>
      <c r="B796" t="s">
        <v>29</v>
      </c>
      <c r="C796" t="s">
        <v>474</v>
      </c>
      <c r="D796" s="1">
        <v>45940</v>
      </c>
      <c r="E796" s="1">
        <v>45945</v>
      </c>
      <c r="F796" s="1">
        <v>45949</v>
      </c>
      <c r="G796" s="1">
        <v>45954</v>
      </c>
      <c r="H796" t="s">
        <v>17</v>
      </c>
      <c r="I796">
        <v>0</v>
      </c>
      <c r="J796" t="s">
        <v>18</v>
      </c>
      <c r="K796" s="1">
        <v>45971</v>
      </c>
      <c r="L796">
        <v>5</v>
      </c>
      <c r="M796">
        <v>4</v>
      </c>
      <c r="N796">
        <v>5</v>
      </c>
      <c r="O796">
        <v>10</v>
      </c>
      <c r="P796" t="str">
        <f t="shared" si="24"/>
        <v>Promoter</v>
      </c>
      <c r="Q796">
        <v>10</v>
      </c>
      <c r="R796" t="s">
        <v>1034</v>
      </c>
      <c r="S796">
        <v>10</v>
      </c>
      <c r="T796" t="s">
        <v>1034</v>
      </c>
      <c r="U796" t="str">
        <f t="shared" si="25"/>
        <v>Yes</v>
      </c>
    </row>
    <row r="797" spans="1:21" x14ac:dyDescent="0.3">
      <c r="A797" t="s">
        <v>110</v>
      </c>
      <c r="B797" t="s">
        <v>22</v>
      </c>
      <c r="C797" t="s">
        <v>16</v>
      </c>
      <c r="D797" s="1">
        <v>45951</v>
      </c>
      <c r="E797" s="1">
        <v>45954</v>
      </c>
      <c r="F797" s="1">
        <v>45958</v>
      </c>
      <c r="G797" s="1">
        <v>45960</v>
      </c>
      <c r="H797" t="s">
        <v>17</v>
      </c>
      <c r="I797">
        <v>0</v>
      </c>
      <c r="J797" t="s">
        <v>18</v>
      </c>
      <c r="K797" s="1">
        <v>45974</v>
      </c>
      <c r="L797">
        <v>3</v>
      </c>
      <c r="M797">
        <v>4</v>
      </c>
      <c r="N797">
        <v>2</v>
      </c>
      <c r="O797">
        <v>4</v>
      </c>
      <c r="P797" t="str">
        <f t="shared" si="24"/>
        <v>Detractor</v>
      </c>
      <c r="Q797">
        <v>10</v>
      </c>
      <c r="R797" t="s">
        <v>1034</v>
      </c>
      <c r="S797">
        <v>10</v>
      </c>
      <c r="T797" t="s">
        <v>1034</v>
      </c>
      <c r="U797" t="str">
        <f t="shared" si="25"/>
        <v>Yes</v>
      </c>
    </row>
    <row r="798" spans="1:21" x14ac:dyDescent="0.3">
      <c r="A798" t="s">
        <v>386</v>
      </c>
      <c r="B798" t="s">
        <v>27</v>
      </c>
      <c r="C798" t="s">
        <v>16</v>
      </c>
      <c r="D798" s="1">
        <v>45944</v>
      </c>
      <c r="E798" s="1">
        <v>45945</v>
      </c>
      <c r="F798" s="1">
        <v>45946</v>
      </c>
      <c r="G798" s="1">
        <v>45952</v>
      </c>
      <c r="H798" t="s">
        <v>17</v>
      </c>
      <c r="I798">
        <v>0</v>
      </c>
      <c r="J798" t="s">
        <v>18</v>
      </c>
      <c r="K798" s="1">
        <v>45968</v>
      </c>
      <c r="L798">
        <v>1</v>
      </c>
      <c r="M798">
        <v>1</v>
      </c>
      <c r="N798">
        <v>6</v>
      </c>
      <c r="O798">
        <v>8</v>
      </c>
      <c r="P798" t="str">
        <f t="shared" si="24"/>
        <v>Passive</v>
      </c>
      <c r="Q798">
        <v>10</v>
      </c>
      <c r="R798" t="s">
        <v>1034</v>
      </c>
      <c r="S798">
        <v>10</v>
      </c>
      <c r="T798" t="s">
        <v>1034</v>
      </c>
      <c r="U798" t="str">
        <f t="shared" si="25"/>
        <v>Yes</v>
      </c>
    </row>
    <row r="799" spans="1:21" x14ac:dyDescent="0.3">
      <c r="A799" t="s">
        <v>111</v>
      </c>
      <c r="B799" t="s">
        <v>22</v>
      </c>
      <c r="C799" t="s">
        <v>16</v>
      </c>
      <c r="D799" s="1">
        <v>45934</v>
      </c>
      <c r="E799" s="1">
        <v>45937</v>
      </c>
      <c r="F799" s="1">
        <v>45942</v>
      </c>
      <c r="G799" s="1">
        <v>45946</v>
      </c>
      <c r="H799" t="s">
        <v>17</v>
      </c>
      <c r="I799">
        <v>0</v>
      </c>
      <c r="J799" t="s">
        <v>18</v>
      </c>
      <c r="K799" s="1">
        <v>45956</v>
      </c>
      <c r="L799">
        <v>3</v>
      </c>
      <c r="M799">
        <v>5</v>
      </c>
      <c r="N799">
        <v>4</v>
      </c>
      <c r="O799">
        <v>7</v>
      </c>
      <c r="P799" t="str">
        <f t="shared" si="24"/>
        <v>Passive</v>
      </c>
      <c r="Q799">
        <v>10</v>
      </c>
      <c r="R799" t="s">
        <v>1034</v>
      </c>
      <c r="S799">
        <v>10</v>
      </c>
      <c r="T799" t="s">
        <v>1034</v>
      </c>
      <c r="U799" t="str">
        <f t="shared" si="25"/>
        <v>Yes</v>
      </c>
    </row>
    <row r="800" spans="1:21" x14ac:dyDescent="0.3">
      <c r="A800" t="s">
        <v>992</v>
      </c>
      <c r="B800" t="s">
        <v>15</v>
      </c>
      <c r="C800" t="s">
        <v>841</v>
      </c>
      <c r="D800" s="1">
        <v>45935</v>
      </c>
      <c r="E800" s="1"/>
      <c r="F800" s="1"/>
      <c r="G800" s="1"/>
      <c r="H800" t="s">
        <v>752</v>
      </c>
      <c r="I800">
        <v>1</v>
      </c>
      <c r="J800" t="s">
        <v>765</v>
      </c>
      <c r="K800" s="1"/>
      <c r="P800" t="str">
        <f t="shared" si="24"/>
        <v>Not Applicable</v>
      </c>
      <c r="R800" t="s">
        <v>1036</v>
      </c>
      <c r="T800" t="s">
        <v>1036</v>
      </c>
      <c r="U800" t="str">
        <f t="shared" si="25"/>
        <v>No</v>
      </c>
    </row>
    <row r="801" spans="1:21" x14ac:dyDescent="0.3">
      <c r="A801" t="s">
        <v>993</v>
      </c>
      <c r="B801" t="s">
        <v>15</v>
      </c>
      <c r="C801" t="s">
        <v>841</v>
      </c>
      <c r="D801" s="1">
        <v>45932</v>
      </c>
      <c r="E801" s="1"/>
      <c r="F801" s="1"/>
      <c r="G801" s="1"/>
      <c r="H801" t="s">
        <v>752</v>
      </c>
      <c r="I801">
        <v>1</v>
      </c>
      <c r="J801" t="s">
        <v>756</v>
      </c>
      <c r="K801" s="1"/>
      <c r="P801" t="str">
        <f t="shared" si="24"/>
        <v>Not Applicable</v>
      </c>
      <c r="R801" t="s">
        <v>1036</v>
      </c>
      <c r="T801" t="s">
        <v>1036</v>
      </c>
      <c r="U801" t="str">
        <f t="shared" si="25"/>
        <v>No</v>
      </c>
    </row>
    <row r="802" spans="1:21" x14ac:dyDescent="0.3">
      <c r="A802" t="s">
        <v>994</v>
      </c>
      <c r="B802" t="s">
        <v>27</v>
      </c>
      <c r="C802" t="s">
        <v>841</v>
      </c>
      <c r="D802" s="1">
        <v>45961</v>
      </c>
      <c r="E802" s="1"/>
      <c r="F802" s="1"/>
      <c r="G802" s="1"/>
      <c r="H802" t="s">
        <v>752</v>
      </c>
      <c r="I802">
        <v>1</v>
      </c>
      <c r="J802" t="s">
        <v>758</v>
      </c>
      <c r="K802" s="1"/>
      <c r="P802" t="str">
        <f t="shared" si="24"/>
        <v>Not Applicable</v>
      </c>
      <c r="R802" t="s">
        <v>1036</v>
      </c>
      <c r="T802" t="s">
        <v>1036</v>
      </c>
      <c r="U802" t="str">
        <f t="shared" si="25"/>
        <v>No</v>
      </c>
    </row>
    <row r="803" spans="1:21" x14ac:dyDescent="0.3">
      <c r="A803" t="s">
        <v>826</v>
      </c>
      <c r="B803" t="s">
        <v>29</v>
      </c>
      <c r="C803" t="s">
        <v>16</v>
      </c>
      <c r="D803" s="1">
        <v>45932</v>
      </c>
      <c r="E803" s="1">
        <v>45934</v>
      </c>
      <c r="F803" s="1">
        <v>45936</v>
      </c>
      <c r="G803" s="1">
        <v>45939</v>
      </c>
      <c r="H803" t="s">
        <v>752</v>
      </c>
      <c r="I803">
        <v>1</v>
      </c>
      <c r="J803" t="s">
        <v>765</v>
      </c>
      <c r="K803" s="1"/>
      <c r="L803">
        <v>2</v>
      </c>
      <c r="M803">
        <v>2</v>
      </c>
      <c r="N803">
        <v>3</v>
      </c>
      <c r="P803" t="str">
        <f t="shared" si="24"/>
        <v>Not Applicable</v>
      </c>
      <c r="Q803">
        <v>10</v>
      </c>
      <c r="R803" t="s">
        <v>1034</v>
      </c>
      <c r="S803">
        <v>10</v>
      </c>
      <c r="T803" t="s">
        <v>1034</v>
      </c>
      <c r="U803" t="str">
        <f t="shared" si="25"/>
        <v>No</v>
      </c>
    </row>
    <row r="804" spans="1:21" x14ac:dyDescent="0.3">
      <c r="A804" t="s">
        <v>201</v>
      </c>
      <c r="B804" t="s">
        <v>27</v>
      </c>
      <c r="C804" t="s">
        <v>16</v>
      </c>
      <c r="D804" s="1">
        <v>45940</v>
      </c>
      <c r="E804" s="1">
        <v>45945</v>
      </c>
      <c r="F804" s="1">
        <v>45950</v>
      </c>
      <c r="G804" s="1">
        <v>45955</v>
      </c>
      <c r="H804" t="s">
        <v>17</v>
      </c>
      <c r="I804">
        <v>0</v>
      </c>
      <c r="J804" t="s">
        <v>18</v>
      </c>
      <c r="K804" s="1">
        <v>45983</v>
      </c>
      <c r="L804">
        <v>5</v>
      </c>
      <c r="M804">
        <v>5</v>
      </c>
      <c r="N804">
        <v>5</v>
      </c>
      <c r="O804">
        <v>10</v>
      </c>
      <c r="P804" t="str">
        <f t="shared" si="24"/>
        <v>Promoter</v>
      </c>
      <c r="Q804">
        <v>10</v>
      </c>
      <c r="R804" t="s">
        <v>1034</v>
      </c>
      <c r="S804">
        <v>10</v>
      </c>
      <c r="T804" t="s">
        <v>1034</v>
      </c>
      <c r="U804" t="str">
        <f t="shared" si="25"/>
        <v>Yes</v>
      </c>
    </row>
    <row r="805" spans="1:21" x14ac:dyDescent="0.3">
      <c r="A805" t="s">
        <v>112</v>
      </c>
      <c r="B805" t="s">
        <v>22</v>
      </c>
      <c r="C805" t="s">
        <v>16</v>
      </c>
      <c r="D805" s="1">
        <v>45946</v>
      </c>
      <c r="E805" s="1">
        <v>45949</v>
      </c>
      <c r="F805" s="1">
        <v>45954</v>
      </c>
      <c r="G805" s="1">
        <v>45958</v>
      </c>
      <c r="H805" t="s">
        <v>17</v>
      </c>
      <c r="I805">
        <v>0</v>
      </c>
      <c r="J805" t="s">
        <v>18</v>
      </c>
      <c r="K805" s="1">
        <v>45984</v>
      </c>
      <c r="L805">
        <v>3</v>
      </c>
      <c r="M805">
        <v>5</v>
      </c>
      <c r="N805">
        <v>4</v>
      </c>
      <c r="O805">
        <v>1</v>
      </c>
      <c r="P805" t="str">
        <f t="shared" si="24"/>
        <v>Detractor</v>
      </c>
      <c r="Q805">
        <v>10</v>
      </c>
      <c r="R805" t="s">
        <v>1034</v>
      </c>
      <c r="S805">
        <v>10</v>
      </c>
      <c r="T805" t="s">
        <v>1034</v>
      </c>
      <c r="U805" t="str">
        <f t="shared" si="25"/>
        <v>Yes</v>
      </c>
    </row>
    <row r="806" spans="1:21" x14ac:dyDescent="0.3">
      <c r="A806" t="s">
        <v>460</v>
      </c>
      <c r="B806" t="s">
        <v>29</v>
      </c>
      <c r="C806" t="s">
        <v>16</v>
      </c>
      <c r="D806" s="1">
        <v>45934</v>
      </c>
      <c r="E806" s="1">
        <v>45936</v>
      </c>
      <c r="F806" s="1">
        <v>45938</v>
      </c>
      <c r="G806" s="1">
        <v>45943</v>
      </c>
      <c r="H806" t="s">
        <v>17</v>
      </c>
      <c r="I806">
        <v>0</v>
      </c>
      <c r="J806" t="s">
        <v>18</v>
      </c>
      <c r="K806" s="1">
        <v>45958</v>
      </c>
      <c r="L806">
        <v>2</v>
      </c>
      <c r="M806">
        <v>2</v>
      </c>
      <c r="N806">
        <v>5</v>
      </c>
      <c r="O806">
        <v>9</v>
      </c>
      <c r="P806" t="str">
        <f t="shared" si="24"/>
        <v>Promoter</v>
      </c>
      <c r="Q806">
        <v>10</v>
      </c>
      <c r="R806" t="s">
        <v>1034</v>
      </c>
      <c r="S806">
        <v>10</v>
      </c>
      <c r="T806" t="s">
        <v>1034</v>
      </c>
      <c r="U806" t="str">
        <f t="shared" si="25"/>
        <v>Yes</v>
      </c>
    </row>
    <row r="807" spans="1:21" x14ac:dyDescent="0.3">
      <c r="A807" t="s">
        <v>995</v>
      </c>
      <c r="B807" t="s">
        <v>15</v>
      </c>
      <c r="C807" t="s">
        <v>841</v>
      </c>
      <c r="D807" s="1">
        <v>45934</v>
      </c>
      <c r="E807" s="1"/>
      <c r="F807" s="1"/>
      <c r="G807" s="1"/>
      <c r="H807" t="s">
        <v>752</v>
      </c>
      <c r="I807">
        <v>1</v>
      </c>
      <c r="J807" t="s">
        <v>758</v>
      </c>
      <c r="K807" s="1"/>
      <c r="P807" t="str">
        <f t="shared" si="24"/>
        <v>Not Applicable</v>
      </c>
      <c r="R807" t="s">
        <v>1036</v>
      </c>
      <c r="T807" t="s">
        <v>1036</v>
      </c>
      <c r="U807" t="str">
        <f t="shared" si="25"/>
        <v>No</v>
      </c>
    </row>
    <row r="808" spans="1:21" x14ac:dyDescent="0.3">
      <c r="A808" t="s">
        <v>641</v>
      </c>
      <c r="B808" t="s">
        <v>29</v>
      </c>
      <c r="C808" t="s">
        <v>474</v>
      </c>
      <c r="D808" s="1">
        <v>45938</v>
      </c>
      <c r="E808" s="1">
        <v>45941</v>
      </c>
      <c r="F808" s="1">
        <v>45945</v>
      </c>
      <c r="G808" s="1">
        <v>45949</v>
      </c>
      <c r="H808" t="s">
        <v>17</v>
      </c>
      <c r="I808">
        <v>0</v>
      </c>
      <c r="J808" t="s">
        <v>18</v>
      </c>
      <c r="K808" s="1">
        <v>45962</v>
      </c>
      <c r="L808">
        <v>3</v>
      </c>
      <c r="M808">
        <v>4</v>
      </c>
      <c r="N808">
        <v>4</v>
      </c>
      <c r="O808">
        <v>3</v>
      </c>
      <c r="P808" t="str">
        <f t="shared" si="24"/>
        <v>Detractor</v>
      </c>
      <c r="Q808">
        <v>10</v>
      </c>
      <c r="R808" t="s">
        <v>1034</v>
      </c>
      <c r="S808">
        <v>10</v>
      </c>
      <c r="T808" t="s">
        <v>1034</v>
      </c>
      <c r="U808" t="str">
        <f t="shared" si="25"/>
        <v>Yes</v>
      </c>
    </row>
    <row r="809" spans="1:21" x14ac:dyDescent="0.3">
      <c r="A809" t="s">
        <v>202</v>
      </c>
      <c r="B809" t="s">
        <v>15</v>
      </c>
      <c r="C809" t="s">
        <v>16</v>
      </c>
      <c r="D809" s="1">
        <v>45959</v>
      </c>
      <c r="E809" s="1">
        <v>45964</v>
      </c>
      <c r="F809" s="1">
        <v>45966</v>
      </c>
      <c r="G809" s="1">
        <v>45968</v>
      </c>
      <c r="H809" t="s">
        <v>17</v>
      </c>
      <c r="I809">
        <v>0</v>
      </c>
      <c r="J809" t="s">
        <v>18</v>
      </c>
      <c r="K809" s="1">
        <v>45989</v>
      </c>
      <c r="L809">
        <v>5</v>
      </c>
      <c r="M809">
        <v>2</v>
      </c>
      <c r="N809">
        <v>2</v>
      </c>
      <c r="O809">
        <v>2</v>
      </c>
      <c r="P809" t="str">
        <f t="shared" si="24"/>
        <v>Detractor</v>
      </c>
      <c r="Q809">
        <v>11</v>
      </c>
      <c r="R809" t="s">
        <v>1035</v>
      </c>
      <c r="S809">
        <v>11</v>
      </c>
      <c r="T809" t="s">
        <v>1035</v>
      </c>
      <c r="U809" t="str">
        <f t="shared" si="25"/>
        <v>Yes</v>
      </c>
    </row>
    <row r="810" spans="1:21" x14ac:dyDescent="0.3">
      <c r="A810" t="s">
        <v>735</v>
      </c>
      <c r="B810" t="s">
        <v>29</v>
      </c>
      <c r="C810" t="s">
        <v>474</v>
      </c>
      <c r="D810" s="1">
        <v>45948</v>
      </c>
      <c r="E810" s="1">
        <v>45953</v>
      </c>
      <c r="F810" s="1">
        <v>45955</v>
      </c>
      <c r="G810" s="1">
        <v>45957</v>
      </c>
      <c r="H810" t="s">
        <v>17</v>
      </c>
      <c r="I810">
        <v>0</v>
      </c>
      <c r="J810" t="s">
        <v>18</v>
      </c>
      <c r="K810" s="1">
        <v>45987</v>
      </c>
      <c r="L810">
        <v>5</v>
      </c>
      <c r="M810">
        <v>2</v>
      </c>
      <c r="N810">
        <v>2</v>
      </c>
      <c r="O810">
        <v>5</v>
      </c>
      <c r="P810" t="str">
        <f t="shared" si="24"/>
        <v>Detractor</v>
      </c>
      <c r="Q810">
        <v>10</v>
      </c>
      <c r="R810" t="s">
        <v>1034</v>
      </c>
      <c r="S810">
        <v>10</v>
      </c>
      <c r="T810" t="s">
        <v>1034</v>
      </c>
      <c r="U810" t="str">
        <f t="shared" si="25"/>
        <v>Yes</v>
      </c>
    </row>
    <row r="811" spans="1:21" x14ac:dyDescent="0.3">
      <c r="A811" t="s">
        <v>387</v>
      </c>
      <c r="B811" t="s">
        <v>29</v>
      </c>
      <c r="C811" t="s">
        <v>16</v>
      </c>
      <c r="D811" s="1">
        <v>45935</v>
      </c>
      <c r="E811" s="1">
        <v>45936</v>
      </c>
      <c r="F811" s="1">
        <v>45939</v>
      </c>
      <c r="G811" s="1">
        <v>45942</v>
      </c>
      <c r="H811" t="s">
        <v>17</v>
      </c>
      <c r="I811">
        <v>0</v>
      </c>
      <c r="J811" t="s">
        <v>18</v>
      </c>
      <c r="K811" s="1">
        <v>45953</v>
      </c>
      <c r="L811">
        <v>1</v>
      </c>
      <c r="M811">
        <v>3</v>
      </c>
      <c r="N811">
        <v>3</v>
      </c>
      <c r="O811">
        <v>1</v>
      </c>
      <c r="P811" t="str">
        <f t="shared" si="24"/>
        <v>Detractor</v>
      </c>
      <c r="Q811">
        <v>10</v>
      </c>
      <c r="R811" t="s">
        <v>1034</v>
      </c>
      <c r="S811">
        <v>10</v>
      </c>
      <c r="T811" t="s">
        <v>1034</v>
      </c>
      <c r="U811" t="str">
        <f t="shared" si="25"/>
        <v>Yes</v>
      </c>
    </row>
    <row r="812" spans="1:21" x14ac:dyDescent="0.3">
      <c r="A812" t="s">
        <v>996</v>
      </c>
      <c r="B812" t="s">
        <v>29</v>
      </c>
      <c r="C812" t="s">
        <v>841</v>
      </c>
      <c r="D812" s="1">
        <v>45943</v>
      </c>
      <c r="E812" s="1"/>
      <c r="F812" s="1"/>
      <c r="G812" s="1"/>
      <c r="H812" t="s">
        <v>752</v>
      </c>
      <c r="I812">
        <v>1</v>
      </c>
      <c r="J812" t="s">
        <v>756</v>
      </c>
      <c r="K812" s="1"/>
      <c r="P812" t="str">
        <f t="shared" si="24"/>
        <v>Not Applicable</v>
      </c>
      <c r="R812" t="s">
        <v>1036</v>
      </c>
      <c r="T812" t="s">
        <v>1036</v>
      </c>
      <c r="U812" t="str">
        <f t="shared" si="25"/>
        <v>No</v>
      </c>
    </row>
    <row r="813" spans="1:21" x14ac:dyDescent="0.3">
      <c r="A813" t="s">
        <v>203</v>
      </c>
      <c r="B813" t="s">
        <v>22</v>
      </c>
      <c r="C813" t="s">
        <v>16</v>
      </c>
      <c r="D813" s="1">
        <v>45945</v>
      </c>
      <c r="E813" s="1">
        <v>45950</v>
      </c>
      <c r="F813" s="1">
        <v>45953</v>
      </c>
      <c r="G813" s="1">
        <v>45960</v>
      </c>
      <c r="H813" t="s">
        <v>17</v>
      </c>
      <c r="I813">
        <v>0</v>
      </c>
      <c r="J813" t="s">
        <v>18</v>
      </c>
      <c r="K813" s="1">
        <v>45982</v>
      </c>
      <c r="L813">
        <v>5</v>
      </c>
      <c r="M813">
        <v>3</v>
      </c>
      <c r="N813">
        <v>7</v>
      </c>
      <c r="O813">
        <v>7</v>
      </c>
      <c r="P813" t="str">
        <f t="shared" si="24"/>
        <v>Passive</v>
      </c>
      <c r="Q813">
        <v>10</v>
      </c>
      <c r="R813" t="s">
        <v>1034</v>
      </c>
      <c r="S813">
        <v>10</v>
      </c>
      <c r="T813" t="s">
        <v>1034</v>
      </c>
      <c r="U813" t="str">
        <f t="shared" si="25"/>
        <v>Yes</v>
      </c>
    </row>
    <row r="814" spans="1:21" x14ac:dyDescent="0.3">
      <c r="A814" t="s">
        <v>642</v>
      </c>
      <c r="B814" t="s">
        <v>22</v>
      </c>
      <c r="C814" t="s">
        <v>474</v>
      </c>
      <c r="D814" s="1">
        <v>45942</v>
      </c>
      <c r="E814" s="1">
        <v>45944</v>
      </c>
      <c r="F814" s="1">
        <v>45947</v>
      </c>
      <c r="G814" s="1">
        <v>45951</v>
      </c>
      <c r="H814" t="s">
        <v>17</v>
      </c>
      <c r="I814">
        <v>0</v>
      </c>
      <c r="J814" t="s">
        <v>18</v>
      </c>
      <c r="K814" s="1">
        <v>45981</v>
      </c>
      <c r="L814">
        <v>2</v>
      </c>
      <c r="M814">
        <v>3</v>
      </c>
      <c r="N814">
        <v>4</v>
      </c>
      <c r="O814">
        <v>3</v>
      </c>
      <c r="P814" t="str">
        <f t="shared" si="24"/>
        <v>Detractor</v>
      </c>
      <c r="Q814">
        <v>10</v>
      </c>
      <c r="R814" t="s">
        <v>1034</v>
      </c>
      <c r="S814">
        <v>10</v>
      </c>
      <c r="T814" t="s">
        <v>1034</v>
      </c>
      <c r="U814" t="str">
        <f t="shared" si="25"/>
        <v>Yes</v>
      </c>
    </row>
    <row r="815" spans="1:21" x14ac:dyDescent="0.3">
      <c r="A815" t="s">
        <v>997</v>
      </c>
      <c r="B815" t="s">
        <v>27</v>
      </c>
      <c r="C815" t="s">
        <v>841</v>
      </c>
      <c r="D815" s="1">
        <v>45952</v>
      </c>
      <c r="E815" s="1"/>
      <c r="F815" s="1"/>
      <c r="G815" s="1"/>
      <c r="H815" t="s">
        <v>752</v>
      </c>
      <c r="I815">
        <v>1</v>
      </c>
      <c r="J815" t="s">
        <v>758</v>
      </c>
      <c r="K815" s="1"/>
      <c r="P815" t="str">
        <f t="shared" si="24"/>
        <v>Not Applicable</v>
      </c>
      <c r="R815" t="s">
        <v>1036</v>
      </c>
      <c r="T815" t="s">
        <v>1036</v>
      </c>
      <c r="U815" t="str">
        <f t="shared" si="25"/>
        <v>No</v>
      </c>
    </row>
    <row r="816" spans="1:21" x14ac:dyDescent="0.3">
      <c r="A816" t="s">
        <v>204</v>
      </c>
      <c r="B816" t="s">
        <v>27</v>
      </c>
      <c r="C816" t="s">
        <v>16</v>
      </c>
      <c r="D816" s="1">
        <v>45961</v>
      </c>
      <c r="E816" s="1">
        <v>45966</v>
      </c>
      <c r="F816" s="1">
        <v>45970</v>
      </c>
      <c r="G816" s="1">
        <v>45977</v>
      </c>
      <c r="H816" t="s">
        <v>17</v>
      </c>
      <c r="I816">
        <v>0</v>
      </c>
      <c r="J816" t="s">
        <v>18</v>
      </c>
      <c r="K816" s="1">
        <v>45995</v>
      </c>
      <c r="L816">
        <v>5</v>
      </c>
      <c r="M816">
        <v>4</v>
      </c>
      <c r="N816">
        <v>7</v>
      </c>
      <c r="O816">
        <v>2</v>
      </c>
      <c r="P816" t="str">
        <f t="shared" si="24"/>
        <v>Detractor</v>
      </c>
      <c r="Q816">
        <v>11</v>
      </c>
      <c r="R816" t="s">
        <v>1035</v>
      </c>
      <c r="S816">
        <v>11</v>
      </c>
      <c r="T816" t="s">
        <v>1035</v>
      </c>
      <c r="U816" t="str">
        <f t="shared" si="25"/>
        <v>Yes</v>
      </c>
    </row>
    <row r="817" spans="1:21" x14ac:dyDescent="0.3">
      <c r="A817" t="s">
        <v>736</v>
      </c>
      <c r="B817" t="s">
        <v>15</v>
      </c>
      <c r="C817" t="s">
        <v>474</v>
      </c>
      <c r="D817" s="1">
        <v>45954</v>
      </c>
      <c r="E817" s="1">
        <v>45959</v>
      </c>
      <c r="F817" s="1">
        <v>45961</v>
      </c>
      <c r="G817" s="1">
        <v>45968</v>
      </c>
      <c r="H817" t="s">
        <v>17</v>
      </c>
      <c r="I817">
        <v>0</v>
      </c>
      <c r="J817" t="s">
        <v>18</v>
      </c>
      <c r="K817" s="1">
        <v>45995</v>
      </c>
      <c r="L817">
        <v>5</v>
      </c>
      <c r="M817">
        <v>2</v>
      </c>
      <c r="N817">
        <v>7</v>
      </c>
      <c r="O817">
        <v>5</v>
      </c>
      <c r="P817" t="str">
        <f t="shared" si="24"/>
        <v>Detractor</v>
      </c>
      <c r="Q817">
        <v>10</v>
      </c>
      <c r="R817" t="s">
        <v>1034</v>
      </c>
      <c r="S817">
        <v>11</v>
      </c>
      <c r="T817" t="s">
        <v>1035</v>
      </c>
      <c r="U817" t="str">
        <f t="shared" si="25"/>
        <v>Yes</v>
      </c>
    </row>
    <row r="818" spans="1:21" x14ac:dyDescent="0.3">
      <c r="A818" t="s">
        <v>827</v>
      </c>
      <c r="B818" t="s">
        <v>22</v>
      </c>
      <c r="C818" t="s">
        <v>474</v>
      </c>
      <c r="D818" s="1">
        <v>45953</v>
      </c>
      <c r="E818" s="1">
        <v>45955</v>
      </c>
      <c r="F818" s="1">
        <v>45956</v>
      </c>
      <c r="G818" s="1">
        <v>45962</v>
      </c>
      <c r="H818" t="s">
        <v>752</v>
      </c>
      <c r="I818">
        <v>1</v>
      </c>
      <c r="J818" t="s">
        <v>756</v>
      </c>
      <c r="K818" s="1"/>
      <c r="L818">
        <v>2</v>
      </c>
      <c r="M818">
        <v>1</v>
      </c>
      <c r="N818">
        <v>6</v>
      </c>
      <c r="P818" t="str">
        <f t="shared" si="24"/>
        <v>Not Applicable</v>
      </c>
      <c r="Q818">
        <v>10</v>
      </c>
      <c r="R818" t="s">
        <v>1034</v>
      </c>
      <c r="S818">
        <v>11</v>
      </c>
      <c r="T818" t="s">
        <v>1035</v>
      </c>
      <c r="U818" t="str">
        <f t="shared" si="25"/>
        <v>No</v>
      </c>
    </row>
    <row r="819" spans="1:21" x14ac:dyDescent="0.3">
      <c r="A819" t="s">
        <v>643</v>
      </c>
      <c r="B819" t="s">
        <v>15</v>
      </c>
      <c r="C819" t="s">
        <v>474</v>
      </c>
      <c r="D819" s="1">
        <v>45961</v>
      </c>
      <c r="E819" s="1">
        <v>45963</v>
      </c>
      <c r="F819" s="1">
        <v>45965</v>
      </c>
      <c r="G819" s="1">
        <v>45967</v>
      </c>
      <c r="H819" t="s">
        <v>17</v>
      </c>
      <c r="I819">
        <v>0</v>
      </c>
      <c r="J819" t="s">
        <v>18</v>
      </c>
      <c r="K819" s="1">
        <v>45996</v>
      </c>
      <c r="L819">
        <v>2</v>
      </c>
      <c r="M819">
        <v>2</v>
      </c>
      <c r="N819">
        <v>2</v>
      </c>
      <c r="O819">
        <v>8</v>
      </c>
      <c r="P819" t="str">
        <f t="shared" si="24"/>
        <v>Passive</v>
      </c>
      <c r="Q819">
        <v>11</v>
      </c>
      <c r="R819" t="s">
        <v>1035</v>
      </c>
      <c r="S819">
        <v>11</v>
      </c>
      <c r="T819" t="s">
        <v>1035</v>
      </c>
      <c r="U819" t="str">
        <f t="shared" si="25"/>
        <v>Yes</v>
      </c>
    </row>
    <row r="820" spans="1:21" x14ac:dyDescent="0.3">
      <c r="A820" t="s">
        <v>737</v>
      </c>
      <c r="B820" t="s">
        <v>27</v>
      </c>
      <c r="C820" t="s">
        <v>474</v>
      </c>
      <c r="D820" s="1">
        <v>45948</v>
      </c>
      <c r="E820" s="1">
        <v>45953</v>
      </c>
      <c r="F820" s="1">
        <v>45957</v>
      </c>
      <c r="G820" s="1">
        <v>45960</v>
      </c>
      <c r="H820" t="s">
        <v>17</v>
      </c>
      <c r="I820">
        <v>0</v>
      </c>
      <c r="J820" t="s">
        <v>18</v>
      </c>
      <c r="K820" s="1">
        <v>45971</v>
      </c>
      <c r="L820">
        <v>5</v>
      </c>
      <c r="M820">
        <v>4</v>
      </c>
      <c r="N820">
        <v>3</v>
      </c>
      <c r="O820">
        <v>8</v>
      </c>
      <c r="P820" t="str">
        <f t="shared" si="24"/>
        <v>Passive</v>
      </c>
      <c r="Q820">
        <v>10</v>
      </c>
      <c r="R820" t="s">
        <v>1034</v>
      </c>
      <c r="S820">
        <v>10</v>
      </c>
      <c r="T820" t="s">
        <v>1034</v>
      </c>
      <c r="U820" t="str">
        <f t="shared" si="25"/>
        <v>Yes</v>
      </c>
    </row>
    <row r="821" spans="1:21" x14ac:dyDescent="0.3">
      <c r="A821" t="s">
        <v>998</v>
      </c>
      <c r="B821" t="s">
        <v>15</v>
      </c>
      <c r="C821" t="s">
        <v>841</v>
      </c>
      <c r="D821" s="1">
        <v>45944</v>
      </c>
      <c r="E821" s="1"/>
      <c r="F821" s="1"/>
      <c r="G821" s="1"/>
      <c r="H821" t="s">
        <v>752</v>
      </c>
      <c r="I821">
        <v>1</v>
      </c>
      <c r="J821" t="s">
        <v>756</v>
      </c>
      <c r="K821" s="1"/>
      <c r="P821" t="str">
        <f t="shared" si="24"/>
        <v>Not Applicable</v>
      </c>
      <c r="R821" t="s">
        <v>1036</v>
      </c>
      <c r="T821" t="s">
        <v>1036</v>
      </c>
      <c r="U821" t="str">
        <f t="shared" si="25"/>
        <v>No</v>
      </c>
    </row>
    <row r="822" spans="1:21" x14ac:dyDescent="0.3">
      <c r="A822" t="s">
        <v>205</v>
      </c>
      <c r="B822" t="s">
        <v>27</v>
      </c>
      <c r="C822" t="s">
        <v>16</v>
      </c>
      <c r="D822" s="1">
        <v>45949</v>
      </c>
      <c r="E822" s="1">
        <v>45954</v>
      </c>
      <c r="F822" s="1">
        <v>45957</v>
      </c>
      <c r="G822" s="1">
        <v>45961</v>
      </c>
      <c r="H822" t="s">
        <v>17</v>
      </c>
      <c r="I822">
        <v>0</v>
      </c>
      <c r="J822" t="s">
        <v>18</v>
      </c>
      <c r="K822" s="1">
        <v>45990</v>
      </c>
      <c r="L822">
        <v>5</v>
      </c>
      <c r="M822">
        <v>3</v>
      </c>
      <c r="N822">
        <v>4</v>
      </c>
      <c r="O822">
        <v>2</v>
      </c>
      <c r="P822" t="str">
        <f t="shared" si="24"/>
        <v>Detractor</v>
      </c>
      <c r="Q822">
        <v>10</v>
      </c>
      <c r="R822" t="s">
        <v>1034</v>
      </c>
      <c r="S822">
        <v>10</v>
      </c>
      <c r="T822" t="s">
        <v>1034</v>
      </c>
      <c r="U822" t="str">
        <f t="shared" si="25"/>
        <v>Yes</v>
      </c>
    </row>
    <row r="823" spans="1:21" x14ac:dyDescent="0.3">
      <c r="A823" t="s">
        <v>999</v>
      </c>
      <c r="B823" t="s">
        <v>22</v>
      </c>
      <c r="C823" t="s">
        <v>841</v>
      </c>
      <c r="D823" s="1">
        <v>45954</v>
      </c>
      <c r="E823" s="1"/>
      <c r="F823" s="1"/>
      <c r="G823" s="1"/>
      <c r="H823" t="s">
        <v>752</v>
      </c>
      <c r="I823">
        <v>1</v>
      </c>
      <c r="J823" t="s">
        <v>753</v>
      </c>
      <c r="K823" s="1"/>
      <c r="P823" t="str">
        <f t="shared" si="24"/>
        <v>Not Applicable</v>
      </c>
      <c r="R823" t="s">
        <v>1036</v>
      </c>
      <c r="T823" t="s">
        <v>1036</v>
      </c>
      <c r="U823" t="str">
        <f t="shared" si="25"/>
        <v>No</v>
      </c>
    </row>
    <row r="824" spans="1:21" x14ac:dyDescent="0.3">
      <c r="A824" t="s">
        <v>113</v>
      </c>
      <c r="B824" t="s">
        <v>29</v>
      </c>
      <c r="C824" t="s">
        <v>16</v>
      </c>
      <c r="D824" s="1">
        <v>45954</v>
      </c>
      <c r="E824" s="1">
        <v>45957</v>
      </c>
      <c r="F824" s="1">
        <v>45961</v>
      </c>
      <c r="G824" s="1">
        <v>45964</v>
      </c>
      <c r="H824" t="s">
        <v>17</v>
      </c>
      <c r="I824">
        <v>0</v>
      </c>
      <c r="J824" t="s">
        <v>18</v>
      </c>
      <c r="K824" s="1">
        <v>45975</v>
      </c>
      <c r="L824">
        <v>3</v>
      </c>
      <c r="M824">
        <v>4</v>
      </c>
      <c r="N824">
        <v>3</v>
      </c>
      <c r="O824">
        <v>3</v>
      </c>
      <c r="P824" t="str">
        <f t="shared" si="24"/>
        <v>Detractor</v>
      </c>
      <c r="Q824">
        <v>10</v>
      </c>
      <c r="R824" t="s">
        <v>1034</v>
      </c>
      <c r="S824">
        <v>11</v>
      </c>
      <c r="T824" t="s">
        <v>1035</v>
      </c>
      <c r="U824" t="str">
        <f t="shared" si="25"/>
        <v>Yes</v>
      </c>
    </row>
    <row r="825" spans="1:21" x14ac:dyDescent="0.3">
      <c r="A825" t="s">
        <v>738</v>
      </c>
      <c r="B825" t="s">
        <v>22</v>
      </c>
      <c r="C825" t="s">
        <v>474</v>
      </c>
      <c r="D825" s="1">
        <v>45935</v>
      </c>
      <c r="E825" s="1">
        <v>45940</v>
      </c>
      <c r="F825" s="1">
        <v>45943</v>
      </c>
      <c r="G825" s="1">
        <v>45945</v>
      </c>
      <c r="H825" t="s">
        <v>17</v>
      </c>
      <c r="I825">
        <v>0</v>
      </c>
      <c r="J825" t="s">
        <v>18</v>
      </c>
      <c r="K825" s="1">
        <v>45958</v>
      </c>
      <c r="L825">
        <v>5</v>
      </c>
      <c r="M825">
        <v>3</v>
      </c>
      <c r="N825">
        <v>2</v>
      </c>
      <c r="O825">
        <v>4</v>
      </c>
      <c r="P825" t="str">
        <f t="shared" si="24"/>
        <v>Detractor</v>
      </c>
      <c r="Q825">
        <v>10</v>
      </c>
      <c r="R825" t="s">
        <v>1034</v>
      </c>
      <c r="S825">
        <v>10</v>
      </c>
      <c r="T825" t="s">
        <v>1034</v>
      </c>
      <c r="U825" t="str">
        <f t="shared" si="25"/>
        <v>Yes</v>
      </c>
    </row>
    <row r="826" spans="1:21" x14ac:dyDescent="0.3">
      <c r="A826" t="s">
        <v>828</v>
      </c>
      <c r="B826" t="s">
        <v>15</v>
      </c>
      <c r="C826" t="s">
        <v>16</v>
      </c>
      <c r="D826" s="1">
        <v>45959</v>
      </c>
      <c r="E826" s="1">
        <v>45960</v>
      </c>
      <c r="F826" s="1">
        <v>45964</v>
      </c>
      <c r="G826" s="1">
        <v>45971</v>
      </c>
      <c r="H826" t="s">
        <v>752</v>
      </c>
      <c r="I826">
        <v>1</v>
      </c>
      <c r="J826" t="s">
        <v>756</v>
      </c>
      <c r="K826" s="1"/>
      <c r="L826">
        <v>1</v>
      </c>
      <c r="M826">
        <v>4</v>
      </c>
      <c r="N826">
        <v>7</v>
      </c>
      <c r="P826" t="str">
        <f t="shared" si="24"/>
        <v>Not Applicable</v>
      </c>
      <c r="Q826">
        <v>10</v>
      </c>
      <c r="R826" t="s">
        <v>1034</v>
      </c>
      <c r="S826">
        <v>11</v>
      </c>
      <c r="T826" t="s">
        <v>1035</v>
      </c>
      <c r="U826" t="str">
        <f t="shared" si="25"/>
        <v>No</v>
      </c>
    </row>
    <row r="827" spans="1:21" x14ac:dyDescent="0.3">
      <c r="A827" t="s">
        <v>644</v>
      </c>
      <c r="B827" t="s">
        <v>15</v>
      </c>
      <c r="C827" t="s">
        <v>474</v>
      </c>
      <c r="D827" s="1">
        <v>45944</v>
      </c>
      <c r="E827" s="1">
        <v>45945</v>
      </c>
      <c r="F827" s="1">
        <v>45946</v>
      </c>
      <c r="G827" s="1">
        <v>45949</v>
      </c>
      <c r="H827" t="s">
        <v>17</v>
      </c>
      <c r="I827">
        <v>0</v>
      </c>
      <c r="J827" t="s">
        <v>18</v>
      </c>
      <c r="K827" s="1">
        <v>45979</v>
      </c>
      <c r="L827">
        <v>1</v>
      </c>
      <c r="M827">
        <v>1</v>
      </c>
      <c r="N827">
        <v>3</v>
      </c>
      <c r="O827">
        <v>3</v>
      </c>
      <c r="P827" t="str">
        <f t="shared" si="24"/>
        <v>Detractor</v>
      </c>
      <c r="Q827">
        <v>10</v>
      </c>
      <c r="R827" t="s">
        <v>1034</v>
      </c>
      <c r="S827">
        <v>10</v>
      </c>
      <c r="T827" t="s">
        <v>1034</v>
      </c>
      <c r="U827" t="str">
        <f t="shared" si="25"/>
        <v>Yes</v>
      </c>
    </row>
    <row r="828" spans="1:21" x14ac:dyDescent="0.3">
      <c r="A828" t="s">
        <v>388</v>
      </c>
      <c r="B828" t="s">
        <v>22</v>
      </c>
      <c r="C828" t="s">
        <v>16</v>
      </c>
      <c r="D828" s="1">
        <v>45951</v>
      </c>
      <c r="E828" s="1">
        <v>45952</v>
      </c>
      <c r="F828" s="1">
        <v>45955</v>
      </c>
      <c r="G828" s="1">
        <v>45959</v>
      </c>
      <c r="H828" t="s">
        <v>17</v>
      </c>
      <c r="I828">
        <v>0</v>
      </c>
      <c r="J828" t="s">
        <v>18</v>
      </c>
      <c r="K828" s="1">
        <v>45969</v>
      </c>
      <c r="L828">
        <v>1</v>
      </c>
      <c r="M828">
        <v>3</v>
      </c>
      <c r="N828">
        <v>4</v>
      </c>
      <c r="O828">
        <v>6</v>
      </c>
      <c r="P828" t="str">
        <f t="shared" si="24"/>
        <v>Detractor</v>
      </c>
      <c r="Q828">
        <v>10</v>
      </c>
      <c r="R828" t="s">
        <v>1034</v>
      </c>
      <c r="S828">
        <v>10</v>
      </c>
      <c r="T828" t="s">
        <v>1034</v>
      </c>
      <c r="U828" t="str">
        <f t="shared" si="25"/>
        <v>Yes</v>
      </c>
    </row>
    <row r="829" spans="1:21" x14ac:dyDescent="0.3">
      <c r="A829" t="s">
        <v>1000</v>
      </c>
      <c r="B829" t="s">
        <v>22</v>
      </c>
      <c r="C829" t="s">
        <v>841</v>
      </c>
      <c r="D829" s="1">
        <v>45934</v>
      </c>
      <c r="E829" s="1"/>
      <c r="F829" s="1"/>
      <c r="G829" s="1"/>
      <c r="H829" t="s">
        <v>752</v>
      </c>
      <c r="I829">
        <v>1</v>
      </c>
      <c r="J829" t="s">
        <v>756</v>
      </c>
      <c r="K829" s="1"/>
      <c r="P829" t="str">
        <f t="shared" si="24"/>
        <v>Not Applicable</v>
      </c>
      <c r="R829" t="s">
        <v>1036</v>
      </c>
      <c r="T829" t="s">
        <v>1036</v>
      </c>
      <c r="U829" t="str">
        <f t="shared" si="25"/>
        <v>No</v>
      </c>
    </row>
    <row r="830" spans="1:21" x14ac:dyDescent="0.3">
      <c r="A830" t="s">
        <v>389</v>
      </c>
      <c r="B830" t="s">
        <v>27</v>
      </c>
      <c r="C830" t="s">
        <v>16</v>
      </c>
      <c r="D830" s="1">
        <v>45957</v>
      </c>
      <c r="E830" s="1">
        <v>45958</v>
      </c>
      <c r="F830" s="1">
        <v>45961</v>
      </c>
      <c r="G830" s="1">
        <v>45966</v>
      </c>
      <c r="H830" t="s">
        <v>17</v>
      </c>
      <c r="I830">
        <v>0</v>
      </c>
      <c r="J830" t="s">
        <v>18</v>
      </c>
      <c r="K830" s="1">
        <v>45977</v>
      </c>
      <c r="L830">
        <v>1</v>
      </c>
      <c r="M830">
        <v>3</v>
      </c>
      <c r="N830">
        <v>5</v>
      </c>
      <c r="O830">
        <v>2</v>
      </c>
      <c r="P830" t="str">
        <f t="shared" si="24"/>
        <v>Detractor</v>
      </c>
      <c r="Q830">
        <v>10</v>
      </c>
      <c r="R830" t="s">
        <v>1034</v>
      </c>
      <c r="S830">
        <v>11</v>
      </c>
      <c r="T830" t="s">
        <v>1035</v>
      </c>
      <c r="U830" t="str">
        <f t="shared" si="25"/>
        <v>Yes</v>
      </c>
    </row>
    <row r="831" spans="1:21" x14ac:dyDescent="0.3">
      <c r="A831" t="s">
        <v>829</v>
      </c>
      <c r="B831" t="s">
        <v>15</v>
      </c>
      <c r="C831" t="s">
        <v>16</v>
      </c>
      <c r="D831" s="1">
        <v>45946</v>
      </c>
      <c r="E831" s="1">
        <v>45951</v>
      </c>
      <c r="F831" s="1">
        <v>45953</v>
      </c>
      <c r="G831" s="1">
        <v>45959</v>
      </c>
      <c r="H831" t="s">
        <v>752</v>
      </c>
      <c r="I831">
        <v>1</v>
      </c>
      <c r="J831" t="s">
        <v>777</v>
      </c>
      <c r="K831" s="1"/>
      <c r="L831">
        <v>5</v>
      </c>
      <c r="M831">
        <v>2</v>
      </c>
      <c r="N831">
        <v>6</v>
      </c>
      <c r="P831" t="str">
        <f t="shared" si="24"/>
        <v>Not Applicable</v>
      </c>
      <c r="Q831">
        <v>10</v>
      </c>
      <c r="R831" t="s">
        <v>1034</v>
      </c>
      <c r="S831">
        <v>10</v>
      </c>
      <c r="T831" t="s">
        <v>1034</v>
      </c>
      <c r="U831" t="str">
        <f t="shared" si="25"/>
        <v>No</v>
      </c>
    </row>
    <row r="832" spans="1:21" x14ac:dyDescent="0.3">
      <c r="A832" t="s">
        <v>830</v>
      </c>
      <c r="B832" t="s">
        <v>15</v>
      </c>
      <c r="C832" t="s">
        <v>474</v>
      </c>
      <c r="D832" s="1">
        <v>45950</v>
      </c>
      <c r="E832" s="1">
        <v>45953</v>
      </c>
      <c r="F832" s="1">
        <v>45957</v>
      </c>
      <c r="G832" s="1">
        <v>45959</v>
      </c>
      <c r="H832" t="s">
        <v>752</v>
      </c>
      <c r="I832">
        <v>1</v>
      </c>
      <c r="J832" t="s">
        <v>765</v>
      </c>
      <c r="K832" s="1"/>
      <c r="L832">
        <v>3</v>
      </c>
      <c r="M832">
        <v>4</v>
      </c>
      <c r="N832">
        <v>2</v>
      </c>
      <c r="P832" t="str">
        <f t="shared" si="24"/>
        <v>Not Applicable</v>
      </c>
      <c r="Q832">
        <v>10</v>
      </c>
      <c r="R832" t="s">
        <v>1034</v>
      </c>
      <c r="S832">
        <v>10</v>
      </c>
      <c r="T832" t="s">
        <v>1034</v>
      </c>
      <c r="U832" t="str">
        <f t="shared" si="25"/>
        <v>No</v>
      </c>
    </row>
    <row r="833" spans="1:21" x14ac:dyDescent="0.3">
      <c r="A833" t="s">
        <v>645</v>
      </c>
      <c r="B833" t="s">
        <v>22</v>
      </c>
      <c r="C833" t="s">
        <v>474</v>
      </c>
      <c r="D833" s="1">
        <v>45944</v>
      </c>
      <c r="E833" s="1">
        <v>45946</v>
      </c>
      <c r="F833" s="1">
        <v>45951</v>
      </c>
      <c r="G833" s="1">
        <v>45958</v>
      </c>
      <c r="H833" t="s">
        <v>17</v>
      </c>
      <c r="I833">
        <v>0</v>
      </c>
      <c r="J833" t="s">
        <v>18</v>
      </c>
      <c r="K833" s="1">
        <v>45971</v>
      </c>
      <c r="L833">
        <v>2</v>
      </c>
      <c r="M833">
        <v>5</v>
      </c>
      <c r="N833">
        <v>7</v>
      </c>
      <c r="O833">
        <v>9</v>
      </c>
      <c r="P833" t="str">
        <f t="shared" si="24"/>
        <v>Promoter</v>
      </c>
      <c r="Q833">
        <v>10</v>
      </c>
      <c r="R833" t="s">
        <v>1034</v>
      </c>
      <c r="S833">
        <v>10</v>
      </c>
      <c r="T833" t="s">
        <v>1034</v>
      </c>
      <c r="U833" t="str">
        <f t="shared" si="25"/>
        <v>Yes</v>
      </c>
    </row>
    <row r="834" spans="1:21" x14ac:dyDescent="0.3">
      <c r="A834" t="s">
        <v>739</v>
      </c>
      <c r="B834" t="s">
        <v>29</v>
      </c>
      <c r="C834" t="s">
        <v>474</v>
      </c>
      <c r="D834" s="1">
        <v>45961</v>
      </c>
      <c r="E834" s="1">
        <v>45966</v>
      </c>
      <c r="F834" s="1">
        <v>45971</v>
      </c>
      <c r="G834" s="1">
        <v>45975</v>
      </c>
      <c r="H834" t="s">
        <v>17</v>
      </c>
      <c r="I834">
        <v>0</v>
      </c>
      <c r="J834" t="s">
        <v>18</v>
      </c>
      <c r="K834" s="1">
        <v>45998</v>
      </c>
      <c r="L834">
        <v>5</v>
      </c>
      <c r="M834">
        <v>5</v>
      </c>
      <c r="N834">
        <v>4</v>
      </c>
      <c r="O834">
        <v>9</v>
      </c>
      <c r="P834" t="str">
        <f t="shared" ref="P834:P897" si="26">IF(ISBLANK(O834), "Not Applicable", IF(O834&gt;=9, "Promoter", IF(O834&gt;=7, "Passive", "Detractor")))</f>
        <v>Promoter</v>
      </c>
      <c r="Q834">
        <v>11</v>
      </c>
      <c r="R834" t="s">
        <v>1035</v>
      </c>
      <c r="S834">
        <v>11</v>
      </c>
      <c r="T834" t="s">
        <v>1035</v>
      </c>
      <c r="U834" t="str">
        <f t="shared" ref="U834:U897" si="27">IF(
H834="Yes","No",
IF(
OR(
C834="Hot",
AND(C834="Warm",NOT(ISBLANK(E834)))
),
"Yes",
"No"
)
)</f>
        <v>Yes</v>
      </c>
    </row>
    <row r="835" spans="1:21" x14ac:dyDescent="0.3">
      <c r="A835" t="s">
        <v>300</v>
      </c>
      <c r="B835" t="s">
        <v>15</v>
      </c>
      <c r="C835" t="s">
        <v>16</v>
      </c>
      <c r="D835" s="1">
        <v>45961</v>
      </c>
      <c r="E835" s="1">
        <v>45965</v>
      </c>
      <c r="F835" s="1">
        <v>45967</v>
      </c>
      <c r="G835" s="1">
        <v>45971</v>
      </c>
      <c r="H835" t="s">
        <v>17</v>
      </c>
      <c r="I835">
        <v>0</v>
      </c>
      <c r="J835" t="s">
        <v>18</v>
      </c>
      <c r="K835" s="1">
        <v>45995</v>
      </c>
      <c r="L835">
        <v>4</v>
      </c>
      <c r="M835">
        <v>2</v>
      </c>
      <c r="N835">
        <v>4</v>
      </c>
      <c r="O835">
        <v>6</v>
      </c>
      <c r="P835" t="str">
        <f t="shared" si="26"/>
        <v>Detractor</v>
      </c>
      <c r="Q835">
        <v>11</v>
      </c>
      <c r="R835" t="s">
        <v>1035</v>
      </c>
      <c r="S835">
        <v>11</v>
      </c>
      <c r="T835" t="s">
        <v>1035</v>
      </c>
      <c r="U835" t="str">
        <f t="shared" si="27"/>
        <v>Yes</v>
      </c>
    </row>
    <row r="836" spans="1:21" x14ac:dyDescent="0.3">
      <c r="A836" t="s">
        <v>740</v>
      </c>
      <c r="B836" t="s">
        <v>29</v>
      </c>
      <c r="C836" t="s">
        <v>474</v>
      </c>
      <c r="D836" s="1">
        <v>45939</v>
      </c>
      <c r="E836" s="1">
        <v>45944</v>
      </c>
      <c r="F836" s="1">
        <v>45948</v>
      </c>
      <c r="G836" s="1">
        <v>45951</v>
      </c>
      <c r="H836" t="s">
        <v>17</v>
      </c>
      <c r="I836">
        <v>0</v>
      </c>
      <c r="J836" t="s">
        <v>18</v>
      </c>
      <c r="K836" s="1">
        <v>45973</v>
      </c>
      <c r="L836">
        <v>5</v>
      </c>
      <c r="M836">
        <v>4</v>
      </c>
      <c r="N836">
        <v>3</v>
      </c>
      <c r="O836">
        <v>8</v>
      </c>
      <c r="P836" t="str">
        <f t="shared" si="26"/>
        <v>Passive</v>
      </c>
      <c r="Q836">
        <v>10</v>
      </c>
      <c r="R836" t="s">
        <v>1034</v>
      </c>
      <c r="S836">
        <v>10</v>
      </c>
      <c r="T836" t="s">
        <v>1034</v>
      </c>
      <c r="U836" t="str">
        <f t="shared" si="27"/>
        <v>Yes</v>
      </c>
    </row>
    <row r="837" spans="1:21" x14ac:dyDescent="0.3">
      <c r="A837" t="s">
        <v>831</v>
      </c>
      <c r="B837" t="s">
        <v>22</v>
      </c>
      <c r="C837" t="s">
        <v>16</v>
      </c>
      <c r="D837" s="1">
        <v>45932</v>
      </c>
      <c r="E837" s="1">
        <v>45933</v>
      </c>
      <c r="F837" s="1">
        <v>45934</v>
      </c>
      <c r="G837" s="1">
        <v>45936</v>
      </c>
      <c r="H837" t="s">
        <v>752</v>
      </c>
      <c r="I837">
        <v>1</v>
      </c>
      <c r="J837" t="s">
        <v>753</v>
      </c>
      <c r="K837" s="1"/>
      <c r="L837">
        <v>1</v>
      </c>
      <c r="M837">
        <v>1</v>
      </c>
      <c r="N837">
        <v>2</v>
      </c>
      <c r="P837" t="str">
        <f t="shared" si="26"/>
        <v>Not Applicable</v>
      </c>
      <c r="Q837">
        <v>10</v>
      </c>
      <c r="R837" t="s">
        <v>1034</v>
      </c>
      <c r="S837">
        <v>10</v>
      </c>
      <c r="T837" t="s">
        <v>1034</v>
      </c>
      <c r="U837" t="str">
        <f t="shared" si="27"/>
        <v>No</v>
      </c>
    </row>
    <row r="838" spans="1:21" x14ac:dyDescent="0.3">
      <c r="A838" t="s">
        <v>301</v>
      </c>
      <c r="B838" t="s">
        <v>22</v>
      </c>
      <c r="C838" t="s">
        <v>16</v>
      </c>
      <c r="D838" s="1">
        <v>45953</v>
      </c>
      <c r="E838" s="1">
        <v>45957</v>
      </c>
      <c r="F838" s="1">
        <v>45959</v>
      </c>
      <c r="G838" s="1">
        <v>45964</v>
      </c>
      <c r="H838" t="s">
        <v>17</v>
      </c>
      <c r="I838">
        <v>0</v>
      </c>
      <c r="J838" t="s">
        <v>18</v>
      </c>
      <c r="K838" s="1">
        <v>45977</v>
      </c>
      <c r="L838">
        <v>4</v>
      </c>
      <c r="M838">
        <v>2</v>
      </c>
      <c r="N838">
        <v>5</v>
      </c>
      <c r="O838">
        <v>2</v>
      </c>
      <c r="P838" t="str">
        <f t="shared" si="26"/>
        <v>Detractor</v>
      </c>
      <c r="Q838">
        <v>10</v>
      </c>
      <c r="R838" t="s">
        <v>1034</v>
      </c>
      <c r="S838">
        <v>11</v>
      </c>
      <c r="T838" t="s">
        <v>1035</v>
      </c>
      <c r="U838" t="str">
        <f t="shared" si="27"/>
        <v>Yes</v>
      </c>
    </row>
    <row r="839" spans="1:21" x14ac:dyDescent="0.3">
      <c r="A839" t="s">
        <v>206</v>
      </c>
      <c r="B839" t="s">
        <v>27</v>
      </c>
      <c r="C839" t="s">
        <v>16</v>
      </c>
      <c r="D839" s="1">
        <v>45942</v>
      </c>
      <c r="E839" s="1">
        <v>45947</v>
      </c>
      <c r="F839" s="1">
        <v>45950</v>
      </c>
      <c r="G839" s="1">
        <v>45955</v>
      </c>
      <c r="H839" t="s">
        <v>17</v>
      </c>
      <c r="I839">
        <v>0</v>
      </c>
      <c r="J839" t="s">
        <v>18</v>
      </c>
      <c r="K839" s="1">
        <v>45982</v>
      </c>
      <c r="L839">
        <v>5</v>
      </c>
      <c r="M839">
        <v>3</v>
      </c>
      <c r="N839">
        <v>5</v>
      </c>
      <c r="O839">
        <v>6</v>
      </c>
      <c r="P839" t="str">
        <f t="shared" si="26"/>
        <v>Detractor</v>
      </c>
      <c r="Q839">
        <v>10</v>
      </c>
      <c r="R839" t="s">
        <v>1034</v>
      </c>
      <c r="S839">
        <v>10</v>
      </c>
      <c r="T839" t="s">
        <v>1034</v>
      </c>
      <c r="U839" t="str">
        <f t="shared" si="27"/>
        <v>Yes</v>
      </c>
    </row>
    <row r="840" spans="1:21" x14ac:dyDescent="0.3">
      <c r="A840" t="s">
        <v>646</v>
      </c>
      <c r="B840" t="s">
        <v>15</v>
      </c>
      <c r="C840" t="s">
        <v>474</v>
      </c>
      <c r="D840" s="1">
        <v>45937</v>
      </c>
      <c r="E840" s="1">
        <v>45940</v>
      </c>
      <c r="F840" s="1">
        <v>45941</v>
      </c>
      <c r="G840" s="1">
        <v>45947</v>
      </c>
      <c r="H840" t="s">
        <v>17</v>
      </c>
      <c r="I840">
        <v>0</v>
      </c>
      <c r="J840" t="s">
        <v>18</v>
      </c>
      <c r="K840" s="1">
        <v>45965</v>
      </c>
      <c r="L840">
        <v>3</v>
      </c>
      <c r="M840">
        <v>1</v>
      </c>
      <c r="N840">
        <v>6</v>
      </c>
      <c r="O840">
        <v>6</v>
      </c>
      <c r="P840" t="str">
        <f t="shared" si="26"/>
        <v>Detractor</v>
      </c>
      <c r="Q840">
        <v>10</v>
      </c>
      <c r="R840" t="s">
        <v>1034</v>
      </c>
      <c r="S840">
        <v>10</v>
      </c>
      <c r="T840" t="s">
        <v>1034</v>
      </c>
      <c r="U840" t="str">
        <f t="shared" si="27"/>
        <v>Yes</v>
      </c>
    </row>
    <row r="841" spans="1:21" x14ac:dyDescent="0.3">
      <c r="A841" t="s">
        <v>647</v>
      </c>
      <c r="B841" t="s">
        <v>29</v>
      </c>
      <c r="C841" t="s">
        <v>474</v>
      </c>
      <c r="D841" s="1">
        <v>45945</v>
      </c>
      <c r="E841" s="1">
        <v>45948</v>
      </c>
      <c r="F841" s="1">
        <v>45952</v>
      </c>
      <c r="G841" s="1">
        <v>45959</v>
      </c>
      <c r="H841" t="s">
        <v>17</v>
      </c>
      <c r="I841">
        <v>0</v>
      </c>
      <c r="J841" t="s">
        <v>18</v>
      </c>
      <c r="K841" s="1">
        <v>45984</v>
      </c>
      <c r="L841">
        <v>3</v>
      </c>
      <c r="M841">
        <v>4</v>
      </c>
      <c r="N841">
        <v>7</v>
      </c>
      <c r="O841">
        <v>9</v>
      </c>
      <c r="P841" t="str">
        <f t="shared" si="26"/>
        <v>Promoter</v>
      </c>
      <c r="Q841">
        <v>10</v>
      </c>
      <c r="R841" t="s">
        <v>1034</v>
      </c>
      <c r="S841">
        <v>10</v>
      </c>
      <c r="T841" t="s">
        <v>1034</v>
      </c>
      <c r="U841" t="str">
        <f t="shared" si="27"/>
        <v>Yes</v>
      </c>
    </row>
    <row r="842" spans="1:21" x14ac:dyDescent="0.3">
      <c r="A842" t="s">
        <v>1001</v>
      </c>
      <c r="B842" t="s">
        <v>27</v>
      </c>
      <c r="C842" t="s">
        <v>841</v>
      </c>
      <c r="D842" s="1">
        <v>45945</v>
      </c>
      <c r="E842" s="1"/>
      <c r="F842" s="1"/>
      <c r="G842" s="1"/>
      <c r="H842" t="s">
        <v>752</v>
      </c>
      <c r="I842">
        <v>1</v>
      </c>
      <c r="J842" t="s">
        <v>753</v>
      </c>
      <c r="K842" s="1"/>
      <c r="P842" t="str">
        <f t="shared" si="26"/>
        <v>Not Applicable</v>
      </c>
      <c r="R842" t="s">
        <v>1036</v>
      </c>
      <c r="T842" t="s">
        <v>1036</v>
      </c>
      <c r="U842" t="str">
        <f t="shared" si="27"/>
        <v>No</v>
      </c>
    </row>
    <row r="843" spans="1:21" x14ac:dyDescent="0.3">
      <c r="A843" t="s">
        <v>302</v>
      </c>
      <c r="B843" t="s">
        <v>15</v>
      </c>
      <c r="C843" t="s">
        <v>16</v>
      </c>
      <c r="D843" s="1">
        <v>45961</v>
      </c>
      <c r="E843" s="1">
        <v>45965</v>
      </c>
      <c r="F843" s="1">
        <v>45968</v>
      </c>
      <c r="G843" s="1">
        <v>45974</v>
      </c>
      <c r="H843" t="s">
        <v>17</v>
      </c>
      <c r="I843">
        <v>0</v>
      </c>
      <c r="J843" t="s">
        <v>18</v>
      </c>
      <c r="K843" s="1">
        <v>45988</v>
      </c>
      <c r="L843">
        <v>4</v>
      </c>
      <c r="M843">
        <v>3</v>
      </c>
      <c r="N843">
        <v>6</v>
      </c>
      <c r="O843">
        <v>9</v>
      </c>
      <c r="P843" t="str">
        <f t="shared" si="26"/>
        <v>Promoter</v>
      </c>
      <c r="Q843">
        <v>11</v>
      </c>
      <c r="R843" t="s">
        <v>1035</v>
      </c>
      <c r="S843">
        <v>11</v>
      </c>
      <c r="T843" t="s">
        <v>1035</v>
      </c>
      <c r="U843" t="str">
        <f t="shared" si="27"/>
        <v>Yes</v>
      </c>
    </row>
    <row r="844" spans="1:21" x14ac:dyDescent="0.3">
      <c r="A844" t="s">
        <v>461</v>
      </c>
      <c r="B844" t="s">
        <v>27</v>
      </c>
      <c r="C844" t="s">
        <v>16</v>
      </c>
      <c r="D844" s="1">
        <v>45938</v>
      </c>
      <c r="E844" s="1">
        <v>45940</v>
      </c>
      <c r="F844" s="1">
        <v>45945</v>
      </c>
      <c r="G844" s="1">
        <v>45948</v>
      </c>
      <c r="H844" t="s">
        <v>17</v>
      </c>
      <c r="I844">
        <v>0</v>
      </c>
      <c r="J844" t="s">
        <v>18</v>
      </c>
      <c r="K844" s="1">
        <v>45964</v>
      </c>
      <c r="L844">
        <v>2</v>
      </c>
      <c r="M844">
        <v>5</v>
      </c>
      <c r="N844">
        <v>3</v>
      </c>
      <c r="O844">
        <v>0</v>
      </c>
      <c r="P844" t="str">
        <f t="shared" si="26"/>
        <v>Detractor</v>
      </c>
      <c r="Q844">
        <v>10</v>
      </c>
      <c r="R844" t="s">
        <v>1034</v>
      </c>
      <c r="S844">
        <v>10</v>
      </c>
      <c r="T844" t="s">
        <v>1034</v>
      </c>
      <c r="U844" t="str">
        <f t="shared" si="27"/>
        <v>Yes</v>
      </c>
    </row>
    <row r="845" spans="1:21" x14ac:dyDescent="0.3">
      <c r="A845" t="s">
        <v>832</v>
      </c>
      <c r="B845" t="s">
        <v>22</v>
      </c>
      <c r="C845" t="s">
        <v>474</v>
      </c>
      <c r="D845" s="1">
        <v>45958</v>
      </c>
      <c r="E845" s="1">
        <v>45962</v>
      </c>
      <c r="F845" s="1">
        <v>45966</v>
      </c>
      <c r="G845" s="1">
        <v>45968</v>
      </c>
      <c r="H845" t="s">
        <v>752</v>
      </c>
      <c r="I845">
        <v>1</v>
      </c>
      <c r="J845" t="s">
        <v>753</v>
      </c>
      <c r="K845" s="1"/>
      <c r="L845">
        <v>4</v>
      </c>
      <c r="M845">
        <v>4</v>
      </c>
      <c r="N845">
        <v>2</v>
      </c>
      <c r="P845" t="str">
        <f t="shared" si="26"/>
        <v>Not Applicable</v>
      </c>
      <c r="Q845">
        <v>11</v>
      </c>
      <c r="R845" t="s">
        <v>1035</v>
      </c>
      <c r="S845">
        <v>11</v>
      </c>
      <c r="T845" t="s">
        <v>1035</v>
      </c>
      <c r="U845" t="str">
        <f t="shared" si="27"/>
        <v>No</v>
      </c>
    </row>
    <row r="846" spans="1:21" x14ac:dyDescent="0.3">
      <c r="A846" t="s">
        <v>1002</v>
      </c>
      <c r="B846" t="s">
        <v>15</v>
      </c>
      <c r="C846" t="s">
        <v>841</v>
      </c>
      <c r="D846" s="1">
        <v>45942</v>
      </c>
      <c r="E846" s="1"/>
      <c r="F846" s="1"/>
      <c r="G846" s="1"/>
      <c r="H846" t="s">
        <v>752</v>
      </c>
      <c r="I846">
        <v>1</v>
      </c>
      <c r="J846" t="s">
        <v>777</v>
      </c>
      <c r="K846" s="1"/>
      <c r="P846" t="str">
        <f t="shared" si="26"/>
        <v>Not Applicable</v>
      </c>
      <c r="R846" t="s">
        <v>1036</v>
      </c>
      <c r="T846" t="s">
        <v>1036</v>
      </c>
      <c r="U846" t="str">
        <f t="shared" si="27"/>
        <v>No</v>
      </c>
    </row>
    <row r="847" spans="1:21" x14ac:dyDescent="0.3">
      <c r="A847" t="s">
        <v>114</v>
      </c>
      <c r="B847" t="s">
        <v>27</v>
      </c>
      <c r="C847" t="s">
        <v>16</v>
      </c>
      <c r="D847" s="1">
        <v>45934</v>
      </c>
      <c r="E847" s="1">
        <v>45937</v>
      </c>
      <c r="F847" s="1">
        <v>45940</v>
      </c>
      <c r="G847" s="1">
        <v>45945</v>
      </c>
      <c r="H847" t="s">
        <v>17</v>
      </c>
      <c r="I847">
        <v>0</v>
      </c>
      <c r="J847" t="s">
        <v>18</v>
      </c>
      <c r="K847" s="1">
        <v>45975</v>
      </c>
      <c r="L847">
        <v>3</v>
      </c>
      <c r="M847">
        <v>3</v>
      </c>
      <c r="N847">
        <v>5</v>
      </c>
      <c r="O847">
        <v>7</v>
      </c>
      <c r="P847" t="str">
        <f t="shared" si="26"/>
        <v>Passive</v>
      </c>
      <c r="Q847">
        <v>10</v>
      </c>
      <c r="R847" t="s">
        <v>1034</v>
      </c>
      <c r="S847">
        <v>10</v>
      </c>
      <c r="T847" t="s">
        <v>1034</v>
      </c>
      <c r="U847" t="str">
        <f t="shared" si="27"/>
        <v>Yes</v>
      </c>
    </row>
    <row r="848" spans="1:21" x14ac:dyDescent="0.3">
      <c r="A848" t="s">
        <v>303</v>
      </c>
      <c r="B848" t="s">
        <v>27</v>
      </c>
      <c r="C848" t="s">
        <v>16</v>
      </c>
      <c r="D848" s="1">
        <v>45952</v>
      </c>
      <c r="E848" s="1">
        <v>45956</v>
      </c>
      <c r="F848" s="1">
        <v>45960</v>
      </c>
      <c r="G848" s="1">
        <v>45962</v>
      </c>
      <c r="H848" t="s">
        <v>17</v>
      </c>
      <c r="I848">
        <v>0</v>
      </c>
      <c r="J848" t="s">
        <v>18</v>
      </c>
      <c r="K848" s="1">
        <v>45972</v>
      </c>
      <c r="L848">
        <v>4</v>
      </c>
      <c r="M848">
        <v>4</v>
      </c>
      <c r="N848">
        <v>2</v>
      </c>
      <c r="O848">
        <v>3</v>
      </c>
      <c r="P848" t="str">
        <f t="shared" si="26"/>
        <v>Detractor</v>
      </c>
      <c r="Q848">
        <v>10</v>
      </c>
      <c r="R848" t="s">
        <v>1034</v>
      </c>
      <c r="S848">
        <v>11</v>
      </c>
      <c r="T848" t="s">
        <v>1035</v>
      </c>
      <c r="U848" t="str">
        <f t="shared" si="27"/>
        <v>Yes</v>
      </c>
    </row>
    <row r="849" spans="1:21" x14ac:dyDescent="0.3">
      <c r="A849" t="s">
        <v>1003</v>
      </c>
      <c r="B849" t="s">
        <v>29</v>
      </c>
      <c r="C849" t="s">
        <v>841</v>
      </c>
      <c r="D849" s="1">
        <v>45942</v>
      </c>
      <c r="E849" s="1"/>
      <c r="F849" s="1"/>
      <c r="G849" s="1"/>
      <c r="H849" t="s">
        <v>752</v>
      </c>
      <c r="I849">
        <v>1</v>
      </c>
      <c r="J849" t="s">
        <v>756</v>
      </c>
      <c r="K849" s="1"/>
      <c r="P849" t="str">
        <f t="shared" si="26"/>
        <v>Not Applicable</v>
      </c>
      <c r="R849" t="s">
        <v>1036</v>
      </c>
      <c r="T849" t="s">
        <v>1036</v>
      </c>
      <c r="U849" t="str">
        <f t="shared" si="27"/>
        <v>No</v>
      </c>
    </row>
    <row r="850" spans="1:21" x14ac:dyDescent="0.3">
      <c r="A850" t="s">
        <v>648</v>
      </c>
      <c r="B850" t="s">
        <v>27</v>
      </c>
      <c r="C850" t="s">
        <v>474</v>
      </c>
      <c r="D850" s="1">
        <v>45948</v>
      </c>
      <c r="E850" s="1">
        <v>45949</v>
      </c>
      <c r="F850" s="1">
        <v>45952</v>
      </c>
      <c r="G850" s="1">
        <v>45955</v>
      </c>
      <c r="H850" t="s">
        <v>17</v>
      </c>
      <c r="I850">
        <v>0</v>
      </c>
      <c r="J850" t="s">
        <v>18</v>
      </c>
      <c r="K850" s="1">
        <v>45974</v>
      </c>
      <c r="L850">
        <v>1</v>
      </c>
      <c r="M850">
        <v>3</v>
      </c>
      <c r="N850">
        <v>3</v>
      </c>
      <c r="O850">
        <v>5</v>
      </c>
      <c r="P850" t="str">
        <f t="shared" si="26"/>
        <v>Detractor</v>
      </c>
      <c r="Q850">
        <v>10</v>
      </c>
      <c r="R850" t="s">
        <v>1034</v>
      </c>
      <c r="S850">
        <v>10</v>
      </c>
      <c r="T850" t="s">
        <v>1034</v>
      </c>
      <c r="U850" t="str">
        <f t="shared" si="27"/>
        <v>Yes</v>
      </c>
    </row>
    <row r="851" spans="1:21" x14ac:dyDescent="0.3">
      <c r="A851" t="s">
        <v>390</v>
      </c>
      <c r="B851" t="s">
        <v>15</v>
      </c>
      <c r="C851" t="s">
        <v>16</v>
      </c>
      <c r="D851" s="1">
        <v>45959</v>
      </c>
      <c r="E851" s="1">
        <v>45960</v>
      </c>
      <c r="F851" s="1">
        <v>45964</v>
      </c>
      <c r="G851" s="1">
        <v>45966</v>
      </c>
      <c r="H851" t="s">
        <v>17</v>
      </c>
      <c r="I851">
        <v>0</v>
      </c>
      <c r="J851" t="s">
        <v>18</v>
      </c>
      <c r="K851" s="1">
        <v>45989</v>
      </c>
      <c r="L851">
        <v>1</v>
      </c>
      <c r="M851">
        <v>4</v>
      </c>
      <c r="N851">
        <v>2</v>
      </c>
      <c r="O851">
        <v>6</v>
      </c>
      <c r="P851" t="str">
        <f t="shared" si="26"/>
        <v>Detractor</v>
      </c>
      <c r="Q851">
        <v>10</v>
      </c>
      <c r="R851" t="s">
        <v>1034</v>
      </c>
      <c r="S851">
        <v>11</v>
      </c>
      <c r="T851" t="s">
        <v>1035</v>
      </c>
      <c r="U851" t="str">
        <f t="shared" si="27"/>
        <v>Yes</v>
      </c>
    </row>
    <row r="852" spans="1:21" x14ac:dyDescent="0.3">
      <c r="A852" t="s">
        <v>462</v>
      </c>
      <c r="B852" t="s">
        <v>15</v>
      </c>
      <c r="C852" t="s">
        <v>16</v>
      </c>
      <c r="D852" s="1">
        <v>45951</v>
      </c>
      <c r="E852" s="1">
        <v>45953</v>
      </c>
      <c r="F852" s="1">
        <v>45958</v>
      </c>
      <c r="G852" s="1">
        <v>45960</v>
      </c>
      <c r="H852" t="s">
        <v>17</v>
      </c>
      <c r="I852">
        <v>0</v>
      </c>
      <c r="J852" t="s">
        <v>18</v>
      </c>
      <c r="K852" s="1">
        <v>45973</v>
      </c>
      <c r="L852">
        <v>2</v>
      </c>
      <c r="M852">
        <v>5</v>
      </c>
      <c r="N852">
        <v>2</v>
      </c>
      <c r="O852">
        <v>4</v>
      </c>
      <c r="P852" t="str">
        <f t="shared" si="26"/>
        <v>Detractor</v>
      </c>
      <c r="Q852">
        <v>10</v>
      </c>
      <c r="R852" t="s">
        <v>1034</v>
      </c>
      <c r="S852">
        <v>10</v>
      </c>
      <c r="T852" t="s">
        <v>1034</v>
      </c>
      <c r="U852" t="str">
        <f t="shared" si="27"/>
        <v>Yes</v>
      </c>
    </row>
    <row r="853" spans="1:21" x14ac:dyDescent="0.3">
      <c r="A853" t="s">
        <v>649</v>
      </c>
      <c r="B853" t="s">
        <v>29</v>
      </c>
      <c r="C853" t="s">
        <v>474</v>
      </c>
      <c r="D853" s="1">
        <v>45942</v>
      </c>
      <c r="E853" s="1">
        <v>45946</v>
      </c>
      <c r="F853" s="1">
        <v>45948</v>
      </c>
      <c r="G853" s="1">
        <v>45950</v>
      </c>
      <c r="H853" t="s">
        <v>17</v>
      </c>
      <c r="I853">
        <v>0</v>
      </c>
      <c r="J853" t="s">
        <v>18</v>
      </c>
      <c r="K853" s="1">
        <v>45976</v>
      </c>
      <c r="L853">
        <v>4</v>
      </c>
      <c r="M853">
        <v>2</v>
      </c>
      <c r="N853">
        <v>2</v>
      </c>
      <c r="O853">
        <v>9</v>
      </c>
      <c r="P853" t="str">
        <f t="shared" si="26"/>
        <v>Promoter</v>
      </c>
      <c r="Q853">
        <v>10</v>
      </c>
      <c r="R853" t="s">
        <v>1034</v>
      </c>
      <c r="S853">
        <v>10</v>
      </c>
      <c r="T853" t="s">
        <v>1034</v>
      </c>
      <c r="U853" t="str">
        <f t="shared" si="27"/>
        <v>Yes</v>
      </c>
    </row>
    <row r="854" spans="1:21" x14ac:dyDescent="0.3">
      <c r="A854" t="s">
        <v>1004</v>
      </c>
      <c r="B854" t="s">
        <v>15</v>
      </c>
      <c r="C854" t="s">
        <v>841</v>
      </c>
      <c r="D854" s="1">
        <v>45932</v>
      </c>
      <c r="E854" s="1"/>
      <c r="F854" s="1"/>
      <c r="G854" s="1"/>
      <c r="H854" t="s">
        <v>752</v>
      </c>
      <c r="I854">
        <v>1</v>
      </c>
      <c r="J854" t="s">
        <v>765</v>
      </c>
      <c r="K854" s="1"/>
      <c r="P854" t="str">
        <f t="shared" si="26"/>
        <v>Not Applicable</v>
      </c>
      <c r="R854" t="s">
        <v>1036</v>
      </c>
      <c r="T854" t="s">
        <v>1036</v>
      </c>
      <c r="U854" t="str">
        <f t="shared" si="27"/>
        <v>No</v>
      </c>
    </row>
    <row r="855" spans="1:21" x14ac:dyDescent="0.3">
      <c r="A855" t="s">
        <v>833</v>
      </c>
      <c r="B855" t="s">
        <v>22</v>
      </c>
      <c r="C855" t="s">
        <v>16</v>
      </c>
      <c r="D855" s="1">
        <v>45943</v>
      </c>
      <c r="E855" s="1">
        <v>45947</v>
      </c>
      <c r="F855" s="1">
        <v>45950</v>
      </c>
      <c r="G855" s="1">
        <v>45953</v>
      </c>
      <c r="H855" t="s">
        <v>752</v>
      </c>
      <c r="I855">
        <v>1</v>
      </c>
      <c r="J855" t="s">
        <v>758</v>
      </c>
      <c r="K855" s="1"/>
      <c r="L855">
        <v>4</v>
      </c>
      <c r="M855">
        <v>3</v>
      </c>
      <c r="N855">
        <v>3</v>
      </c>
      <c r="P855" t="str">
        <f t="shared" si="26"/>
        <v>Not Applicable</v>
      </c>
      <c r="Q855">
        <v>10</v>
      </c>
      <c r="R855" t="s">
        <v>1034</v>
      </c>
      <c r="S855">
        <v>10</v>
      </c>
      <c r="T855" t="s">
        <v>1034</v>
      </c>
      <c r="U855" t="str">
        <f t="shared" si="27"/>
        <v>No</v>
      </c>
    </row>
    <row r="856" spans="1:21" x14ac:dyDescent="0.3">
      <c r="A856" t="s">
        <v>304</v>
      </c>
      <c r="B856" t="s">
        <v>15</v>
      </c>
      <c r="C856" t="s">
        <v>16</v>
      </c>
      <c r="D856" s="1">
        <v>45939</v>
      </c>
      <c r="E856" s="1">
        <v>45943</v>
      </c>
      <c r="F856" s="1">
        <v>45946</v>
      </c>
      <c r="G856" s="1">
        <v>45949</v>
      </c>
      <c r="H856" t="s">
        <v>17</v>
      </c>
      <c r="I856">
        <v>0</v>
      </c>
      <c r="J856" t="s">
        <v>18</v>
      </c>
      <c r="K856" s="1">
        <v>45967</v>
      </c>
      <c r="L856">
        <v>4</v>
      </c>
      <c r="M856">
        <v>3</v>
      </c>
      <c r="N856">
        <v>3</v>
      </c>
      <c r="O856">
        <v>2</v>
      </c>
      <c r="P856" t="str">
        <f t="shared" si="26"/>
        <v>Detractor</v>
      </c>
      <c r="Q856">
        <v>10</v>
      </c>
      <c r="R856" t="s">
        <v>1034</v>
      </c>
      <c r="S856">
        <v>10</v>
      </c>
      <c r="T856" t="s">
        <v>1034</v>
      </c>
      <c r="U856" t="str">
        <f t="shared" si="27"/>
        <v>Yes</v>
      </c>
    </row>
    <row r="857" spans="1:21" x14ac:dyDescent="0.3">
      <c r="A857" t="s">
        <v>650</v>
      </c>
      <c r="B857" t="s">
        <v>15</v>
      </c>
      <c r="C857" t="s">
        <v>474</v>
      </c>
      <c r="D857" s="1">
        <v>45937</v>
      </c>
      <c r="E857" s="1">
        <v>45941</v>
      </c>
      <c r="F857" s="1">
        <v>45946</v>
      </c>
      <c r="G857" s="1">
        <v>45949</v>
      </c>
      <c r="H857" t="s">
        <v>17</v>
      </c>
      <c r="I857">
        <v>0</v>
      </c>
      <c r="J857" t="s">
        <v>18</v>
      </c>
      <c r="K857" s="1">
        <v>45978</v>
      </c>
      <c r="L857">
        <v>4</v>
      </c>
      <c r="M857">
        <v>5</v>
      </c>
      <c r="N857">
        <v>3</v>
      </c>
      <c r="O857">
        <v>7</v>
      </c>
      <c r="P857" t="str">
        <f t="shared" si="26"/>
        <v>Passive</v>
      </c>
      <c r="Q857">
        <v>10</v>
      </c>
      <c r="R857" t="s">
        <v>1034</v>
      </c>
      <c r="S857">
        <v>10</v>
      </c>
      <c r="T857" t="s">
        <v>1034</v>
      </c>
      <c r="U857" t="str">
        <f t="shared" si="27"/>
        <v>Yes</v>
      </c>
    </row>
    <row r="858" spans="1:21" x14ac:dyDescent="0.3">
      <c r="A858" t="s">
        <v>651</v>
      </c>
      <c r="B858" t="s">
        <v>27</v>
      </c>
      <c r="C858" t="s">
        <v>474</v>
      </c>
      <c r="D858" s="1">
        <v>45961</v>
      </c>
      <c r="E858" s="1">
        <v>45963</v>
      </c>
      <c r="F858" s="1">
        <v>45965</v>
      </c>
      <c r="G858" s="1">
        <v>45970</v>
      </c>
      <c r="H858" t="s">
        <v>17</v>
      </c>
      <c r="I858">
        <v>0</v>
      </c>
      <c r="J858" t="s">
        <v>18</v>
      </c>
      <c r="K858" s="1">
        <v>45999</v>
      </c>
      <c r="L858">
        <v>2</v>
      </c>
      <c r="M858">
        <v>2</v>
      </c>
      <c r="N858">
        <v>5</v>
      </c>
      <c r="O858">
        <v>1</v>
      </c>
      <c r="P858" t="str">
        <f t="shared" si="26"/>
        <v>Detractor</v>
      </c>
      <c r="Q858">
        <v>11</v>
      </c>
      <c r="R858" t="s">
        <v>1035</v>
      </c>
      <c r="S858">
        <v>11</v>
      </c>
      <c r="T858" t="s">
        <v>1035</v>
      </c>
      <c r="U858" t="str">
        <f t="shared" si="27"/>
        <v>Yes</v>
      </c>
    </row>
    <row r="859" spans="1:21" x14ac:dyDescent="0.3">
      <c r="A859" t="s">
        <v>115</v>
      </c>
      <c r="B859" t="s">
        <v>27</v>
      </c>
      <c r="C859" t="s">
        <v>16</v>
      </c>
      <c r="D859" s="1">
        <v>45934</v>
      </c>
      <c r="E859" s="1">
        <v>45937</v>
      </c>
      <c r="F859" s="1">
        <v>45941</v>
      </c>
      <c r="G859" s="1">
        <v>45945</v>
      </c>
      <c r="H859" t="s">
        <v>17</v>
      </c>
      <c r="I859">
        <v>0</v>
      </c>
      <c r="J859" t="s">
        <v>18</v>
      </c>
      <c r="K859" s="1">
        <v>45959</v>
      </c>
      <c r="L859">
        <v>3</v>
      </c>
      <c r="M859">
        <v>4</v>
      </c>
      <c r="N859">
        <v>4</v>
      </c>
      <c r="O859">
        <v>3</v>
      </c>
      <c r="P859" t="str">
        <f t="shared" si="26"/>
        <v>Detractor</v>
      </c>
      <c r="Q859">
        <v>10</v>
      </c>
      <c r="R859" t="s">
        <v>1034</v>
      </c>
      <c r="S859">
        <v>10</v>
      </c>
      <c r="T859" t="s">
        <v>1034</v>
      </c>
      <c r="U859" t="str">
        <f t="shared" si="27"/>
        <v>Yes</v>
      </c>
    </row>
    <row r="860" spans="1:21" x14ac:dyDescent="0.3">
      <c r="A860" t="s">
        <v>207</v>
      </c>
      <c r="B860" t="s">
        <v>15</v>
      </c>
      <c r="C860" t="s">
        <v>16</v>
      </c>
      <c r="D860" s="1">
        <v>45961</v>
      </c>
      <c r="E860" s="1">
        <v>45966</v>
      </c>
      <c r="F860" s="1">
        <v>45969</v>
      </c>
      <c r="G860" s="1">
        <v>45976</v>
      </c>
      <c r="H860" t="s">
        <v>17</v>
      </c>
      <c r="I860">
        <v>0</v>
      </c>
      <c r="J860" t="s">
        <v>18</v>
      </c>
      <c r="K860" s="1">
        <v>45999</v>
      </c>
      <c r="L860">
        <v>5</v>
      </c>
      <c r="M860">
        <v>3</v>
      </c>
      <c r="N860">
        <v>7</v>
      </c>
      <c r="O860">
        <v>7</v>
      </c>
      <c r="P860" t="str">
        <f t="shared" si="26"/>
        <v>Passive</v>
      </c>
      <c r="Q860">
        <v>11</v>
      </c>
      <c r="R860" t="s">
        <v>1035</v>
      </c>
      <c r="S860">
        <v>11</v>
      </c>
      <c r="T860" t="s">
        <v>1035</v>
      </c>
      <c r="U860" t="str">
        <f t="shared" si="27"/>
        <v>Yes</v>
      </c>
    </row>
    <row r="861" spans="1:21" x14ac:dyDescent="0.3">
      <c r="A861" t="s">
        <v>652</v>
      </c>
      <c r="B861" t="s">
        <v>29</v>
      </c>
      <c r="C861" t="s">
        <v>474</v>
      </c>
      <c r="D861" s="1">
        <v>45958</v>
      </c>
      <c r="E861" s="1">
        <v>45960</v>
      </c>
      <c r="F861" s="1">
        <v>45962</v>
      </c>
      <c r="G861" s="1">
        <v>45969</v>
      </c>
      <c r="H861" t="s">
        <v>17</v>
      </c>
      <c r="I861">
        <v>0</v>
      </c>
      <c r="J861" t="s">
        <v>18</v>
      </c>
      <c r="K861" s="1">
        <v>45982</v>
      </c>
      <c r="L861">
        <v>2</v>
      </c>
      <c r="M861">
        <v>2</v>
      </c>
      <c r="N861">
        <v>7</v>
      </c>
      <c r="O861">
        <v>4</v>
      </c>
      <c r="P861" t="str">
        <f t="shared" si="26"/>
        <v>Detractor</v>
      </c>
      <c r="Q861">
        <v>10</v>
      </c>
      <c r="R861" t="s">
        <v>1034</v>
      </c>
      <c r="S861">
        <v>11</v>
      </c>
      <c r="T861" t="s">
        <v>1035</v>
      </c>
      <c r="U861" t="str">
        <f t="shared" si="27"/>
        <v>Yes</v>
      </c>
    </row>
    <row r="862" spans="1:21" x14ac:dyDescent="0.3">
      <c r="A862" t="s">
        <v>116</v>
      </c>
      <c r="B862" t="s">
        <v>27</v>
      </c>
      <c r="C862" t="s">
        <v>16</v>
      </c>
      <c r="D862" s="1">
        <v>45957</v>
      </c>
      <c r="E862" s="1">
        <v>45960</v>
      </c>
      <c r="F862" s="1">
        <v>45964</v>
      </c>
      <c r="G862" s="1">
        <v>45971</v>
      </c>
      <c r="H862" t="s">
        <v>17</v>
      </c>
      <c r="I862">
        <v>0</v>
      </c>
      <c r="J862" t="s">
        <v>18</v>
      </c>
      <c r="K862" s="1">
        <v>45997</v>
      </c>
      <c r="L862">
        <v>3</v>
      </c>
      <c r="M862">
        <v>4</v>
      </c>
      <c r="N862">
        <v>7</v>
      </c>
      <c r="O862">
        <v>2</v>
      </c>
      <c r="P862" t="str">
        <f t="shared" si="26"/>
        <v>Detractor</v>
      </c>
      <c r="Q862">
        <v>10</v>
      </c>
      <c r="R862" t="s">
        <v>1034</v>
      </c>
      <c r="S862">
        <v>11</v>
      </c>
      <c r="T862" t="s">
        <v>1035</v>
      </c>
      <c r="U862" t="str">
        <f t="shared" si="27"/>
        <v>Yes</v>
      </c>
    </row>
    <row r="863" spans="1:21" x14ac:dyDescent="0.3">
      <c r="A863" t="s">
        <v>117</v>
      </c>
      <c r="B863" t="s">
        <v>29</v>
      </c>
      <c r="C863" t="s">
        <v>16</v>
      </c>
      <c r="D863" s="1">
        <v>45945</v>
      </c>
      <c r="E863" s="1">
        <v>45948</v>
      </c>
      <c r="F863" s="1">
        <v>45951</v>
      </c>
      <c r="G863" s="1">
        <v>45953</v>
      </c>
      <c r="H863" t="s">
        <v>17</v>
      </c>
      <c r="I863">
        <v>0</v>
      </c>
      <c r="J863" t="s">
        <v>18</v>
      </c>
      <c r="K863" s="1">
        <v>45982</v>
      </c>
      <c r="L863">
        <v>3</v>
      </c>
      <c r="M863">
        <v>3</v>
      </c>
      <c r="N863">
        <v>2</v>
      </c>
      <c r="O863">
        <v>5</v>
      </c>
      <c r="P863" t="str">
        <f t="shared" si="26"/>
        <v>Detractor</v>
      </c>
      <c r="Q863">
        <v>10</v>
      </c>
      <c r="R863" t="s">
        <v>1034</v>
      </c>
      <c r="S863">
        <v>10</v>
      </c>
      <c r="T863" t="s">
        <v>1034</v>
      </c>
      <c r="U863" t="str">
        <f t="shared" si="27"/>
        <v>Yes</v>
      </c>
    </row>
    <row r="864" spans="1:21" x14ac:dyDescent="0.3">
      <c r="A864" t="s">
        <v>834</v>
      </c>
      <c r="B864" t="s">
        <v>15</v>
      </c>
      <c r="C864" t="s">
        <v>474</v>
      </c>
      <c r="D864" s="1">
        <v>45933</v>
      </c>
      <c r="E864" s="1">
        <v>45936</v>
      </c>
      <c r="F864" s="1">
        <v>45939</v>
      </c>
      <c r="G864" s="1">
        <v>45945</v>
      </c>
      <c r="H864" t="s">
        <v>752</v>
      </c>
      <c r="I864">
        <v>1</v>
      </c>
      <c r="J864" t="s">
        <v>756</v>
      </c>
      <c r="K864" s="1"/>
      <c r="L864">
        <v>3</v>
      </c>
      <c r="M864">
        <v>3</v>
      </c>
      <c r="N864">
        <v>6</v>
      </c>
      <c r="P864" t="str">
        <f t="shared" si="26"/>
        <v>Not Applicable</v>
      </c>
      <c r="Q864">
        <v>10</v>
      </c>
      <c r="R864" t="s">
        <v>1034</v>
      </c>
      <c r="S864">
        <v>10</v>
      </c>
      <c r="T864" t="s">
        <v>1034</v>
      </c>
      <c r="U864" t="str">
        <f t="shared" si="27"/>
        <v>No</v>
      </c>
    </row>
    <row r="865" spans="1:21" x14ac:dyDescent="0.3">
      <c r="A865" t="s">
        <v>305</v>
      </c>
      <c r="B865" t="s">
        <v>15</v>
      </c>
      <c r="C865" t="s">
        <v>16</v>
      </c>
      <c r="D865" s="1">
        <v>45952</v>
      </c>
      <c r="E865" s="1">
        <v>45956</v>
      </c>
      <c r="F865" s="1">
        <v>45960</v>
      </c>
      <c r="G865" s="1">
        <v>45966</v>
      </c>
      <c r="H865" t="s">
        <v>17</v>
      </c>
      <c r="I865">
        <v>0</v>
      </c>
      <c r="J865" t="s">
        <v>18</v>
      </c>
      <c r="K865" s="1">
        <v>45979</v>
      </c>
      <c r="L865">
        <v>4</v>
      </c>
      <c r="M865">
        <v>4</v>
      </c>
      <c r="N865">
        <v>6</v>
      </c>
      <c r="O865">
        <v>9</v>
      </c>
      <c r="P865" t="str">
        <f t="shared" si="26"/>
        <v>Promoter</v>
      </c>
      <c r="Q865">
        <v>10</v>
      </c>
      <c r="R865" t="s">
        <v>1034</v>
      </c>
      <c r="S865">
        <v>11</v>
      </c>
      <c r="T865" t="s">
        <v>1035</v>
      </c>
      <c r="U865" t="str">
        <f t="shared" si="27"/>
        <v>Yes</v>
      </c>
    </row>
    <row r="866" spans="1:21" x14ac:dyDescent="0.3">
      <c r="A866" t="s">
        <v>653</v>
      </c>
      <c r="B866" t="s">
        <v>22</v>
      </c>
      <c r="C866" t="s">
        <v>474</v>
      </c>
      <c r="D866" s="1">
        <v>45937</v>
      </c>
      <c r="E866" s="1">
        <v>45939</v>
      </c>
      <c r="F866" s="1">
        <v>45944</v>
      </c>
      <c r="G866" s="1">
        <v>45948</v>
      </c>
      <c r="H866" t="s">
        <v>17</v>
      </c>
      <c r="I866">
        <v>0</v>
      </c>
      <c r="J866" t="s">
        <v>18</v>
      </c>
      <c r="K866" s="1">
        <v>45967</v>
      </c>
      <c r="L866">
        <v>2</v>
      </c>
      <c r="M866">
        <v>5</v>
      </c>
      <c r="N866">
        <v>4</v>
      </c>
      <c r="O866">
        <v>4</v>
      </c>
      <c r="P866" t="str">
        <f t="shared" si="26"/>
        <v>Detractor</v>
      </c>
      <c r="Q866">
        <v>10</v>
      </c>
      <c r="R866" t="s">
        <v>1034</v>
      </c>
      <c r="S866">
        <v>10</v>
      </c>
      <c r="T866" t="s">
        <v>1034</v>
      </c>
      <c r="U866" t="str">
        <f t="shared" si="27"/>
        <v>Yes</v>
      </c>
    </row>
    <row r="867" spans="1:21" x14ac:dyDescent="0.3">
      <c r="A867" t="s">
        <v>1005</v>
      </c>
      <c r="B867" t="s">
        <v>27</v>
      </c>
      <c r="C867" t="s">
        <v>841</v>
      </c>
      <c r="D867" s="1">
        <v>45951</v>
      </c>
      <c r="E867" s="1"/>
      <c r="F867" s="1"/>
      <c r="G867" s="1"/>
      <c r="H867" t="s">
        <v>752</v>
      </c>
      <c r="I867">
        <v>1</v>
      </c>
      <c r="J867" t="s">
        <v>777</v>
      </c>
      <c r="K867" s="1"/>
      <c r="P867" t="str">
        <f t="shared" si="26"/>
        <v>Not Applicable</v>
      </c>
      <c r="R867" t="s">
        <v>1036</v>
      </c>
      <c r="T867" t="s">
        <v>1036</v>
      </c>
      <c r="U867" t="str">
        <f t="shared" si="27"/>
        <v>No</v>
      </c>
    </row>
    <row r="868" spans="1:21" x14ac:dyDescent="0.3">
      <c r="A868" t="s">
        <v>118</v>
      </c>
      <c r="B868" t="s">
        <v>15</v>
      </c>
      <c r="C868" t="s">
        <v>16</v>
      </c>
      <c r="D868" s="1">
        <v>45951</v>
      </c>
      <c r="E868" s="1">
        <v>45954</v>
      </c>
      <c r="F868" s="1">
        <v>45956</v>
      </c>
      <c r="G868" s="1">
        <v>45958</v>
      </c>
      <c r="H868" t="s">
        <v>17</v>
      </c>
      <c r="I868">
        <v>0</v>
      </c>
      <c r="J868" t="s">
        <v>18</v>
      </c>
      <c r="K868" s="1">
        <v>45971</v>
      </c>
      <c r="L868">
        <v>3</v>
      </c>
      <c r="M868">
        <v>2</v>
      </c>
      <c r="N868">
        <v>2</v>
      </c>
      <c r="O868">
        <v>9</v>
      </c>
      <c r="P868" t="str">
        <f t="shared" si="26"/>
        <v>Promoter</v>
      </c>
      <c r="Q868">
        <v>10</v>
      </c>
      <c r="R868" t="s">
        <v>1034</v>
      </c>
      <c r="S868">
        <v>10</v>
      </c>
      <c r="T868" t="s">
        <v>1034</v>
      </c>
      <c r="U868" t="str">
        <f t="shared" si="27"/>
        <v>Yes</v>
      </c>
    </row>
    <row r="869" spans="1:21" x14ac:dyDescent="0.3">
      <c r="A869" t="s">
        <v>741</v>
      </c>
      <c r="B869" t="s">
        <v>22</v>
      </c>
      <c r="C869" t="s">
        <v>474</v>
      </c>
      <c r="D869" s="1">
        <v>45950</v>
      </c>
      <c r="E869" s="1">
        <v>45955</v>
      </c>
      <c r="F869" s="1">
        <v>45958</v>
      </c>
      <c r="G869" s="1">
        <v>45960</v>
      </c>
      <c r="H869" t="s">
        <v>17</v>
      </c>
      <c r="I869">
        <v>0</v>
      </c>
      <c r="J869" t="s">
        <v>18</v>
      </c>
      <c r="K869" s="1">
        <v>45973</v>
      </c>
      <c r="L869">
        <v>5</v>
      </c>
      <c r="M869">
        <v>3</v>
      </c>
      <c r="N869">
        <v>2</v>
      </c>
      <c r="O869">
        <v>9</v>
      </c>
      <c r="P869" t="str">
        <f t="shared" si="26"/>
        <v>Promoter</v>
      </c>
      <c r="Q869">
        <v>10</v>
      </c>
      <c r="R869" t="s">
        <v>1034</v>
      </c>
      <c r="S869">
        <v>10</v>
      </c>
      <c r="T869" t="s">
        <v>1034</v>
      </c>
      <c r="U869" t="str">
        <f t="shared" si="27"/>
        <v>Yes</v>
      </c>
    </row>
    <row r="870" spans="1:21" x14ac:dyDescent="0.3">
      <c r="A870" t="s">
        <v>208</v>
      </c>
      <c r="B870" t="s">
        <v>27</v>
      </c>
      <c r="C870" t="s">
        <v>16</v>
      </c>
      <c r="D870" s="1">
        <v>45931</v>
      </c>
      <c r="E870" s="1">
        <v>45936</v>
      </c>
      <c r="F870" s="1">
        <v>45940</v>
      </c>
      <c r="G870" s="1">
        <v>45942</v>
      </c>
      <c r="H870" t="s">
        <v>17</v>
      </c>
      <c r="I870">
        <v>0</v>
      </c>
      <c r="J870" t="s">
        <v>18</v>
      </c>
      <c r="K870" s="1">
        <v>45967</v>
      </c>
      <c r="L870">
        <v>5</v>
      </c>
      <c r="M870">
        <v>4</v>
      </c>
      <c r="N870">
        <v>2</v>
      </c>
      <c r="O870">
        <v>5</v>
      </c>
      <c r="P870" t="str">
        <f t="shared" si="26"/>
        <v>Detractor</v>
      </c>
      <c r="Q870">
        <v>10</v>
      </c>
      <c r="R870" t="s">
        <v>1034</v>
      </c>
      <c r="S870">
        <v>10</v>
      </c>
      <c r="T870" t="s">
        <v>1034</v>
      </c>
      <c r="U870" t="str">
        <f t="shared" si="27"/>
        <v>Yes</v>
      </c>
    </row>
    <row r="871" spans="1:21" x14ac:dyDescent="0.3">
      <c r="A871" t="s">
        <v>391</v>
      </c>
      <c r="B871" t="s">
        <v>15</v>
      </c>
      <c r="C871" t="s">
        <v>16</v>
      </c>
      <c r="D871" s="1">
        <v>45932</v>
      </c>
      <c r="E871" s="1">
        <v>45933</v>
      </c>
      <c r="F871" s="1">
        <v>45936</v>
      </c>
      <c r="G871" s="1">
        <v>45939</v>
      </c>
      <c r="H871" t="s">
        <v>17</v>
      </c>
      <c r="I871">
        <v>0</v>
      </c>
      <c r="J871" t="s">
        <v>18</v>
      </c>
      <c r="K871" s="1">
        <v>45955</v>
      </c>
      <c r="L871">
        <v>1</v>
      </c>
      <c r="M871">
        <v>3</v>
      </c>
      <c r="N871">
        <v>3</v>
      </c>
      <c r="O871">
        <v>1</v>
      </c>
      <c r="P871" t="str">
        <f t="shared" si="26"/>
        <v>Detractor</v>
      </c>
      <c r="Q871">
        <v>10</v>
      </c>
      <c r="R871" t="s">
        <v>1034</v>
      </c>
      <c r="S871">
        <v>10</v>
      </c>
      <c r="T871" t="s">
        <v>1034</v>
      </c>
      <c r="U871" t="str">
        <f t="shared" si="27"/>
        <v>Yes</v>
      </c>
    </row>
    <row r="872" spans="1:21" x14ac:dyDescent="0.3">
      <c r="A872" t="s">
        <v>119</v>
      </c>
      <c r="B872" t="s">
        <v>15</v>
      </c>
      <c r="C872" t="s">
        <v>16</v>
      </c>
      <c r="D872" s="1">
        <v>45956</v>
      </c>
      <c r="E872" s="1">
        <v>45959</v>
      </c>
      <c r="F872" s="1">
        <v>45963</v>
      </c>
      <c r="G872" s="1">
        <v>45970</v>
      </c>
      <c r="H872" t="s">
        <v>17</v>
      </c>
      <c r="I872">
        <v>0</v>
      </c>
      <c r="J872" t="s">
        <v>18</v>
      </c>
      <c r="K872" s="1">
        <v>45999</v>
      </c>
      <c r="L872">
        <v>3</v>
      </c>
      <c r="M872">
        <v>4</v>
      </c>
      <c r="N872">
        <v>7</v>
      </c>
      <c r="O872">
        <v>8</v>
      </c>
      <c r="P872" t="str">
        <f t="shared" si="26"/>
        <v>Passive</v>
      </c>
      <c r="Q872">
        <v>10</v>
      </c>
      <c r="R872" t="s">
        <v>1034</v>
      </c>
      <c r="S872">
        <v>11</v>
      </c>
      <c r="T872" t="s">
        <v>1035</v>
      </c>
      <c r="U872" t="str">
        <f t="shared" si="27"/>
        <v>Yes</v>
      </c>
    </row>
    <row r="873" spans="1:21" x14ac:dyDescent="0.3">
      <c r="A873" t="s">
        <v>463</v>
      </c>
      <c r="B873" t="s">
        <v>27</v>
      </c>
      <c r="C873" t="s">
        <v>16</v>
      </c>
      <c r="D873" s="1">
        <v>45941</v>
      </c>
      <c r="E873" s="1">
        <v>45943</v>
      </c>
      <c r="F873" s="1">
        <v>45946</v>
      </c>
      <c r="G873" s="1">
        <v>45951</v>
      </c>
      <c r="H873" t="s">
        <v>17</v>
      </c>
      <c r="I873">
        <v>0</v>
      </c>
      <c r="J873" t="s">
        <v>18</v>
      </c>
      <c r="K873" s="1">
        <v>45967</v>
      </c>
      <c r="L873">
        <v>2</v>
      </c>
      <c r="M873">
        <v>3</v>
      </c>
      <c r="N873">
        <v>5</v>
      </c>
      <c r="O873">
        <v>7</v>
      </c>
      <c r="P873" t="str">
        <f t="shared" si="26"/>
        <v>Passive</v>
      </c>
      <c r="Q873">
        <v>10</v>
      </c>
      <c r="R873" t="s">
        <v>1034</v>
      </c>
      <c r="S873">
        <v>10</v>
      </c>
      <c r="T873" t="s">
        <v>1034</v>
      </c>
      <c r="U873" t="str">
        <f t="shared" si="27"/>
        <v>Yes</v>
      </c>
    </row>
    <row r="874" spans="1:21" x14ac:dyDescent="0.3">
      <c r="A874" t="s">
        <v>306</v>
      </c>
      <c r="B874" t="s">
        <v>27</v>
      </c>
      <c r="C874" t="s">
        <v>16</v>
      </c>
      <c r="D874" s="1">
        <v>45938</v>
      </c>
      <c r="E874" s="1">
        <v>45942</v>
      </c>
      <c r="F874" s="1">
        <v>45943</v>
      </c>
      <c r="G874" s="1">
        <v>45946</v>
      </c>
      <c r="H874" t="s">
        <v>17</v>
      </c>
      <c r="I874">
        <v>0</v>
      </c>
      <c r="J874" t="s">
        <v>18</v>
      </c>
      <c r="K874" s="1">
        <v>45964</v>
      </c>
      <c r="L874">
        <v>4</v>
      </c>
      <c r="M874">
        <v>1</v>
      </c>
      <c r="N874">
        <v>3</v>
      </c>
      <c r="O874">
        <v>5</v>
      </c>
      <c r="P874" t="str">
        <f t="shared" si="26"/>
        <v>Detractor</v>
      </c>
      <c r="Q874">
        <v>10</v>
      </c>
      <c r="R874" t="s">
        <v>1034</v>
      </c>
      <c r="S874">
        <v>10</v>
      </c>
      <c r="T874" t="s">
        <v>1034</v>
      </c>
      <c r="U874" t="str">
        <f t="shared" si="27"/>
        <v>Yes</v>
      </c>
    </row>
    <row r="875" spans="1:21" x14ac:dyDescent="0.3">
      <c r="A875" t="s">
        <v>654</v>
      </c>
      <c r="B875" t="s">
        <v>27</v>
      </c>
      <c r="C875" t="s">
        <v>474</v>
      </c>
      <c r="D875" s="1">
        <v>45935</v>
      </c>
      <c r="E875" s="1">
        <v>45936</v>
      </c>
      <c r="F875" s="1">
        <v>45941</v>
      </c>
      <c r="G875" s="1">
        <v>45943</v>
      </c>
      <c r="H875" t="s">
        <v>17</v>
      </c>
      <c r="I875">
        <v>0</v>
      </c>
      <c r="J875" t="s">
        <v>18</v>
      </c>
      <c r="K875" s="1">
        <v>45969</v>
      </c>
      <c r="L875">
        <v>1</v>
      </c>
      <c r="M875">
        <v>5</v>
      </c>
      <c r="N875">
        <v>2</v>
      </c>
      <c r="O875">
        <v>4</v>
      </c>
      <c r="P875" t="str">
        <f t="shared" si="26"/>
        <v>Detractor</v>
      </c>
      <c r="Q875">
        <v>10</v>
      </c>
      <c r="R875" t="s">
        <v>1034</v>
      </c>
      <c r="S875">
        <v>10</v>
      </c>
      <c r="T875" t="s">
        <v>1034</v>
      </c>
      <c r="U875" t="str">
        <f t="shared" si="27"/>
        <v>Yes</v>
      </c>
    </row>
    <row r="876" spans="1:21" x14ac:dyDescent="0.3">
      <c r="A876" t="s">
        <v>655</v>
      </c>
      <c r="B876" t="s">
        <v>15</v>
      </c>
      <c r="C876" t="s">
        <v>474</v>
      </c>
      <c r="D876" s="1">
        <v>45956</v>
      </c>
      <c r="E876" s="1">
        <v>45959</v>
      </c>
      <c r="F876" s="1">
        <v>45961</v>
      </c>
      <c r="G876" s="1">
        <v>45965</v>
      </c>
      <c r="H876" t="s">
        <v>17</v>
      </c>
      <c r="I876">
        <v>0</v>
      </c>
      <c r="J876" t="s">
        <v>18</v>
      </c>
      <c r="K876" s="1">
        <v>45981</v>
      </c>
      <c r="L876">
        <v>3</v>
      </c>
      <c r="M876">
        <v>2</v>
      </c>
      <c r="N876">
        <v>4</v>
      </c>
      <c r="O876">
        <v>3</v>
      </c>
      <c r="P876" t="str">
        <f t="shared" si="26"/>
        <v>Detractor</v>
      </c>
      <c r="Q876">
        <v>10</v>
      </c>
      <c r="R876" t="s">
        <v>1034</v>
      </c>
      <c r="S876">
        <v>11</v>
      </c>
      <c r="T876" t="s">
        <v>1035</v>
      </c>
      <c r="U876" t="str">
        <f t="shared" si="27"/>
        <v>Yes</v>
      </c>
    </row>
    <row r="877" spans="1:21" x14ac:dyDescent="0.3">
      <c r="A877" t="s">
        <v>656</v>
      </c>
      <c r="B877" t="s">
        <v>15</v>
      </c>
      <c r="C877" t="s">
        <v>474</v>
      </c>
      <c r="D877" s="1">
        <v>45949</v>
      </c>
      <c r="E877" s="1">
        <v>45953</v>
      </c>
      <c r="F877" s="1">
        <v>45958</v>
      </c>
      <c r="G877" s="1">
        <v>45960</v>
      </c>
      <c r="H877" t="s">
        <v>17</v>
      </c>
      <c r="I877">
        <v>0</v>
      </c>
      <c r="J877" t="s">
        <v>18</v>
      </c>
      <c r="K877" s="1">
        <v>45981</v>
      </c>
      <c r="L877">
        <v>4</v>
      </c>
      <c r="M877">
        <v>5</v>
      </c>
      <c r="N877">
        <v>2</v>
      </c>
      <c r="O877">
        <v>6</v>
      </c>
      <c r="P877" t="str">
        <f t="shared" si="26"/>
        <v>Detractor</v>
      </c>
      <c r="Q877">
        <v>10</v>
      </c>
      <c r="R877" t="s">
        <v>1034</v>
      </c>
      <c r="S877">
        <v>10</v>
      </c>
      <c r="T877" t="s">
        <v>1034</v>
      </c>
      <c r="U877" t="str">
        <f t="shared" si="27"/>
        <v>Yes</v>
      </c>
    </row>
    <row r="878" spans="1:21" x14ac:dyDescent="0.3">
      <c r="A878" t="s">
        <v>464</v>
      </c>
      <c r="B878" t="s">
        <v>22</v>
      </c>
      <c r="C878" t="s">
        <v>16</v>
      </c>
      <c r="D878" s="1">
        <v>45937</v>
      </c>
      <c r="E878" s="1">
        <v>45939</v>
      </c>
      <c r="F878" s="1">
        <v>45944</v>
      </c>
      <c r="G878" s="1">
        <v>45946</v>
      </c>
      <c r="H878" t="s">
        <v>17</v>
      </c>
      <c r="I878">
        <v>0</v>
      </c>
      <c r="J878" t="s">
        <v>18</v>
      </c>
      <c r="K878" s="1">
        <v>45969</v>
      </c>
      <c r="L878">
        <v>2</v>
      </c>
      <c r="M878">
        <v>5</v>
      </c>
      <c r="N878">
        <v>2</v>
      </c>
      <c r="O878">
        <v>2</v>
      </c>
      <c r="P878" t="str">
        <f t="shared" si="26"/>
        <v>Detractor</v>
      </c>
      <c r="Q878">
        <v>10</v>
      </c>
      <c r="R878" t="s">
        <v>1034</v>
      </c>
      <c r="S878">
        <v>10</v>
      </c>
      <c r="T878" t="s">
        <v>1034</v>
      </c>
      <c r="U878" t="str">
        <f t="shared" si="27"/>
        <v>Yes</v>
      </c>
    </row>
    <row r="879" spans="1:21" x14ac:dyDescent="0.3">
      <c r="A879" t="s">
        <v>1006</v>
      </c>
      <c r="B879" t="s">
        <v>29</v>
      </c>
      <c r="C879" t="s">
        <v>841</v>
      </c>
      <c r="D879" s="1">
        <v>45933</v>
      </c>
      <c r="E879" s="1"/>
      <c r="F879" s="1"/>
      <c r="G879" s="1"/>
      <c r="H879" t="s">
        <v>752</v>
      </c>
      <c r="I879">
        <v>1</v>
      </c>
      <c r="J879" t="s">
        <v>756</v>
      </c>
      <c r="K879" s="1"/>
      <c r="P879" t="str">
        <f t="shared" si="26"/>
        <v>Not Applicable</v>
      </c>
      <c r="R879" t="s">
        <v>1036</v>
      </c>
      <c r="T879" t="s">
        <v>1036</v>
      </c>
      <c r="U879" t="str">
        <f t="shared" si="27"/>
        <v>No</v>
      </c>
    </row>
    <row r="880" spans="1:21" x14ac:dyDescent="0.3">
      <c r="A880" t="s">
        <v>465</v>
      </c>
      <c r="B880" t="s">
        <v>27</v>
      </c>
      <c r="C880" t="s">
        <v>16</v>
      </c>
      <c r="D880" s="1">
        <v>45957</v>
      </c>
      <c r="E880" s="1">
        <v>45959</v>
      </c>
      <c r="F880" s="1">
        <v>45961</v>
      </c>
      <c r="G880" s="1">
        <v>45966</v>
      </c>
      <c r="H880" t="s">
        <v>17</v>
      </c>
      <c r="I880">
        <v>0</v>
      </c>
      <c r="J880" t="s">
        <v>18</v>
      </c>
      <c r="K880" s="1">
        <v>45985</v>
      </c>
      <c r="L880">
        <v>2</v>
      </c>
      <c r="M880">
        <v>2</v>
      </c>
      <c r="N880">
        <v>5</v>
      </c>
      <c r="O880">
        <v>4</v>
      </c>
      <c r="P880" t="str">
        <f t="shared" si="26"/>
        <v>Detractor</v>
      </c>
      <c r="Q880">
        <v>10</v>
      </c>
      <c r="R880" t="s">
        <v>1034</v>
      </c>
      <c r="S880">
        <v>11</v>
      </c>
      <c r="T880" t="s">
        <v>1035</v>
      </c>
      <c r="U880" t="str">
        <f t="shared" si="27"/>
        <v>Yes</v>
      </c>
    </row>
    <row r="881" spans="1:21" x14ac:dyDescent="0.3">
      <c r="A881" t="s">
        <v>657</v>
      </c>
      <c r="B881" t="s">
        <v>15</v>
      </c>
      <c r="C881" t="s">
        <v>474</v>
      </c>
      <c r="D881" s="1">
        <v>45955</v>
      </c>
      <c r="E881" s="1">
        <v>45956</v>
      </c>
      <c r="F881" s="1">
        <v>45961</v>
      </c>
      <c r="G881" s="1">
        <v>45963</v>
      </c>
      <c r="H881" t="s">
        <v>17</v>
      </c>
      <c r="I881">
        <v>0</v>
      </c>
      <c r="J881" t="s">
        <v>18</v>
      </c>
      <c r="K881" s="1">
        <v>45978</v>
      </c>
      <c r="L881">
        <v>1</v>
      </c>
      <c r="M881">
        <v>5</v>
      </c>
      <c r="N881">
        <v>2</v>
      </c>
      <c r="O881">
        <v>4</v>
      </c>
      <c r="P881" t="str">
        <f t="shared" si="26"/>
        <v>Detractor</v>
      </c>
      <c r="Q881">
        <v>10</v>
      </c>
      <c r="R881" t="s">
        <v>1034</v>
      </c>
      <c r="S881">
        <v>11</v>
      </c>
      <c r="T881" t="s">
        <v>1035</v>
      </c>
      <c r="U881" t="str">
        <f t="shared" si="27"/>
        <v>Yes</v>
      </c>
    </row>
    <row r="882" spans="1:21" x14ac:dyDescent="0.3">
      <c r="A882" t="s">
        <v>392</v>
      </c>
      <c r="B882" t="s">
        <v>15</v>
      </c>
      <c r="C882" t="s">
        <v>16</v>
      </c>
      <c r="D882" s="1">
        <v>45948</v>
      </c>
      <c r="E882" s="1">
        <v>45949</v>
      </c>
      <c r="F882" s="1">
        <v>45950</v>
      </c>
      <c r="G882" s="1">
        <v>45953</v>
      </c>
      <c r="H882" t="s">
        <v>17</v>
      </c>
      <c r="I882">
        <v>0</v>
      </c>
      <c r="J882" t="s">
        <v>18</v>
      </c>
      <c r="K882" s="1">
        <v>45964</v>
      </c>
      <c r="L882">
        <v>1</v>
      </c>
      <c r="M882">
        <v>1</v>
      </c>
      <c r="N882">
        <v>3</v>
      </c>
      <c r="O882">
        <v>2</v>
      </c>
      <c r="P882" t="str">
        <f t="shared" si="26"/>
        <v>Detractor</v>
      </c>
      <c r="Q882">
        <v>10</v>
      </c>
      <c r="R882" t="s">
        <v>1034</v>
      </c>
      <c r="S882">
        <v>10</v>
      </c>
      <c r="T882" t="s">
        <v>1034</v>
      </c>
      <c r="U882" t="str">
        <f t="shared" si="27"/>
        <v>Yes</v>
      </c>
    </row>
    <row r="883" spans="1:21" x14ac:dyDescent="0.3">
      <c r="A883" t="s">
        <v>1007</v>
      </c>
      <c r="B883" t="s">
        <v>27</v>
      </c>
      <c r="C883" t="s">
        <v>841</v>
      </c>
      <c r="D883" s="1">
        <v>45937</v>
      </c>
      <c r="E883" s="1"/>
      <c r="F883" s="1"/>
      <c r="G883" s="1"/>
      <c r="H883" t="s">
        <v>752</v>
      </c>
      <c r="I883">
        <v>1</v>
      </c>
      <c r="J883" t="s">
        <v>756</v>
      </c>
      <c r="K883" s="1"/>
      <c r="P883" t="str">
        <f t="shared" si="26"/>
        <v>Not Applicable</v>
      </c>
      <c r="R883" t="s">
        <v>1036</v>
      </c>
      <c r="T883" t="s">
        <v>1036</v>
      </c>
      <c r="U883" t="str">
        <f t="shared" si="27"/>
        <v>No</v>
      </c>
    </row>
    <row r="884" spans="1:21" x14ac:dyDescent="0.3">
      <c r="A884" t="s">
        <v>120</v>
      </c>
      <c r="B884" t="s">
        <v>29</v>
      </c>
      <c r="C884" t="s">
        <v>16</v>
      </c>
      <c r="D884" s="1">
        <v>45949</v>
      </c>
      <c r="E884" s="1">
        <v>45952</v>
      </c>
      <c r="F884" s="1">
        <v>45956</v>
      </c>
      <c r="G884" s="1">
        <v>45962</v>
      </c>
      <c r="H884" t="s">
        <v>17</v>
      </c>
      <c r="I884">
        <v>0</v>
      </c>
      <c r="J884" t="s">
        <v>18</v>
      </c>
      <c r="K884" s="1">
        <v>45989</v>
      </c>
      <c r="L884">
        <v>3</v>
      </c>
      <c r="M884">
        <v>4</v>
      </c>
      <c r="N884">
        <v>6</v>
      </c>
      <c r="O884">
        <v>4</v>
      </c>
      <c r="P884" t="str">
        <f t="shared" si="26"/>
        <v>Detractor</v>
      </c>
      <c r="Q884">
        <v>10</v>
      </c>
      <c r="R884" t="s">
        <v>1034</v>
      </c>
      <c r="S884">
        <v>11</v>
      </c>
      <c r="T884" t="s">
        <v>1035</v>
      </c>
      <c r="U884" t="str">
        <f t="shared" si="27"/>
        <v>Yes</v>
      </c>
    </row>
    <row r="885" spans="1:21" x14ac:dyDescent="0.3">
      <c r="A885" t="s">
        <v>1008</v>
      </c>
      <c r="B885" t="s">
        <v>27</v>
      </c>
      <c r="C885" t="s">
        <v>841</v>
      </c>
      <c r="D885" s="1">
        <v>45937</v>
      </c>
      <c r="E885" s="1"/>
      <c r="F885" s="1"/>
      <c r="G885" s="1"/>
      <c r="H885" t="s">
        <v>752</v>
      </c>
      <c r="I885">
        <v>1</v>
      </c>
      <c r="J885" t="s">
        <v>777</v>
      </c>
      <c r="K885" s="1"/>
      <c r="P885" t="str">
        <f t="shared" si="26"/>
        <v>Not Applicable</v>
      </c>
      <c r="R885" t="s">
        <v>1036</v>
      </c>
      <c r="T885" t="s">
        <v>1036</v>
      </c>
      <c r="U885" t="str">
        <f t="shared" si="27"/>
        <v>No</v>
      </c>
    </row>
    <row r="886" spans="1:21" x14ac:dyDescent="0.3">
      <c r="A886" t="s">
        <v>658</v>
      </c>
      <c r="B886" t="s">
        <v>29</v>
      </c>
      <c r="C886" t="s">
        <v>474</v>
      </c>
      <c r="D886" s="1">
        <v>45957</v>
      </c>
      <c r="E886" s="1">
        <v>45961</v>
      </c>
      <c r="F886" s="1">
        <v>45963</v>
      </c>
      <c r="G886" s="1">
        <v>45968</v>
      </c>
      <c r="H886" t="s">
        <v>17</v>
      </c>
      <c r="I886">
        <v>0</v>
      </c>
      <c r="J886" t="s">
        <v>18</v>
      </c>
      <c r="K886" s="1">
        <v>45993</v>
      </c>
      <c r="L886">
        <v>4</v>
      </c>
      <c r="M886">
        <v>2</v>
      </c>
      <c r="N886">
        <v>5</v>
      </c>
      <c r="O886">
        <v>7</v>
      </c>
      <c r="P886" t="str">
        <f t="shared" si="26"/>
        <v>Passive</v>
      </c>
      <c r="Q886">
        <v>10</v>
      </c>
      <c r="R886" t="s">
        <v>1034</v>
      </c>
      <c r="S886">
        <v>11</v>
      </c>
      <c r="T886" t="s">
        <v>1035</v>
      </c>
      <c r="U886" t="str">
        <f t="shared" si="27"/>
        <v>Yes</v>
      </c>
    </row>
    <row r="887" spans="1:21" x14ac:dyDescent="0.3">
      <c r="A887" t="s">
        <v>742</v>
      </c>
      <c r="B887" t="s">
        <v>15</v>
      </c>
      <c r="C887" t="s">
        <v>474</v>
      </c>
      <c r="D887" s="1">
        <v>45958</v>
      </c>
      <c r="E887" s="1">
        <v>45963</v>
      </c>
      <c r="F887" s="1">
        <v>45967</v>
      </c>
      <c r="G887" s="1">
        <v>45974</v>
      </c>
      <c r="H887" t="s">
        <v>17</v>
      </c>
      <c r="I887">
        <v>0</v>
      </c>
      <c r="J887" t="s">
        <v>18</v>
      </c>
      <c r="K887" s="1">
        <v>45990</v>
      </c>
      <c r="L887">
        <v>5</v>
      </c>
      <c r="M887">
        <v>4</v>
      </c>
      <c r="N887">
        <v>7</v>
      </c>
      <c r="O887">
        <v>3</v>
      </c>
      <c r="P887" t="str">
        <f t="shared" si="26"/>
        <v>Detractor</v>
      </c>
      <c r="Q887">
        <v>11</v>
      </c>
      <c r="R887" t="s">
        <v>1035</v>
      </c>
      <c r="S887">
        <v>11</v>
      </c>
      <c r="T887" t="s">
        <v>1035</v>
      </c>
      <c r="U887" t="str">
        <f t="shared" si="27"/>
        <v>Yes</v>
      </c>
    </row>
    <row r="888" spans="1:21" x14ac:dyDescent="0.3">
      <c r="A888" t="s">
        <v>1009</v>
      </c>
      <c r="B888" t="s">
        <v>29</v>
      </c>
      <c r="C888" t="s">
        <v>841</v>
      </c>
      <c r="D888" s="1">
        <v>45938</v>
      </c>
      <c r="E888" s="1"/>
      <c r="F888" s="1"/>
      <c r="G888" s="1"/>
      <c r="H888" t="s">
        <v>752</v>
      </c>
      <c r="I888">
        <v>1</v>
      </c>
      <c r="J888" t="s">
        <v>753</v>
      </c>
      <c r="K888" s="1"/>
      <c r="P888" t="str">
        <f t="shared" si="26"/>
        <v>Not Applicable</v>
      </c>
      <c r="R888" t="s">
        <v>1036</v>
      </c>
      <c r="T888" t="s">
        <v>1036</v>
      </c>
      <c r="U888" t="str">
        <f t="shared" si="27"/>
        <v>No</v>
      </c>
    </row>
    <row r="889" spans="1:21" x14ac:dyDescent="0.3">
      <c r="A889" t="s">
        <v>307</v>
      </c>
      <c r="B889" t="s">
        <v>22</v>
      </c>
      <c r="C889" t="s">
        <v>16</v>
      </c>
      <c r="D889" s="1">
        <v>45941</v>
      </c>
      <c r="E889" s="1">
        <v>45945</v>
      </c>
      <c r="F889" s="1">
        <v>45948</v>
      </c>
      <c r="G889" s="1">
        <v>45953</v>
      </c>
      <c r="H889" t="s">
        <v>17</v>
      </c>
      <c r="I889">
        <v>0</v>
      </c>
      <c r="J889" t="s">
        <v>18</v>
      </c>
      <c r="K889" s="1">
        <v>45978</v>
      </c>
      <c r="L889">
        <v>4</v>
      </c>
      <c r="M889">
        <v>3</v>
      </c>
      <c r="N889">
        <v>5</v>
      </c>
      <c r="O889">
        <v>7</v>
      </c>
      <c r="P889" t="str">
        <f t="shared" si="26"/>
        <v>Passive</v>
      </c>
      <c r="Q889">
        <v>10</v>
      </c>
      <c r="R889" t="s">
        <v>1034</v>
      </c>
      <c r="S889">
        <v>10</v>
      </c>
      <c r="T889" t="s">
        <v>1034</v>
      </c>
      <c r="U889" t="str">
        <f t="shared" si="27"/>
        <v>Yes</v>
      </c>
    </row>
    <row r="890" spans="1:21" x14ac:dyDescent="0.3">
      <c r="A890" t="s">
        <v>466</v>
      </c>
      <c r="B890" t="s">
        <v>15</v>
      </c>
      <c r="C890" t="s">
        <v>16</v>
      </c>
      <c r="D890" s="1">
        <v>45955</v>
      </c>
      <c r="E890" s="1">
        <v>45957</v>
      </c>
      <c r="F890" s="1">
        <v>45958</v>
      </c>
      <c r="G890" s="1">
        <v>45963</v>
      </c>
      <c r="H890" t="s">
        <v>17</v>
      </c>
      <c r="I890">
        <v>0</v>
      </c>
      <c r="J890" t="s">
        <v>18</v>
      </c>
      <c r="K890" s="1">
        <v>45983</v>
      </c>
      <c r="L890">
        <v>2</v>
      </c>
      <c r="M890">
        <v>1</v>
      </c>
      <c r="N890">
        <v>5</v>
      </c>
      <c r="O890">
        <v>9</v>
      </c>
      <c r="P890" t="str">
        <f t="shared" si="26"/>
        <v>Promoter</v>
      </c>
      <c r="Q890">
        <v>10</v>
      </c>
      <c r="R890" t="s">
        <v>1034</v>
      </c>
      <c r="S890">
        <v>11</v>
      </c>
      <c r="T890" t="s">
        <v>1035</v>
      </c>
      <c r="U890" t="str">
        <f t="shared" si="27"/>
        <v>Yes</v>
      </c>
    </row>
    <row r="891" spans="1:21" x14ac:dyDescent="0.3">
      <c r="A891" t="s">
        <v>467</v>
      </c>
      <c r="B891" t="s">
        <v>22</v>
      </c>
      <c r="C891" t="s">
        <v>16</v>
      </c>
      <c r="D891" s="1">
        <v>45935</v>
      </c>
      <c r="E891" s="1">
        <v>45937</v>
      </c>
      <c r="F891" s="1">
        <v>45941</v>
      </c>
      <c r="G891" s="1">
        <v>45943</v>
      </c>
      <c r="H891" t="s">
        <v>17</v>
      </c>
      <c r="I891">
        <v>0</v>
      </c>
      <c r="J891" t="s">
        <v>18</v>
      </c>
      <c r="K891" s="1">
        <v>45960</v>
      </c>
      <c r="L891">
        <v>2</v>
      </c>
      <c r="M891">
        <v>4</v>
      </c>
      <c r="N891">
        <v>2</v>
      </c>
      <c r="O891">
        <v>4</v>
      </c>
      <c r="P891" t="str">
        <f t="shared" si="26"/>
        <v>Detractor</v>
      </c>
      <c r="Q891">
        <v>10</v>
      </c>
      <c r="R891" t="s">
        <v>1034</v>
      </c>
      <c r="S891">
        <v>10</v>
      </c>
      <c r="T891" t="s">
        <v>1034</v>
      </c>
      <c r="U891" t="str">
        <f t="shared" si="27"/>
        <v>Yes</v>
      </c>
    </row>
    <row r="892" spans="1:21" x14ac:dyDescent="0.3">
      <c r="A892" t="s">
        <v>1010</v>
      </c>
      <c r="B892" t="s">
        <v>27</v>
      </c>
      <c r="C892" t="s">
        <v>841</v>
      </c>
      <c r="D892" s="1">
        <v>45956</v>
      </c>
      <c r="E892" s="1"/>
      <c r="F892" s="1"/>
      <c r="G892" s="1"/>
      <c r="H892" t="s">
        <v>752</v>
      </c>
      <c r="I892">
        <v>1</v>
      </c>
      <c r="J892" t="s">
        <v>753</v>
      </c>
      <c r="K892" s="1"/>
      <c r="P892" t="str">
        <f t="shared" si="26"/>
        <v>Not Applicable</v>
      </c>
      <c r="R892" t="s">
        <v>1036</v>
      </c>
      <c r="T892" t="s">
        <v>1036</v>
      </c>
      <c r="U892" t="str">
        <f t="shared" si="27"/>
        <v>No</v>
      </c>
    </row>
    <row r="893" spans="1:21" x14ac:dyDescent="0.3">
      <c r="A893" t="s">
        <v>121</v>
      </c>
      <c r="B893" t="s">
        <v>27</v>
      </c>
      <c r="C893" t="s">
        <v>16</v>
      </c>
      <c r="D893" s="1">
        <v>45959</v>
      </c>
      <c r="E893" s="1">
        <v>45962</v>
      </c>
      <c r="F893" s="1">
        <v>45966</v>
      </c>
      <c r="G893" s="1">
        <v>45971</v>
      </c>
      <c r="H893" t="s">
        <v>17</v>
      </c>
      <c r="I893">
        <v>0</v>
      </c>
      <c r="J893" t="s">
        <v>18</v>
      </c>
      <c r="K893" s="1">
        <v>45981</v>
      </c>
      <c r="L893">
        <v>3</v>
      </c>
      <c r="M893">
        <v>4</v>
      </c>
      <c r="N893">
        <v>5</v>
      </c>
      <c r="O893">
        <v>7</v>
      </c>
      <c r="P893" t="str">
        <f t="shared" si="26"/>
        <v>Passive</v>
      </c>
      <c r="Q893">
        <v>11</v>
      </c>
      <c r="R893" t="s">
        <v>1035</v>
      </c>
      <c r="S893">
        <v>11</v>
      </c>
      <c r="T893" t="s">
        <v>1035</v>
      </c>
      <c r="U893" t="str">
        <f t="shared" si="27"/>
        <v>Yes</v>
      </c>
    </row>
    <row r="894" spans="1:21" x14ac:dyDescent="0.3">
      <c r="A894" t="s">
        <v>209</v>
      </c>
      <c r="B894" t="s">
        <v>27</v>
      </c>
      <c r="C894" t="s">
        <v>16</v>
      </c>
      <c r="D894" s="1">
        <v>45950</v>
      </c>
      <c r="E894" s="1">
        <v>45955</v>
      </c>
      <c r="F894" s="1">
        <v>45957</v>
      </c>
      <c r="G894" s="1">
        <v>45964</v>
      </c>
      <c r="H894" t="s">
        <v>17</v>
      </c>
      <c r="I894">
        <v>0</v>
      </c>
      <c r="J894" t="s">
        <v>18</v>
      </c>
      <c r="K894" s="1">
        <v>45974</v>
      </c>
      <c r="L894">
        <v>5</v>
      </c>
      <c r="M894">
        <v>2</v>
      </c>
      <c r="N894">
        <v>7</v>
      </c>
      <c r="O894">
        <v>7</v>
      </c>
      <c r="P894" t="str">
        <f t="shared" si="26"/>
        <v>Passive</v>
      </c>
      <c r="Q894">
        <v>10</v>
      </c>
      <c r="R894" t="s">
        <v>1034</v>
      </c>
      <c r="S894">
        <v>11</v>
      </c>
      <c r="T894" t="s">
        <v>1035</v>
      </c>
      <c r="U894" t="str">
        <f t="shared" si="27"/>
        <v>Yes</v>
      </c>
    </row>
    <row r="895" spans="1:21" x14ac:dyDescent="0.3">
      <c r="A895" t="s">
        <v>122</v>
      </c>
      <c r="B895" t="s">
        <v>29</v>
      </c>
      <c r="C895" t="s">
        <v>16</v>
      </c>
      <c r="D895" s="1">
        <v>45931</v>
      </c>
      <c r="E895" s="1">
        <v>45934</v>
      </c>
      <c r="F895" s="1">
        <v>45937</v>
      </c>
      <c r="G895" s="1">
        <v>45942</v>
      </c>
      <c r="H895" t="s">
        <v>17</v>
      </c>
      <c r="I895">
        <v>0</v>
      </c>
      <c r="J895" t="s">
        <v>18</v>
      </c>
      <c r="K895" s="1">
        <v>45954</v>
      </c>
      <c r="L895">
        <v>3</v>
      </c>
      <c r="M895">
        <v>3</v>
      </c>
      <c r="N895">
        <v>5</v>
      </c>
      <c r="O895">
        <v>7</v>
      </c>
      <c r="P895" t="str">
        <f t="shared" si="26"/>
        <v>Passive</v>
      </c>
      <c r="Q895">
        <v>10</v>
      </c>
      <c r="R895" t="s">
        <v>1034</v>
      </c>
      <c r="S895">
        <v>10</v>
      </c>
      <c r="T895" t="s">
        <v>1034</v>
      </c>
      <c r="U895" t="str">
        <f t="shared" si="27"/>
        <v>Yes</v>
      </c>
    </row>
    <row r="896" spans="1:21" x14ac:dyDescent="0.3">
      <c r="A896" t="s">
        <v>468</v>
      </c>
      <c r="B896" t="s">
        <v>15</v>
      </c>
      <c r="C896" t="s">
        <v>16</v>
      </c>
      <c r="D896" s="1">
        <v>45939</v>
      </c>
      <c r="E896" s="1">
        <v>45941</v>
      </c>
      <c r="F896" s="1">
        <v>45943</v>
      </c>
      <c r="G896" s="1">
        <v>45946</v>
      </c>
      <c r="H896" t="s">
        <v>17</v>
      </c>
      <c r="I896">
        <v>0</v>
      </c>
      <c r="J896" t="s">
        <v>18</v>
      </c>
      <c r="K896" s="1">
        <v>45959</v>
      </c>
      <c r="L896">
        <v>2</v>
      </c>
      <c r="M896">
        <v>2</v>
      </c>
      <c r="N896">
        <v>3</v>
      </c>
      <c r="O896">
        <v>1</v>
      </c>
      <c r="P896" t="str">
        <f t="shared" si="26"/>
        <v>Detractor</v>
      </c>
      <c r="Q896">
        <v>10</v>
      </c>
      <c r="R896" t="s">
        <v>1034</v>
      </c>
      <c r="S896">
        <v>10</v>
      </c>
      <c r="T896" t="s">
        <v>1034</v>
      </c>
      <c r="U896" t="str">
        <f t="shared" si="27"/>
        <v>Yes</v>
      </c>
    </row>
    <row r="897" spans="1:21" x14ac:dyDescent="0.3">
      <c r="A897" t="s">
        <v>835</v>
      </c>
      <c r="B897" t="s">
        <v>27</v>
      </c>
      <c r="C897" t="s">
        <v>16</v>
      </c>
      <c r="D897" s="1">
        <v>45958</v>
      </c>
      <c r="E897" s="1">
        <v>45960</v>
      </c>
      <c r="F897" s="1">
        <v>45963</v>
      </c>
      <c r="G897" s="1">
        <v>45967</v>
      </c>
      <c r="H897" t="s">
        <v>752</v>
      </c>
      <c r="I897">
        <v>1</v>
      </c>
      <c r="J897" t="s">
        <v>765</v>
      </c>
      <c r="K897" s="1"/>
      <c r="L897">
        <v>2</v>
      </c>
      <c r="M897">
        <v>3</v>
      </c>
      <c r="N897">
        <v>4</v>
      </c>
      <c r="P897" t="str">
        <f t="shared" si="26"/>
        <v>Not Applicable</v>
      </c>
      <c r="Q897">
        <v>10</v>
      </c>
      <c r="R897" t="s">
        <v>1034</v>
      </c>
      <c r="S897">
        <v>11</v>
      </c>
      <c r="T897" t="s">
        <v>1035</v>
      </c>
      <c r="U897" t="str">
        <f t="shared" si="27"/>
        <v>No</v>
      </c>
    </row>
    <row r="898" spans="1:21" x14ac:dyDescent="0.3">
      <c r="A898" t="s">
        <v>1011</v>
      </c>
      <c r="B898" t="s">
        <v>27</v>
      </c>
      <c r="C898" t="s">
        <v>841</v>
      </c>
      <c r="D898" s="1">
        <v>45935</v>
      </c>
      <c r="E898" s="1"/>
      <c r="F898" s="1"/>
      <c r="G898" s="1"/>
      <c r="H898" t="s">
        <v>752</v>
      </c>
      <c r="I898">
        <v>1</v>
      </c>
      <c r="J898" t="s">
        <v>765</v>
      </c>
      <c r="K898" s="1"/>
      <c r="P898" t="str">
        <f t="shared" ref="P898:P961" si="28">IF(ISBLANK(O898), "Not Applicable", IF(O898&gt;=9, "Promoter", IF(O898&gt;=7, "Passive", "Detractor")))</f>
        <v>Not Applicable</v>
      </c>
      <c r="R898" t="s">
        <v>1036</v>
      </c>
      <c r="T898" t="s">
        <v>1036</v>
      </c>
      <c r="U898" t="str">
        <f t="shared" ref="U898:U961" si="29">IF(
H898="Yes","No",
IF(
OR(
C898="Hot",
AND(C898="Warm",NOT(ISBLANK(E898)))
),
"Yes",
"No"
)
)</f>
        <v>No</v>
      </c>
    </row>
    <row r="899" spans="1:21" x14ac:dyDescent="0.3">
      <c r="A899" t="s">
        <v>1012</v>
      </c>
      <c r="B899" t="s">
        <v>15</v>
      </c>
      <c r="C899" t="s">
        <v>841</v>
      </c>
      <c r="D899" s="1">
        <v>45935</v>
      </c>
      <c r="E899" s="1"/>
      <c r="F899" s="1"/>
      <c r="G899" s="1"/>
      <c r="H899" t="s">
        <v>752</v>
      </c>
      <c r="I899">
        <v>1</v>
      </c>
      <c r="J899" t="s">
        <v>753</v>
      </c>
      <c r="K899" s="1"/>
      <c r="P899" t="str">
        <f t="shared" si="28"/>
        <v>Not Applicable</v>
      </c>
      <c r="R899" t="s">
        <v>1036</v>
      </c>
      <c r="T899" t="s">
        <v>1036</v>
      </c>
      <c r="U899" t="str">
        <f t="shared" si="29"/>
        <v>No</v>
      </c>
    </row>
    <row r="900" spans="1:21" x14ac:dyDescent="0.3">
      <c r="A900" t="s">
        <v>1013</v>
      </c>
      <c r="B900" t="s">
        <v>27</v>
      </c>
      <c r="C900" t="s">
        <v>841</v>
      </c>
      <c r="D900" s="1">
        <v>45948</v>
      </c>
      <c r="E900" s="1"/>
      <c r="F900" s="1"/>
      <c r="G900" s="1"/>
      <c r="H900" t="s">
        <v>752</v>
      </c>
      <c r="I900">
        <v>1</v>
      </c>
      <c r="J900" t="s">
        <v>758</v>
      </c>
      <c r="K900" s="1"/>
      <c r="P900" t="str">
        <f t="shared" si="28"/>
        <v>Not Applicable</v>
      </c>
      <c r="R900" t="s">
        <v>1036</v>
      </c>
      <c r="T900" t="s">
        <v>1036</v>
      </c>
      <c r="U900" t="str">
        <f t="shared" si="29"/>
        <v>No</v>
      </c>
    </row>
    <row r="901" spans="1:21" x14ac:dyDescent="0.3">
      <c r="A901" t="s">
        <v>659</v>
      </c>
      <c r="B901" t="s">
        <v>22</v>
      </c>
      <c r="C901" t="s">
        <v>474</v>
      </c>
      <c r="D901" s="1">
        <v>45939</v>
      </c>
      <c r="E901" s="1">
        <v>45943</v>
      </c>
      <c r="F901" s="1">
        <v>45945</v>
      </c>
      <c r="G901" s="1">
        <v>45948</v>
      </c>
      <c r="H901" t="s">
        <v>17</v>
      </c>
      <c r="I901">
        <v>0</v>
      </c>
      <c r="J901" t="s">
        <v>18</v>
      </c>
      <c r="K901" s="1">
        <v>45976</v>
      </c>
      <c r="L901">
        <v>4</v>
      </c>
      <c r="M901">
        <v>2</v>
      </c>
      <c r="N901">
        <v>3</v>
      </c>
      <c r="O901">
        <v>9</v>
      </c>
      <c r="P901" t="str">
        <f t="shared" si="28"/>
        <v>Promoter</v>
      </c>
      <c r="Q901">
        <v>10</v>
      </c>
      <c r="R901" t="s">
        <v>1034</v>
      </c>
      <c r="S901">
        <v>10</v>
      </c>
      <c r="T901" t="s">
        <v>1034</v>
      </c>
      <c r="U901" t="str">
        <f t="shared" si="29"/>
        <v>Yes</v>
      </c>
    </row>
    <row r="902" spans="1:21" x14ac:dyDescent="0.3">
      <c r="A902" t="s">
        <v>210</v>
      </c>
      <c r="B902" t="s">
        <v>15</v>
      </c>
      <c r="C902" t="s">
        <v>16</v>
      </c>
      <c r="D902" s="1">
        <v>45956</v>
      </c>
      <c r="E902" s="1">
        <v>45961</v>
      </c>
      <c r="F902" s="1">
        <v>45965</v>
      </c>
      <c r="G902" s="1">
        <v>45968</v>
      </c>
      <c r="H902" t="s">
        <v>17</v>
      </c>
      <c r="I902">
        <v>0</v>
      </c>
      <c r="J902" t="s">
        <v>18</v>
      </c>
      <c r="K902" s="1">
        <v>45993</v>
      </c>
      <c r="L902">
        <v>5</v>
      </c>
      <c r="M902">
        <v>4</v>
      </c>
      <c r="N902">
        <v>3</v>
      </c>
      <c r="O902">
        <v>10</v>
      </c>
      <c r="P902" t="str">
        <f t="shared" si="28"/>
        <v>Promoter</v>
      </c>
      <c r="Q902">
        <v>10</v>
      </c>
      <c r="R902" t="s">
        <v>1034</v>
      </c>
      <c r="S902">
        <v>11</v>
      </c>
      <c r="T902" t="s">
        <v>1035</v>
      </c>
      <c r="U902" t="str">
        <f t="shared" si="29"/>
        <v>Yes</v>
      </c>
    </row>
    <row r="903" spans="1:21" x14ac:dyDescent="0.3">
      <c r="A903" t="s">
        <v>308</v>
      </c>
      <c r="B903" t="s">
        <v>15</v>
      </c>
      <c r="C903" t="s">
        <v>16</v>
      </c>
      <c r="D903" s="1">
        <v>45936</v>
      </c>
      <c r="E903" s="1">
        <v>45940</v>
      </c>
      <c r="F903" s="1">
        <v>45944</v>
      </c>
      <c r="G903" s="1">
        <v>45948</v>
      </c>
      <c r="H903" t="s">
        <v>17</v>
      </c>
      <c r="I903">
        <v>0</v>
      </c>
      <c r="J903" t="s">
        <v>18</v>
      </c>
      <c r="K903" s="1">
        <v>45962</v>
      </c>
      <c r="L903">
        <v>4</v>
      </c>
      <c r="M903">
        <v>4</v>
      </c>
      <c r="N903">
        <v>4</v>
      </c>
      <c r="O903">
        <v>0</v>
      </c>
      <c r="P903" t="str">
        <f t="shared" si="28"/>
        <v>Detractor</v>
      </c>
      <c r="Q903">
        <v>10</v>
      </c>
      <c r="R903" t="s">
        <v>1034</v>
      </c>
      <c r="S903">
        <v>10</v>
      </c>
      <c r="T903" t="s">
        <v>1034</v>
      </c>
      <c r="U903" t="str">
        <f t="shared" si="29"/>
        <v>Yes</v>
      </c>
    </row>
    <row r="904" spans="1:21" x14ac:dyDescent="0.3">
      <c r="A904" t="s">
        <v>309</v>
      </c>
      <c r="B904" t="s">
        <v>15</v>
      </c>
      <c r="C904" t="s">
        <v>16</v>
      </c>
      <c r="D904" s="1">
        <v>45934</v>
      </c>
      <c r="E904" s="1">
        <v>45938</v>
      </c>
      <c r="F904" s="1">
        <v>45939</v>
      </c>
      <c r="G904" s="1">
        <v>45943</v>
      </c>
      <c r="H904" t="s">
        <v>17</v>
      </c>
      <c r="I904">
        <v>0</v>
      </c>
      <c r="J904" t="s">
        <v>18</v>
      </c>
      <c r="K904" s="1">
        <v>45955</v>
      </c>
      <c r="L904">
        <v>4</v>
      </c>
      <c r="M904">
        <v>1</v>
      </c>
      <c r="N904">
        <v>4</v>
      </c>
      <c r="O904">
        <v>5</v>
      </c>
      <c r="P904" t="str">
        <f t="shared" si="28"/>
        <v>Detractor</v>
      </c>
      <c r="Q904">
        <v>10</v>
      </c>
      <c r="R904" t="s">
        <v>1034</v>
      </c>
      <c r="S904">
        <v>10</v>
      </c>
      <c r="T904" t="s">
        <v>1034</v>
      </c>
      <c r="U904" t="str">
        <f t="shared" si="29"/>
        <v>Yes</v>
      </c>
    </row>
    <row r="905" spans="1:21" x14ac:dyDescent="0.3">
      <c r="A905" t="s">
        <v>123</v>
      </c>
      <c r="B905" t="s">
        <v>22</v>
      </c>
      <c r="C905" t="s">
        <v>16</v>
      </c>
      <c r="D905" s="1">
        <v>45952</v>
      </c>
      <c r="E905" s="1">
        <v>45955</v>
      </c>
      <c r="F905" s="1">
        <v>45959</v>
      </c>
      <c r="G905" s="1">
        <v>45964</v>
      </c>
      <c r="H905" t="s">
        <v>17</v>
      </c>
      <c r="I905">
        <v>0</v>
      </c>
      <c r="J905" t="s">
        <v>18</v>
      </c>
      <c r="K905" s="1">
        <v>45990</v>
      </c>
      <c r="L905">
        <v>3</v>
      </c>
      <c r="M905">
        <v>4</v>
      </c>
      <c r="N905">
        <v>5</v>
      </c>
      <c r="O905">
        <v>9</v>
      </c>
      <c r="P905" t="str">
        <f t="shared" si="28"/>
        <v>Promoter</v>
      </c>
      <c r="Q905">
        <v>10</v>
      </c>
      <c r="R905" t="s">
        <v>1034</v>
      </c>
      <c r="S905">
        <v>11</v>
      </c>
      <c r="T905" t="s">
        <v>1035</v>
      </c>
      <c r="U905" t="str">
        <f t="shared" si="29"/>
        <v>Yes</v>
      </c>
    </row>
    <row r="906" spans="1:21" x14ac:dyDescent="0.3">
      <c r="A906" t="s">
        <v>1014</v>
      </c>
      <c r="B906" t="s">
        <v>15</v>
      </c>
      <c r="C906" t="s">
        <v>841</v>
      </c>
      <c r="D906" s="1">
        <v>45958</v>
      </c>
      <c r="E906" s="1"/>
      <c r="F906" s="1"/>
      <c r="G906" s="1"/>
      <c r="H906" t="s">
        <v>752</v>
      </c>
      <c r="I906">
        <v>1</v>
      </c>
      <c r="J906" t="s">
        <v>756</v>
      </c>
      <c r="K906" s="1"/>
      <c r="P906" t="str">
        <f t="shared" si="28"/>
        <v>Not Applicable</v>
      </c>
      <c r="R906" t="s">
        <v>1036</v>
      </c>
      <c r="T906" t="s">
        <v>1036</v>
      </c>
      <c r="U906" t="str">
        <f t="shared" si="29"/>
        <v>No</v>
      </c>
    </row>
    <row r="907" spans="1:21" x14ac:dyDescent="0.3">
      <c r="A907" t="s">
        <v>310</v>
      </c>
      <c r="B907" t="s">
        <v>22</v>
      </c>
      <c r="C907" t="s">
        <v>16</v>
      </c>
      <c r="D907" s="1">
        <v>45931</v>
      </c>
      <c r="E907" s="1">
        <v>45935</v>
      </c>
      <c r="F907" s="1">
        <v>45940</v>
      </c>
      <c r="G907" s="1">
        <v>45943</v>
      </c>
      <c r="H907" t="s">
        <v>17</v>
      </c>
      <c r="I907">
        <v>0</v>
      </c>
      <c r="J907" t="s">
        <v>18</v>
      </c>
      <c r="K907" s="1">
        <v>45955</v>
      </c>
      <c r="L907">
        <v>4</v>
      </c>
      <c r="M907">
        <v>5</v>
      </c>
      <c r="N907">
        <v>3</v>
      </c>
      <c r="O907">
        <v>7</v>
      </c>
      <c r="P907" t="str">
        <f t="shared" si="28"/>
        <v>Passive</v>
      </c>
      <c r="Q907">
        <v>10</v>
      </c>
      <c r="R907" t="s">
        <v>1034</v>
      </c>
      <c r="S907">
        <v>10</v>
      </c>
      <c r="T907" t="s">
        <v>1034</v>
      </c>
      <c r="U907" t="str">
        <f t="shared" si="29"/>
        <v>Yes</v>
      </c>
    </row>
    <row r="908" spans="1:21" x14ac:dyDescent="0.3">
      <c r="A908" t="s">
        <v>393</v>
      </c>
      <c r="B908" t="s">
        <v>15</v>
      </c>
      <c r="C908" t="s">
        <v>16</v>
      </c>
      <c r="D908" s="1">
        <v>45935</v>
      </c>
      <c r="E908" s="1">
        <v>45936</v>
      </c>
      <c r="F908" s="1">
        <v>45940</v>
      </c>
      <c r="G908" s="1">
        <v>45942</v>
      </c>
      <c r="H908" t="s">
        <v>17</v>
      </c>
      <c r="I908">
        <v>0</v>
      </c>
      <c r="J908" t="s">
        <v>18</v>
      </c>
      <c r="K908" s="1">
        <v>45955</v>
      </c>
      <c r="L908">
        <v>1</v>
      </c>
      <c r="M908">
        <v>4</v>
      </c>
      <c r="N908">
        <v>2</v>
      </c>
      <c r="O908">
        <v>4</v>
      </c>
      <c r="P908" t="str">
        <f t="shared" si="28"/>
        <v>Detractor</v>
      </c>
      <c r="Q908">
        <v>10</v>
      </c>
      <c r="R908" t="s">
        <v>1034</v>
      </c>
      <c r="S908">
        <v>10</v>
      </c>
      <c r="T908" t="s">
        <v>1034</v>
      </c>
      <c r="U908" t="str">
        <f t="shared" si="29"/>
        <v>Yes</v>
      </c>
    </row>
    <row r="909" spans="1:21" x14ac:dyDescent="0.3">
      <c r="A909" t="s">
        <v>660</v>
      </c>
      <c r="B909" t="s">
        <v>29</v>
      </c>
      <c r="C909" t="s">
        <v>474</v>
      </c>
      <c r="D909" s="1">
        <v>45931</v>
      </c>
      <c r="E909" s="1">
        <v>45932</v>
      </c>
      <c r="F909" s="1">
        <v>45937</v>
      </c>
      <c r="G909" s="1">
        <v>45943</v>
      </c>
      <c r="H909" t="s">
        <v>17</v>
      </c>
      <c r="I909">
        <v>0</v>
      </c>
      <c r="J909" t="s">
        <v>18</v>
      </c>
      <c r="K909" s="1">
        <v>45961</v>
      </c>
      <c r="L909">
        <v>1</v>
      </c>
      <c r="M909">
        <v>5</v>
      </c>
      <c r="N909">
        <v>6</v>
      </c>
      <c r="O909">
        <v>2</v>
      </c>
      <c r="P909" t="str">
        <f t="shared" si="28"/>
        <v>Detractor</v>
      </c>
      <c r="Q909">
        <v>10</v>
      </c>
      <c r="R909" t="s">
        <v>1034</v>
      </c>
      <c r="S909">
        <v>10</v>
      </c>
      <c r="T909" t="s">
        <v>1034</v>
      </c>
      <c r="U909" t="str">
        <f t="shared" si="29"/>
        <v>Yes</v>
      </c>
    </row>
    <row r="910" spans="1:21" x14ac:dyDescent="0.3">
      <c r="A910" t="s">
        <v>311</v>
      </c>
      <c r="B910" t="s">
        <v>27</v>
      </c>
      <c r="C910" t="s">
        <v>16</v>
      </c>
      <c r="D910" s="1">
        <v>45942</v>
      </c>
      <c r="E910" s="1">
        <v>45946</v>
      </c>
      <c r="F910" s="1">
        <v>45950</v>
      </c>
      <c r="G910" s="1">
        <v>45956</v>
      </c>
      <c r="H910" t="s">
        <v>17</v>
      </c>
      <c r="I910">
        <v>0</v>
      </c>
      <c r="J910" t="s">
        <v>18</v>
      </c>
      <c r="K910" s="1">
        <v>45986</v>
      </c>
      <c r="L910">
        <v>4</v>
      </c>
      <c r="M910">
        <v>4</v>
      </c>
      <c r="N910">
        <v>6</v>
      </c>
      <c r="O910">
        <v>8</v>
      </c>
      <c r="P910" t="str">
        <f t="shared" si="28"/>
        <v>Passive</v>
      </c>
      <c r="Q910">
        <v>10</v>
      </c>
      <c r="R910" t="s">
        <v>1034</v>
      </c>
      <c r="S910">
        <v>10</v>
      </c>
      <c r="T910" t="s">
        <v>1034</v>
      </c>
      <c r="U910" t="str">
        <f t="shared" si="29"/>
        <v>Yes</v>
      </c>
    </row>
    <row r="911" spans="1:21" x14ac:dyDescent="0.3">
      <c r="A911" t="s">
        <v>211</v>
      </c>
      <c r="B911" t="s">
        <v>29</v>
      </c>
      <c r="C911" t="s">
        <v>16</v>
      </c>
      <c r="D911" s="1">
        <v>45956</v>
      </c>
      <c r="E911" s="1">
        <v>45961</v>
      </c>
      <c r="F911" s="1">
        <v>45966</v>
      </c>
      <c r="G911" s="1">
        <v>45972</v>
      </c>
      <c r="H911" t="s">
        <v>17</v>
      </c>
      <c r="I911">
        <v>0</v>
      </c>
      <c r="J911" t="s">
        <v>18</v>
      </c>
      <c r="K911" s="1">
        <v>45989</v>
      </c>
      <c r="L911">
        <v>5</v>
      </c>
      <c r="M911">
        <v>5</v>
      </c>
      <c r="N911">
        <v>6</v>
      </c>
      <c r="O911">
        <v>2</v>
      </c>
      <c r="P911" t="str">
        <f t="shared" si="28"/>
        <v>Detractor</v>
      </c>
      <c r="Q911">
        <v>10</v>
      </c>
      <c r="R911" t="s">
        <v>1034</v>
      </c>
      <c r="S911">
        <v>11</v>
      </c>
      <c r="T911" t="s">
        <v>1035</v>
      </c>
      <c r="U911" t="str">
        <f t="shared" si="29"/>
        <v>Yes</v>
      </c>
    </row>
    <row r="912" spans="1:21" x14ac:dyDescent="0.3">
      <c r="A912" t="s">
        <v>312</v>
      </c>
      <c r="B912" t="s">
        <v>27</v>
      </c>
      <c r="C912" t="s">
        <v>16</v>
      </c>
      <c r="D912" s="1">
        <v>45956</v>
      </c>
      <c r="E912" s="1">
        <v>45960</v>
      </c>
      <c r="F912" s="1">
        <v>45965</v>
      </c>
      <c r="G912" s="1">
        <v>45968</v>
      </c>
      <c r="H912" t="s">
        <v>17</v>
      </c>
      <c r="I912">
        <v>0</v>
      </c>
      <c r="J912" t="s">
        <v>18</v>
      </c>
      <c r="K912" s="1">
        <v>45992</v>
      </c>
      <c r="L912">
        <v>4</v>
      </c>
      <c r="M912">
        <v>5</v>
      </c>
      <c r="N912">
        <v>3</v>
      </c>
      <c r="O912">
        <v>4</v>
      </c>
      <c r="P912" t="str">
        <f t="shared" si="28"/>
        <v>Detractor</v>
      </c>
      <c r="Q912">
        <v>10</v>
      </c>
      <c r="R912" t="s">
        <v>1034</v>
      </c>
      <c r="S912">
        <v>11</v>
      </c>
      <c r="T912" t="s">
        <v>1035</v>
      </c>
      <c r="U912" t="str">
        <f t="shared" si="29"/>
        <v>Yes</v>
      </c>
    </row>
    <row r="913" spans="1:21" x14ac:dyDescent="0.3">
      <c r="A913" t="s">
        <v>661</v>
      </c>
      <c r="B913" t="s">
        <v>22</v>
      </c>
      <c r="C913" t="s">
        <v>474</v>
      </c>
      <c r="D913" s="1">
        <v>45938</v>
      </c>
      <c r="E913" s="1">
        <v>45940</v>
      </c>
      <c r="F913" s="1">
        <v>45944</v>
      </c>
      <c r="G913" s="1">
        <v>45951</v>
      </c>
      <c r="H913" t="s">
        <v>17</v>
      </c>
      <c r="I913">
        <v>0</v>
      </c>
      <c r="J913" t="s">
        <v>18</v>
      </c>
      <c r="K913" s="1">
        <v>45970</v>
      </c>
      <c r="L913">
        <v>2</v>
      </c>
      <c r="M913">
        <v>4</v>
      </c>
      <c r="N913">
        <v>7</v>
      </c>
      <c r="O913">
        <v>1</v>
      </c>
      <c r="P913" t="str">
        <f t="shared" si="28"/>
        <v>Detractor</v>
      </c>
      <c r="Q913">
        <v>10</v>
      </c>
      <c r="R913" t="s">
        <v>1034</v>
      </c>
      <c r="S913">
        <v>10</v>
      </c>
      <c r="T913" t="s">
        <v>1034</v>
      </c>
      <c r="U913" t="str">
        <f t="shared" si="29"/>
        <v>Yes</v>
      </c>
    </row>
    <row r="914" spans="1:21" x14ac:dyDescent="0.3">
      <c r="A914" t="s">
        <v>662</v>
      </c>
      <c r="B914" t="s">
        <v>29</v>
      </c>
      <c r="C914" t="s">
        <v>474</v>
      </c>
      <c r="D914" s="1">
        <v>45949</v>
      </c>
      <c r="E914" s="1">
        <v>45951</v>
      </c>
      <c r="F914" s="1">
        <v>45956</v>
      </c>
      <c r="G914" s="1">
        <v>45960</v>
      </c>
      <c r="H914" t="s">
        <v>17</v>
      </c>
      <c r="I914">
        <v>0</v>
      </c>
      <c r="J914" t="s">
        <v>18</v>
      </c>
      <c r="K914" s="1">
        <v>45978</v>
      </c>
      <c r="L914">
        <v>2</v>
      </c>
      <c r="M914">
        <v>5</v>
      </c>
      <c r="N914">
        <v>4</v>
      </c>
      <c r="O914">
        <v>8</v>
      </c>
      <c r="P914" t="str">
        <f t="shared" si="28"/>
        <v>Passive</v>
      </c>
      <c r="Q914">
        <v>10</v>
      </c>
      <c r="R914" t="s">
        <v>1034</v>
      </c>
      <c r="S914">
        <v>10</v>
      </c>
      <c r="T914" t="s">
        <v>1034</v>
      </c>
      <c r="U914" t="str">
        <f t="shared" si="29"/>
        <v>Yes</v>
      </c>
    </row>
    <row r="915" spans="1:21" x14ac:dyDescent="0.3">
      <c r="A915" t="s">
        <v>212</v>
      </c>
      <c r="B915" t="s">
        <v>15</v>
      </c>
      <c r="C915" t="s">
        <v>16</v>
      </c>
      <c r="D915" s="1">
        <v>45941</v>
      </c>
      <c r="E915" s="1">
        <v>45946</v>
      </c>
      <c r="F915" s="1">
        <v>45947</v>
      </c>
      <c r="G915" s="1">
        <v>45952</v>
      </c>
      <c r="H915" t="s">
        <v>17</v>
      </c>
      <c r="I915">
        <v>0</v>
      </c>
      <c r="J915" t="s">
        <v>18</v>
      </c>
      <c r="K915" s="1">
        <v>45976</v>
      </c>
      <c r="L915">
        <v>5</v>
      </c>
      <c r="M915">
        <v>1</v>
      </c>
      <c r="N915">
        <v>5</v>
      </c>
      <c r="O915">
        <v>9</v>
      </c>
      <c r="P915" t="str">
        <f t="shared" si="28"/>
        <v>Promoter</v>
      </c>
      <c r="Q915">
        <v>10</v>
      </c>
      <c r="R915" t="s">
        <v>1034</v>
      </c>
      <c r="S915">
        <v>10</v>
      </c>
      <c r="T915" t="s">
        <v>1034</v>
      </c>
      <c r="U915" t="str">
        <f t="shared" si="29"/>
        <v>Yes</v>
      </c>
    </row>
    <row r="916" spans="1:21" x14ac:dyDescent="0.3">
      <c r="A916" t="s">
        <v>663</v>
      </c>
      <c r="B916" t="s">
        <v>27</v>
      </c>
      <c r="C916" t="s">
        <v>474</v>
      </c>
      <c r="D916" s="1">
        <v>45931</v>
      </c>
      <c r="E916" s="1">
        <v>45934</v>
      </c>
      <c r="F916" s="1">
        <v>45937</v>
      </c>
      <c r="G916" s="1">
        <v>45942</v>
      </c>
      <c r="H916" t="s">
        <v>17</v>
      </c>
      <c r="I916">
        <v>0</v>
      </c>
      <c r="J916" t="s">
        <v>18</v>
      </c>
      <c r="K916" s="1">
        <v>45953</v>
      </c>
      <c r="L916">
        <v>3</v>
      </c>
      <c r="M916">
        <v>3</v>
      </c>
      <c r="N916">
        <v>5</v>
      </c>
      <c r="O916">
        <v>4</v>
      </c>
      <c r="P916" t="str">
        <f t="shared" si="28"/>
        <v>Detractor</v>
      </c>
      <c r="Q916">
        <v>10</v>
      </c>
      <c r="R916" t="s">
        <v>1034</v>
      </c>
      <c r="S916">
        <v>10</v>
      </c>
      <c r="T916" t="s">
        <v>1034</v>
      </c>
      <c r="U916" t="str">
        <f t="shared" si="29"/>
        <v>Yes</v>
      </c>
    </row>
    <row r="917" spans="1:21" x14ac:dyDescent="0.3">
      <c r="A917" t="s">
        <v>664</v>
      </c>
      <c r="B917" t="s">
        <v>27</v>
      </c>
      <c r="C917" t="s">
        <v>474</v>
      </c>
      <c r="D917" s="1">
        <v>45936</v>
      </c>
      <c r="E917" s="1">
        <v>45937</v>
      </c>
      <c r="F917" s="1">
        <v>45942</v>
      </c>
      <c r="G917" s="1">
        <v>45948</v>
      </c>
      <c r="H917" t="s">
        <v>17</v>
      </c>
      <c r="I917">
        <v>0</v>
      </c>
      <c r="J917" t="s">
        <v>18</v>
      </c>
      <c r="K917" s="1">
        <v>45961</v>
      </c>
      <c r="L917">
        <v>1</v>
      </c>
      <c r="M917">
        <v>5</v>
      </c>
      <c r="N917">
        <v>6</v>
      </c>
      <c r="O917">
        <v>1</v>
      </c>
      <c r="P917" t="str">
        <f t="shared" si="28"/>
        <v>Detractor</v>
      </c>
      <c r="Q917">
        <v>10</v>
      </c>
      <c r="R917" t="s">
        <v>1034</v>
      </c>
      <c r="S917">
        <v>10</v>
      </c>
      <c r="T917" t="s">
        <v>1034</v>
      </c>
      <c r="U917" t="str">
        <f t="shared" si="29"/>
        <v>Yes</v>
      </c>
    </row>
    <row r="918" spans="1:21" x14ac:dyDescent="0.3">
      <c r="A918" t="s">
        <v>665</v>
      </c>
      <c r="B918" t="s">
        <v>29</v>
      </c>
      <c r="C918" t="s">
        <v>474</v>
      </c>
      <c r="D918" s="1">
        <v>45939</v>
      </c>
      <c r="E918" s="1">
        <v>45940</v>
      </c>
      <c r="F918" s="1">
        <v>45945</v>
      </c>
      <c r="G918" s="1">
        <v>45950</v>
      </c>
      <c r="H918" t="s">
        <v>17</v>
      </c>
      <c r="I918">
        <v>0</v>
      </c>
      <c r="J918" t="s">
        <v>18</v>
      </c>
      <c r="K918" s="1">
        <v>45965</v>
      </c>
      <c r="L918">
        <v>1</v>
      </c>
      <c r="M918">
        <v>5</v>
      </c>
      <c r="N918">
        <v>5</v>
      </c>
      <c r="O918">
        <v>6</v>
      </c>
      <c r="P918" t="str">
        <f t="shared" si="28"/>
        <v>Detractor</v>
      </c>
      <c r="Q918">
        <v>10</v>
      </c>
      <c r="R918" t="s">
        <v>1034</v>
      </c>
      <c r="S918">
        <v>10</v>
      </c>
      <c r="T918" t="s">
        <v>1034</v>
      </c>
      <c r="U918" t="str">
        <f t="shared" si="29"/>
        <v>Yes</v>
      </c>
    </row>
    <row r="919" spans="1:21" x14ac:dyDescent="0.3">
      <c r="A919" t="s">
        <v>666</v>
      </c>
      <c r="B919" t="s">
        <v>22</v>
      </c>
      <c r="C919" t="s">
        <v>474</v>
      </c>
      <c r="D919" s="1">
        <v>45932</v>
      </c>
      <c r="E919" s="1">
        <v>45935</v>
      </c>
      <c r="F919" s="1">
        <v>45936</v>
      </c>
      <c r="G919" s="1">
        <v>45938</v>
      </c>
      <c r="H919" t="s">
        <v>17</v>
      </c>
      <c r="I919">
        <v>0</v>
      </c>
      <c r="J919" t="s">
        <v>18</v>
      </c>
      <c r="K919" s="1">
        <v>45949</v>
      </c>
      <c r="L919">
        <v>3</v>
      </c>
      <c r="M919">
        <v>1</v>
      </c>
      <c r="N919">
        <v>2</v>
      </c>
      <c r="O919">
        <v>8</v>
      </c>
      <c r="P919" t="str">
        <f t="shared" si="28"/>
        <v>Passive</v>
      </c>
      <c r="Q919">
        <v>10</v>
      </c>
      <c r="R919" t="s">
        <v>1034</v>
      </c>
      <c r="S919">
        <v>10</v>
      </c>
      <c r="T919" t="s">
        <v>1034</v>
      </c>
      <c r="U919" t="str">
        <f t="shared" si="29"/>
        <v>Yes</v>
      </c>
    </row>
    <row r="920" spans="1:21" x14ac:dyDescent="0.3">
      <c r="A920" t="s">
        <v>667</v>
      </c>
      <c r="B920" t="s">
        <v>29</v>
      </c>
      <c r="C920" t="s">
        <v>474</v>
      </c>
      <c r="D920" s="1">
        <v>45935</v>
      </c>
      <c r="E920" s="1">
        <v>45939</v>
      </c>
      <c r="F920" s="1">
        <v>45940</v>
      </c>
      <c r="G920" s="1">
        <v>45942</v>
      </c>
      <c r="H920" t="s">
        <v>17</v>
      </c>
      <c r="I920">
        <v>0</v>
      </c>
      <c r="J920" t="s">
        <v>18</v>
      </c>
      <c r="K920" s="1">
        <v>45961</v>
      </c>
      <c r="L920">
        <v>4</v>
      </c>
      <c r="M920">
        <v>1</v>
      </c>
      <c r="N920">
        <v>2</v>
      </c>
      <c r="O920">
        <v>1</v>
      </c>
      <c r="P920" t="str">
        <f t="shared" si="28"/>
        <v>Detractor</v>
      </c>
      <c r="Q920">
        <v>10</v>
      </c>
      <c r="R920" t="s">
        <v>1034</v>
      </c>
      <c r="S920">
        <v>10</v>
      </c>
      <c r="T920" t="s">
        <v>1034</v>
      </c>
      <c r="U920" t="str">
        <f t="shared" si="29"/>
        <v>Yes</v>
      </c>
    </row>
    <row r="921" spans="1:21" x14ac:dyDescent="0.3">
      <c r="A921" t="s">
        <v>213</v>
      </c>
      <c r="B921" t="s">
        <v>22</v>
      </c>
      <c r="C921" t="s">
        <v>16</v>
      </c>
      <c r="D921" s="1">
        <v>45954</v>
      </c>
      <c r="E921" s="1">
        <v>45959</v>
      </c>
      <c r="F921" s="1">
        <v>45961</v>
      </c>
      <c r="G921" s="1">
        <v>45965</v>
      </c>
      <c r="H921" t="s">
        <v>17</v>
      </c>
      <c r="I921">
        <v>0</v>
      </c>
      <c r="J921" t="s">
        <v>18</v>
      </c>
      <c r="K921" s="1">
        <v>45986</v>
      </c>
      <c r="L921">
        <v>5</v>
      </c>
      <c r="M921">
        <v>2</v>
      </c>
      <c r="N921">
        <v>4</v>
      </c>
      <c r="O921">
        <v>6</v>
      </c>
      <c r="P921" t="str">
        <f t="shared" si="28"/>
        <v>Detractor</v>
      </c>
      <c r="Q921">
        <v>10</v>
      </c>
      <c r="R921" t="s">
        <v>1034</v>
      </c>
      <c r="S921">
        <v>11</v>
      </c>
      <c r="T921" t="s">
        <v>1035</v>
      </c>
      <c r="U921" t="str">
        <f t="shared" si="29"/>
        <v>Yes</v>
      </c>
    </row>
    <row r="922" spans="1:21" x14ac:dyDescent="0.3">
      <c r="A922" t="s">
        <v>313</v>
      </c>
      <c r="B922" t="s">
        <v>22</v>
      </c>
      <c r="C922" t="s">
        <v>16</v>
      </c>
      <c r="D922" s="1">
        <v>45944</v>
      </c>
      <c r="E922" s="1">
        <v>45948</v>
      </c>
      <c r="F922" s="1">
        <v>45951</v>
      </c>
      <c r="G922" s="1">
        <v>45956</v>
      </c>
      <c r="H922" t="s">
        <v>17</v>
      </c>
      <c r="I922">
        <v>0</v>
      </c>
      <c r="J922" t="s">
        <v>18</v>
      </c>
      <c r="K922" s="1">
        <v>45976</v>
      </c>
      <c r="L922">
        <v>4</v>
      </c>
      <c r="M922">
        <v>3</v>
      </c>
      <c r="N922">
        <v>5</v>
      </c>
      <c r="O922">
        <v>0</v>
      </c>
      <c r="P922" t="str">
        <f t="shared" si="28"/>
        <v>Detractor</v>
      </c>
      <c r="Q922">
        <v>10</v>
      </c>
      <c r="R922" t="s">
        <v>1034</v>
      </c>
      <c r="S922">
        <v>10</v>
      </c>
      <c r="T922" t="s">
        <v>1034</v>
      </c>
      <c r="U922" t="str">
        <f t="shared" si="29"/>
        <v>Yes</v>
      </c>
    </row>
    <row r="923" spans="1:21" x14ac:dyDescent="0.3">
      <c r="A923" t="s">
        <v>1015</v>
      </c>
      <c r="B923" t="s">
        <v>27</v>
      </c>
      <c r="C923" t="s">
        <v>841</v>
      </c>
      <c r="D923" s="1">
        <v>45947</v>
      </c>
      <c r="E923" s="1"/>
      <c r="F923" s="1"/>
      <c r="G923" s="1"/>
      <c r="H923" t="s">
        <v>752</v>
      </c>
      <c r="I923">
        <v>1</v>
      </c>
      <c r="J923" t="s">
        <v>758</v>
      </c>
      <c r="K923" s="1"/>
      <c r="P923" t="str">
        <f t="shared" si="28"/>
        <v>Not Applicable</v>
      </c>
      <c r="R923" t="s">
        <v>1036</v>
      </c>
      <c r="T923" t="s">
        <v>1036</v>
      </c>
      <c r="U923" t="str">
        <f t="shared" si="29"/>
        <v>No</v>
      </c>
    </row>
    <row r="924" spans="1:21" x14ac:dyDescent="0.3">
      <c r="A924" t="s">
        <v>124</v>
      </c>
      <c r="B924" t="s">
        <v>29</v>
      </c>
      <c r="C924" t="s">
        <v>16</v>
      </c>
      <c r="D924" s="1">
        <v>45934</v>
      </c>
      <c r="E924" s="1">
        <v>45937</v>
      </c>
      <c r="F924" s="1">
        <v>45939</v>
      </c>
      <c r="G924" s="1">
        <v>45942</v>
      </c>
      <c r="H924" t="s">
        <v>17</v>
      </c>
      <c r="I924">
        <v>0</v>
      </c>
      <c r="J924" t="s">
        <v>18</v>
      </c>
      <c r="K924" s="1">
        <v>45965</v>
      </c>
      <c r="L924">
        <v>3</v>
      </c>
      <c r="M924">
        <v>2</v>
      </c>
      <c r="N924">
        <v>3</v>
      </c>
      <c r="O924">
        <v>6</v>
      </c>
      <c r="P924" t="str">
        <f t="shared" si="28"/>
        <v>Detractor</v>
      </c>
      <c r="Q924">
        <v>10</v>
      </c>
      <c r="R924" t="s">
        <v>1034</v>
      </c>
      <c r="S924">
        <v>10</v>
      </c>
      <c r="T924" t="s">
        <v>1034</v>
      </c>
      <c r="U924" t="str">
        <f t="shared" si="29"/>
        <v>Yes</v>
      </c>
    </row>
    <row r="925" spans="1:21" x14ac:dyDescent="0.3">
      <c r="A925" t="s">
        <v>214</v>
      </c>
      <c r="B925" t="s">
        <v>29</v>
      </c>
      <c r="C925" t="s">
        <v>16</v>
      </c>
      <c r="D925" s="1">
        <v>45954</v>
      </c>
      <c r="E925" s="1">
        <v>45959</v>
      </c>
      <c r="F925" s="1">
        <v>45964</v>
      </c>
      <c r="G925" s="1">
        <v>45969</v>
      </c>
      <c r="H925" t="s">
        <v>17</v>
      </c>
      <c r="I925">
        <v>0</v>
      </c>
      <c r="J925" t="s">
        <v>18</v>
      </c>
      <c r="K925" s="1">
        <v>45982</v>
      </c>
      <c r="L925">
        <v>5</v>
      </c>
      <c r="M925">
        <v>5</v>
      </c>
      <c r="N925">
        <v>5</v>
      </c>
      <c r="O925">
        <v>6</v>
      </c>
      <c r="P925" t="str">
        <f t="shared" si="28"/>
        <v>Detractor</v>
      </c>
      <c r="Q925">
        <v>10</v>
      </c>
      <c r="R925" t="s">
        <v>1034</v>
      </c>
      <c r="S925">
        <v>11</v>
      </c>
      <c r="T925" t="s">
        <v>1035</v>
      </c>
      <c r="U925" t="str">
        <f t="shared" si="29"/>
        <v>Yes</v>
      </c>
    </row>
    <row r="926" spans="1:21" x14ac:dyDescent="0.3">
      <c r="A926" t="s">
        <v>668</v>
      </c>
      <c r="B926" t="s">
        <v>22</v>
      </c>
      <c r="C926" t="s">
        <v>474</v>
      </c>
      <c r="D926" s="1">
        <v>45933</v>
      </c>
      <c r="E926" s="1">
        <v>45934</v>
      </c>
      <c r="F926" s="1">
        <v>45935</v>
      </c>
      <c r="G926" s="1">
        <v>45938</v>
      </c>
      <c r="H926" t="s">
        <v>17</v>
      </c>
      <c r="I926">
        <v>0</v>
      </c>
      <c r="J926" t="s">
        <v>18</v>
      </c>
      <c r="K926" s="1">
        <v>45951</v>
      </c>
      <c r="L926">
        <v>1</v>
      </c>
      <c r="M926">
        <v>1</v>
      </c>
      <c r="N926">
        <v>3</v>
      </c>
      <c r="O926">
        <v>6</v>
      </c>
      <c r="P926" t="str">
        <f t="shared" si="28"/>
        <v>Detractor</v>
      </c>
      <c r="Q926">
        <v>10</v>
      </c>
      <c r="R926" t="s">
        <v>1034</v>
      </c>
      <c r="S926">
        <v>10</v>
      </c>
      <c r="T926" t="s">
        <v>1034</v>
      </c>
      <c r="U926" t="str">
        <f t="shared" si="29"/>
        <v>Yes</v>
      </c>
    </row>
    <row r="927" spans="1:21" x14ac:dyDescent="0.3">
      <c r="A927" t="s">
        <v>669</v>
      </c>
      <c r="B927" t="s">
        <v>29</v>
      </c>
      <c r="C927" t="s">
        <v>474</v>
      </c>
      <c r="D927" s="1">
        <v>45946</v>
      </c>
      <c r="E927" s="1">
        <v>45947</v>
      </c>
      <c r="F927" s="1">
        <v>45952</v>
      </c>
      <c r="G927" s="1">
        <v>45959</v>
      </c>
      <c r="H927" t="s">
        <v>17</v>
      </c>
      <c r="I927">
        <v>0</v>
      </c>
      <c r="J927" t="s">
        <v>18</v>
      </c>
      <c r="K927" s="1">
        <v>45970</v>
      </c>
      <c r="L927">
        <v>1</v>
      </c>
      <c r="M927">
        <v>5</v>
      </c>
      <c r="N927">
        <v>7</v>
      </c>
      <c r="O927">
        <v>2</v>
      </c>
      <c r="P927" t="str">
        <f t="shared" si="28"/>
        <v>Detractor</v>
      </c>
      <c r="Q927">
        <v>10</v>
      </c>
      <c r="R927" t="s">
        <v>1034</v>
      </c>
      <c r="S927">
        <v>10</v>
      </c>
      <c r="T927" t="s">
        <v>1034</v>
      </c>
      <c r="U927" t="str">
        <f t="shared" si="29"/>
        <v>Yes</v>
      </c>
    </row>
    <row r="928" spans="1:21" x14ac:dyDescent="0.3">
      <c r="A928" t="s">
        <v>314</v>
      </c>
      <c r="B928" t="s">
        <v>15</v>
      </c>
      <c r="C928" t="s">
        <v>16</v>
      </c>
      <c r="D928" s="1">
        <v>45945</v>
      </c>
      <c r="E928" s="1">
        <v>45949</v>
      </c>
      <c r="F928" s="1">
        <v>45953</v>
      </c>
      <c r="G928" s="1">
        <v>45959</v>
      </c>
      <c r="H928" t="s">
        <v>17</v>
      </c>
      <c r="I928">
        <v>0</v>
      </c>
      <c r="J928" t="s">
        <v>18</v>
      </c>
      <c r="K928" s="1">
        <v>45969</v>
      </c>
      <c r="L928">
        <v>4</v>
      </c>
      <c r="M928">
        <v>4</v>
      </c>
      <c r="N928">
        <v>6</v>
      </c>
      <c r="O928">
        <v>7</v>
      </c>
      <c r="P928" t="str">
        <f t="shared" si="28"/>
        <v>Passive</v>
      </c>
      <c r="Q928">
        <v>10</v>
      </c>
      <c r="R928" t="s">
        <v>1034</v>
      </c>
      <c r="S928">
        <v>10</v>
      </c>
      <c r="T928" t="s">
        <v>1034</v>
      </c>
      <c r="U928" t="str">
        <f t="shared" si="29"/>
        <v>Yes</v>
      </c>
    </row>
    <row r="929" spans="1:21" x14ac:dyDescent="0.3">
      <c r="A929" t="s">
        <v>836</v>
      </c>
      <c r="B929" t="s">
        <v>15</v>
      </c>
      <c r="C929" t="s">
        <v>474</v>
      </c>
      <c r="D929" s="1">
        <v>45955</v>
      </c>
      <c r="E929" s="1">
        <v>45957</v>
      </c>
      <c r="F929" s="1">
        <v>45960</v>
      </c>
      <c r="G929" s="1">
        <v>45963</v>
      </c>
      <c r="H929" t="s">
        <v>752</v>
      </c>
      <c r="I929">
        <v>1</v>
      </c>
      <c r="J929" t="s">
        <v>756</v>
      </c>
      <c r="K929" s="1"/>
      <c r="L929">
        <v>2</v>
      </c>
      <c r="M929">
        <v>3</v>
      </c>
      <c r="N929">
        <v>3</v>
      </c>
      <c r="P929" t="str">
        <f t="shared" si="28"/>
        <v>Not Applicable</v>
      </c>
      <c r="Q929">
        <v>10</v>
      </c>
      <c r="R929" t="s">
        <v>1034</v>
      </c>
      <c r="S929">
        <v>11</v>
      </c>
      <c r="T929" t="s">
        <v>1035</v>
      </c>
      <c r="U929" t="str">
        <f t="shared" si="29"/>
        <v>No</v>
      </c>
    </row>
    <row r="930" spans="1:21" x14ac:dyDescent="0.3">
      <c r="A930" t="s">
        <v>125</v>
      </c>
      <c r="B930" t="s">
        <v>29</v>
      </c>
      <c r="C930" t="s">
        <v>16</v>
      </c>
      <c r="D930" s="1">
        <v>45942</v>
      </c>
      <c r="E930" s="1">
        <v>45945</v>
      </c>
      <c r="F930" s="1">
        <v>45949</v>
      </c>
      <c r="G930" s="1">
        <v>45956</v>
      </c>
      <c r="H930" t="s">
        <v>17</v>
      </c>
      <c r="I930">
        <v>0</v>
      </c>
      <c r="J930" t="s">
        <v>18</v>
      </c>
      <c r="K930" s="1">
        <v>45970</v>
      </c>
      <c r="L930">
        <v>3</v>
      </c>
      <c r="M930">
        <v>4</v>
      </c>
      <c r="N930">
        <v>7</v>
      </c>
      <c r="O930">
        <v>8</v>
      </c>
      <c r="P930" t="str">
        <f t="shared" si="28"/>
        <v>Passive</v>
      </c>
      <c r="Q930">
        <v>10</v>
      </c>
      <c r="R930" t="s">
        <v>1034</v>
      </c>
      <c r="S930">
        <v>10</v>
      </c>
      <c r="T930" t="s">
        <v>1034</v>
      </c>
      <c r="U930" t="str">
        <f t="shared" si="29"/>
        <v>Yes</v>
      </c>
    </row>
    <row r="931" spans="1:21" x14ac:dyDescent="0.3">
      <c r="A931" t="s">
        <v>126</v>
      </c>
      <c r="B931" t="s">
        <v>29</v>
      </c>
      <c r="C931" t="s">
        <v>16</v>
      </c>
      <c r="D931" s="1">
        <v>45947</v>
      </c>
      <c r="E931" s="1">
        <v>45950</v>
      </c>
      <c r="F931" s="1">
        <v>45951</v>
      </c>
      <c r="G931" s="1">
        <v>45957</v>
      </c>
      <c r="H931" t="s">
        <v>17</v>
      </c>
      <c r="I931">
        <v>0</v>
      </c>
      <c r="J931" t="s">
        <v>18</v>
      </c>
      <c r="K931" s="1">
        <v>45987</v>
      </c>
      <c r="L931">
        <v>3</v>
      </c>
      <c r="M931">
        <v>1</v>
      </c>
      <c r="N931">
        <v>6</v>
      </c>
      <c r="O931">
        <v>1</v>
      </c>
      <c r="P931" t="str">
        <f t="shared" si="28"/>
        <v>Detractor</v>
      </c>
      <c r="Q931">
        <v>10</v>
      </c>
      <c r="R931" t="s">
        <v>1034</v>
      </c>
      <c r="S931">
        <v>10</v>
      </c>
      <c r="T931" t="s">
        <v>1034</v>
      </c>
      <c r="U931" t="str">
        <f t="shared" si="29"/>
        <v>Yes</v>
      </c>
    </row>
    <row r="932" spans="1:21" x14ac:dyDescent="0.3">
      <c r="A932" t="s">
        <v>315</v>
      </c>
      <c r="B932" t="s">
        <v>22</v>
      </c>
      <c r="C932" t="s">
        <v>16</v>
      </c>
      <c r="D932" s="1">
        <v>45949</v>
      </c>
      <c r="E932" s="1">
        <v>45953</v>
      </c>
      <c r="F932" s="1">
        <v>45954</v>
      </c>
      <c r="G932" s="1">
        <v>45956</v>
      </c>
      <c r="H932" t="s">
        <v>17</v>
      </c>
      <c r="I932">
        <v>0</v>
      </c>
      <c r="J932" t="s">
        <v>18</v>
      </c>
      <c r="K932" s="1">
        <v>45971</v>
      </c>
      <c r="L932">
        <v>4</v>
      </c>
      <c r="M932">
        <v>1</v>
      </c>
      <c r="N932">
        <v>2</v>
      </c>
      <c r="O932">
        <v>7</v>
      </c>
      <c r="P932" t="str">
        <f t="shared" si="28"/>
        <v>Passive</v>
      </c>
      <c r="Q932">
        <v>10</v>
      </c>
      <c r="R932" t="s">
        <v>1034</v>
      </c>
      <c r="S932">
        <v>10</v>
      </c>
      <c r="T932" t="s">
        <v>1034</v>
      </c>
      <c r="U932" t="str">
        <f t="shared" si="29"/>
        <v>Yes</v>
      </c>
    </row>
    <row r="933" spans="1:21" x14ac:dyDescent="0.3">
      <c r="A933" t="s">
        <v>670</v>
      </c>
      <c r="B933" t="s">
        <v>15</v>
      </c>
      <c r="C933" t="s">
        <v>474</v>
      </c>
      <c r="D933" s="1">
        <v>45934</v>
      </c>
      <c r="E933" s="1">
        <v>45937</v>
      </c>
      <c r="F933" s="1">
        <v>45938</v>
      </c>
      <c r="G933" s="1">
        <v>45943</v>
      </c>
      <c r="H933" t="s">
        <v>17</v>
      </c>
      <c r="I933">
        <v>0</v>
      </c>
      <c r="J933" t="s">
        <v>18</v>
      </c>
      <c r="K933" s="1">
        <v>45963</v>
      </c>
      <c r="L933">
        <v>3</v>
      </c>
      <c r="M933">
        <v>1</v>
      </c>
      <c r="N933">
        <v>5</v>
      </c>
      <c r="O933">
        <v>9</v>
      </c>
      <c r="P933" t="str">
        <f t="shared" si="28"/>
        <v>Promoter</v>
      </c>
      <c r="Q933">
        <v>10</v>
      </c>
      <c r="R933" t="s">
        <v>1034</v>
      </c>
      <c r="S933">
        <v>10</v>
      </c>
      <c r="T933" t="s">
        <v>1034</v>
      </c>
      <c r="U933" t="str">
        <f t="shared" si="29"/>
        <v>Yes</v>
      </c>
    </row>
    <row r="934" spans="1:21" x14ac:dyDescent="0.3">
      <c r="A934" t="s">
        <v>394</v>
      </c>
      <c r="B934" t="s">
        <v>15</v>
      </c>
      <c r="C934" t="s">
        <v>16</v>
      </c>
      <c r="D934" s="1">
        <v>45945</v>
      </c>
      <c r="E934" s="1">
        <v>45946</v>
      </c>
      <c r="F934" s="1">
        <v>45949</v>
      </c>
      <c r="G934" s="1">
        <v>45956</v>
      </c>
      <c r="H934" t="s">
        <v>17</v>
      </c>
      <c r="I934">
        <v>0</v>
      </c>
      <c r="J934" t="s">
        <v>18</v>
      </c>
      <c r="K934" s="1">
        <v>45977</v>
      </c>
      <c r="L934">
        <v>1</v>
      </c>
      <c r="M934">
        <v>3</v>
      </c>
      <c r="N934">
        <v>7</v>
      </c>
      <c r="O934">
        <v>2</v>
      </c>
      <c r="P934" t="str">
        <f t="shared" si="28"/>
        <v>Detractor</v>
      </c>
      <c r="Q934">
        <v>10</v>
      </c>
      <c r="R934" t="s">
        <v>1034</v>
      </c>
      <c r="S934">
        <v>10</v>
      </c>
      <c r="T934" t="s">
        <v>1034</v>
      </c>
      <c r="U934" t="str">
        <f t="shared" si="29"/>
        <v>Yes</v>
      </c>
    </row>
    <row r="935" spans="1:21" x14ac:dyDescent="0.3">
      <c r="A935" t="s">
        <v>837</v>
      </c>
      <c r="B935" t="s">
        <v>27</v>
      </c>
      <c r="C935" t="s">
        <v>16</v>
      </c>
      <c r="D935" s="1">
        <v>45947</v>
      </c>
      <c r="E935" s="1">
        <v>45951</v>
      </c>
      <c r="F935" s="1">
        <v>45953</v>
      </c>
      <c r="G935" s="1">
        <v>45957</v>
      </c>
      <c r="H935" t="s">
        <v>752</v>
      </c>
      <c r="I935">
        <v>1</v>
      </c>
      <c r="J935" t="s">
        <v>753</v>
      </c>
      <c r="K935" s="1"/>
      <c r="L935">
        <v>4</v>
      </c>
      <c r="M935">
        <v>2</v>
      </c>
      <c r="N935">
        <v>4</v>
      </c>
      <c r="P935" t="str">
        <f t="shared" si="28"/>
        <v>Not Applicable</v>
      </c>
      <c r="Q935">
        <v>10</v>
      </c>
      <c r="R935" t="s">
        <v>1034</v>
      </c>
      <c r="S935">
        <v>10</v>
      </c>
      <c r="T935" t="s">
        <v>1034</v>
      </c>
      <c r="U935" t="str">
        <f t="shared" si="29"/>
        <v>No</v>
      </c>
    </row>
    <row r="936" spans="1:21" x14ac:dyDescent="0.3">
      <c r="A936" t="s">
        <v>671</v>
      </c>
      <c r="B936" t="s">
        <v>22</v>
      </c>
      <c r="C936" t="s">
        <v>474</v>
      </c>
      <c r="D936" s="1">
        <v>45938</v>
      </c>
      <c r="E936" s="1">
        <v>45939</v>
      </c>
      <c r="F936" s="1">
        <v>45944</v>
      </c>
      <c r="G936" s="1">
        <v>45949</v>
      </c>
      <c r="H936" t="s">
        <v>17</v>
      </c>
      <c r="I936">
        <v>0</v>
      </c>
      <c r="J936" t="s">
        <v>18</v>
      </c>
      <c r="K936" s="1">
        <v>45973</v>
      </c>
      <c r="L936">
        <v>1</v>
      </c>
      <c r="M936">
        <v>5</v>
      </c>
      <c r="N936">
        <v>5</v>
      </c>
      <c r="O936">
        <v>9</v>
      </c>
      <c r="P936" t="str">
        <f t="shared" si="28"/>
        <v>Promoter</v>
      </c>
      <c r="Q936">
        <v>10</v>
      </c>
      <c r="R936" t="s">
        <v>1034</v>
      </c>
      <c r="S936">
        <v>10</v>
      </c>
      <c r="T936" t="s">
        <v>1034</v>
      </c>
      <c r="U936" t="str">
        <f t="shared" si="29"/>
        <v>Yes</v>
      </c>
    </row>
    <row r="937" spans="1:21" x14ac:dyDescent="0.3">
      <c r="A937" t="s">
        <v>215</v>
      </c>
      <c r="B937" t="s">
        <v>27</v>
      </c>
      <c r="C937" t="s">
        <v>16</v>
      </c>
      <c r="D937" s="1">
        <v>45961</v>
      </c>
      <c r="E937" s="1">
        <v>45966</v>
      </c>
      <c r="F937" s="1">
        <v>45971</v>
      </c>
      <c r="G937" s="1">
        <v>45977</v>
      </c>
      <c r="H937" t="s">
        <v>17</v>
      </c>
      <c r="I937">
        <v>0</v>
      </c>
      <c r="J937" t="s">
        <v>18</v>
      </c>
      <c r="K937" s="1">
        <v>46006</v>
      </c>
      <c r="L937">
        <v>5</v>
      </c>
      <c r="M937">
        <v>5</v>
      </c>
      <c r="N937">
        <v>6</v>
      </c>
      <c r="O937">
        <v>2</v>
      </c>
      <c r="P937" t="str">
        <f t="shared" si="28"/>
        <v>Detractor</v>
      </c>
      <c r="Q937">
        <v>11</v>
      </c>
      <c r="R937" t="s">
        <v>1035</v>
      </c>
      <c r="S937">
        <v>11</v>
      </c>
      <c r="T937" t="s">
        <v>1035</v>
      </c>
      <c r="U937" t="str">
        <f t="shared" si="29"/>
        <v>Yes</v>
      </c>
    </row>
    <row r="938" spans="1:21" x14ac:dyDescent="0.3">
      <c r="A938" t="s">
        <v>216</v>
      </c>
      <c r="B938" t="s">
        <v>15</v>
      </c>
      <c r="C938" t="s">
        <v>16</v>
      </c>
      <c r="D938" s="1">
        <v>45950</v>
      </c>
      <c r="E938" s="1">
        <v>45955</v>
      </c>
      <c r="F938" s="1">
        <v>45960</v>
      </c>
      <c r="G938" s="1">
        <v>45965</v>
      </c>
      <c r="H938" t="s">
        <v>17</v>
      </c>
      <c r="I938">
        <v>0</v>
      </c>
      <c r="J938" t="s">
        <v>18</v>
      </c>
      <c r="K938" s="1">
        <v>45983</v>
      </c>
      <c r="L938">
        <v>5</v>
      </c>
      <c r="M938">
        <v>5</v>
      </c>
      <c r="N938">
        <v>5</v>
      </c>
      <c r="O938">
        <v>4</v>
      </c>
      <c r="P938" t="str">
        <f t="shared" si="28"/>
        <v>Detractor</v>
      </c>
      <c r="Q938">
        <v>10</v>
      </c>
      <c r="R938" t="s">
        <v>1034</v>
      </c>
      <c r="S938">
        <v>11</v>
      </c>
      <c r="T938" t="s">
        <v>1035</v>
      </c>
      <c r="U938" t="str">
        <f t="shared" si="29"/>
        <v>Yes</v>
      </c>
    </row>
    <row r="939" spans="1:21" x14ac:dyDescent="0.3">
      <c r="A939" t="s">
        <v>1016</v>
      </c>
      <c r="B939" t="s">
        <v>22</v>
      </c>
      <c r="C939" t="s">
        <v>841</v>
      </c>
      <c r="D939" s="1">
        <v>45932</v>
      </c>
      <c r="E939" s="1"/>
      <c r="F939" s="1"/>
      <c r="G939" s="1"/>
      <c r="H939" t="s">
        <v>752</v>
      </c>
      <c r="I939">
        <v>1</v>
      </c>
      <c r="J939" t="s">
        <v>765</v>
      </c>
      <c r="K939" s="1"/>
      <c r="P939" t="str">
        <f t="shared" si="28"/>
        <v>Not Applicable</v>
      </c>
      <c r="R939" t="s">
        <v>1036</v>
      </c>
      <c r="T939" t="s">
        <v>1036</v>
      </c>
      <c r="U939" t="str">
        <f t="shared" si="29"/>
        <v>No</v>
      </c>
    </row>
    <row r="940" spans="1:21" x14ac:dyDescent="0.3">
      <c r="A940" t="s">
        <v>672</v>
      </c>
      <c r="B940" t="s">
        <v>29</v>
      </c>
      <c r="C940" t="s">
        <v>474</v>
      </c>
      <c r="D940" s="1">
        <v>45954</v>
      </c>
      <c r="E940" s="1">
        <v>45956</v>
      </c>
      <c r="F940" s="1">
        <v>45961</v>
      </c>
      <c r="G940" s="1">
        <v>45965</v>
      </c>
      <c r="H940" t="s">
        <v>17</v>
      </c>
      <c r="I940">
        <v>0</v>
      </c>
      <c r="J940" t="s">
        <v>18</v>
      </c>
      <c r="K940" s="1">
        <v>45977</v>
      </c>
      <c r="L940">
        <v>2</v>
      </c>
      <c r="M940">
        <v>5</v>
      </c>
      <c r="N940">
        <v>4</v>
      </c>
      <c r="O940">
        <v>7</v>
      </c>
      <c r="P940" t="str">
        <f t="shared" si="28"/>
        <v>Passive</v>
      </c>
      <c r="Q940">
        <v>10</v>
      </c>
      <c r="R940" t="s">
        <v>1034</v>
      </c>
      <c r="S940">
        <v>11</v>
      </c>
      <c r="T940" t="s">
        <v>1035</v>
      </c>
      <c r="U940" t="str">
        <f t="shared" si="29"/>
        <v>Yes</v>
      </c>
    </row>
    <row r="941" spans="1:21" x14ac:dyDescent="0.3">
      <c r="A941" t="s">
        <v>1017</v>
      </c>
      <c r="B941" t="s">
        <v>22</v>
      </c>
      <c r="C941" t="s">
        <v>841</v>
      </c>
      <c r="D941" s="1">
        <v>45956</v>
      </c>
      <c r="E941" s="1"/>
      <c r="F941" s="1"/>
      <c r="G941" s="1"/>
      <c r="H941" t="s">
        <v>752</v>
      </c>
      <c r="I941">
        <v>1</v>
      </c>
      <c r="J941" t="s">
        <v>765</v>
      </c>
      <c r="K941" s="1"/>
      <c r="P941" t="str">
        <f t="shared" si="28"/>
        <v>Not Applicable</v>
      </c>
      <c r="R941" t="s">
        <v>1036</v>
      </c>
      <c r="T941" t="s">
        <v>1036</v>
      </c>
      <c r="U941" t="str">
        <f t="shared" si="29"/>
        <v>No</v>
      </c>
    </row>
    <row r="942" spans="1:21" x14ac:dyDescent="0.3">
      <c r="A942" t="s">
        <v>127</v>
      </c>
      <c r="B942" t="s">
        <v>29</v>
      </c>
      <c r="C942" t="s">
        <v>16</v>
      </c>
      <c r="D942" s="1">
        <v>45960</v>
      </c>
      <c r="E942" s="1">
        <v>45963</v>
      </c>
      <c r="F942" s="1">
        <v>45968</v>
      </c>
      <c r="G942" s="1">
        <v>45974</v>
      </c>
      <c r="H942" t="s">
        <v>17</v>
      </c>
      <c r="I942">
        <v>0</v>
      </c>
      <c r="J942" t="s">
        <v>18</v>
      </c>
      <c r="K942" s="1">
        <v>45995</v>
      </c>
      <c r="L942">
        <v>3</v>
      </c>
      <c r="M942">
        <v>5</v>
      </c>
      <c r="N942">
        <v>6</v>
      </c>
      <c r="O942">
        <v>8</v>
      </c>
      <c r="P942" t="str">
        <f t="shared" si="28"/>
        <v>Passive</v>
      </c>
      <c r="Q942">
        <v>11</v>
      </c>
      <c r="R942" t="s">
        <v>1035</v>
      </c>
      <c r="S942">
        <v>11</v>
      </c>
      <c r="T942" t="s">
        <v>1035</v>
      </c>
      <c r="U942" t="str">
        <f t="shared" si="29"/>
        <v>Yes</v>
      </c>
    </row>
    <row r="943" spans="1:21" x14ac:dyDescent="0.3">
      <c r="A943" t="s">
        <v>217</v>
      </c>
      <c r="B943" t="s">
        <v>29</v>
      </c>
      <c r="C943" t="s">
        <v>16</v>
      </c>
      <c r="D943" s="1">
        <v>45958</v>
      </c>
      <c r="E943" s="1">
        <v>45963</v>
      </c>
      <c r="F943" s="1">
        <v>45965</v>
      </c>
      <c r="G943" s="1">
        <v>45971</v>
      </c>
      <c r="H943" t="s">
        <v>17</v>
      </c>
      <c r="I943">
        <v>0</v>
      </c>
      <c r="J943" t="s">
        <v>18</v>
      </c>
      <c r="K943" s="1">
        <v>45991</v>
      </c>
      <c r="L943">
        <v>5</v>
      </c>
      <c r="M943">
        <v>2</v>
      </c>
      <c r="N943">
        <v>6</v>
      </c>
      <c r="O943">
        <v>5</v>
      </c>
      <c r="P943" t="str">
        <f t="shared" si="28"/>
        <v>Detractor</v>
      </c>
      <c r="Q943">
        <v>11</v>
      </c>
      <c r="R943" t="s">
        <v>1035</v>
      </c>
      <c r="S943">
        <v>11</v>
      </c>
      <c r="T943" t="s">
        <v>1035</v>
      </c>
      <c r="U943" t="str">
        <f t="shared" si="29"/>
        <v>Yes</v>
      </c>
    </row>
    <row r="944" spans="1:21" x14ac:dyDescent="0.3">
      <c r="A944" t="s">
        <v>673</v>
      </c>
      <c r="B944" t="s">
        <v>22</v>
      </c>
      <c r="C944" t="s">
        <v>474</v>
      </c>
      <c r="D944" s="1">
        <v>45952</v>
      </c>
      <c r="E944" s="1">
        <v>45955</v>
      </c>
      <c r="F944" s="1">
        <v>45959</v>
      </c>
      <c r="G944" s="1">
        <v>45963</v>
      </c>
      <c r="H944" t="s">
        <v>17</v>
      </c>
      <c r="I944">
        <v>0</v>
      </c>
      <c r="J944" t="s">
        <v>18</v>
      </c>
      <c r="K944" s="1">
        <v>45978</v>
      </c>
      <c r="L944">
        <v>3</v>
      </c>
      <c r="M944">
        <v>4</v>
      </c>
      <c r="N944">
        <v>4</v>
      </c>
      <c r="O944">
        <v>4</v>
      </c>
      <c r="P944" t="str">
        <f t="shared" si="28"/>
        <v>Detractor</v>
      </c>
      <c r="Q944">
        <v>10</v>
      </c>
      <c r="R944" t="s">
        <v>1034</v>
      </c>
      <c r="S944">
        <v>11</v>
      </c>
      <c r="T944" t="s">
        <v>1035</v>
      </c>
      <c r="U944" t="str">
        <f t="shared" si="29"/>
        <v>Yes</v>
      </c>
    </row>
    <row r="945" spans="1:21" x14ac:dyDescent="0.3">
      <c r="A945" t="s">
        <v>395</v>
      </c>
      <c r="B945" t="s">
        <v>29</v>
      </c>
      <c r="C945" t="s">
        <v>16</v>
      </c>
      <c r="D945" s="1">
        <v>45947</v>
      </c>
      <c r="E945" s="1">
        <v>45948</v>
      </c>
      <c r="F945" s="1">
        <v>45951</v>
      </c>
      <c r="G945" s="1">
        <v>45956</v>
      </c>
      <c r="H945" t="s">
        <v>17</v>
      </c>
      <c r="I945">
        <v>0</v>
      </c>
      <c r="J945" t="s">
        <v>18</v>
      </c>
      <c r="K945" s="1">
        <v>45969</v>
      </c>
      <c r="L945">
        <v>1</v>
      </c>
      <c r="M945">
        <v>3</v>
      </c>
      <c r="N945">
        <v>5</v>
      </c>
      <c r="O945">
        <v>2</v>
      </c>
      <c r="P945" t="str">
        <f t="shared" si="28"/>
        <v>Detractor</v>
      </c>
      <c r="Q945">
        <v>10</v>
      </c>
      <c r="R945" t="s">
        <v>1034</v>
      </c>
      <c r="S945">
        <v>10</v>
      </c>
      <c r="T945" t="s">
        <v>1034</v>
      </c>
      <c r="U945" t="str">
        <f t="shared" si="29"/>
        <v>Yes</v>
      </c>
    </row>
    <row r="946" spans="1:21" x14ac:dyDescent="0.3">
      <c r="A946" t="s">
        <v>674</v>
      </c>
      <c r="B946" t="s">
        <v>27</v>
      </c>
      <c r="C946" t="s">
        <v>474</v>
      </c>
      <c r="D946" s="1">
        <v>45940</v>
      </c>
      <c r="E946" s="1">
        <v>45944</v>
      </c>
      <c r="F946" s="1">
        <v>45948</v>
      </c>
      <c r="G946" s="1">
        <v>45952</v>
      </c>
      <c r="H946" t="s">
        <v>17</v>
      </c>
      <c r="I946">
        <v>0</v>
      </c>
      <c r="J946" t="s">
        <v>18</v>
      </c>
      <c r="K946" s="1">
        <v>45974</v>
      </c>
      <c r="L946">
        <v>4</v>
      </c>
      <c r="M946">
        <v>4</v>
      </c>
      <c r="N946">
        <v>4</v>
      </c>
      <c r="O946">
        <v>3</v>
      </c>
      <c r="P946" t="str">
        <f t="shared" si="28"/>
        <v>Detractor</v>
      </c>
      <c r="Q946">
        <v>10</v>
      </c>
      <c r="R946" t="s">
        <v>1034</v>
      </c>
      <c r="S946">
        <v>10</v>
      </c>
      <c r="T946" t="s">
        <v>1034</v>
      </c>
      <c r="U946" t="str">
        <f t="shared" si="29"/>
        <v>Yes</v>
      </c>
    </row>
    <row r="947" spans="1:21" x14ac:dyDescent="0.3">
      <c r="A947" t="s">
        <v>218</v>
      </c>
      <c r="B947" t="s">
        <v>15</v>
      </c>
      <c r="C947" t="s">
        <v>16</v>
      </c>
      <c r="D947" s="1">
        <v>45945</v>
      </c>
      <c r="E947" s="1">
        <v>45950</v>
      </c>
      <c r="F947" s="1">
        <v>45954</v>
      </c>
      <c r="G947" s="1">
        <v>45957</v>
      </c>
      <c r="H947" t="s">
        <v>17</v>
      </c>
      <c r="I947">
        <v>0</v>
      </c>
      <c r="J947" t="s">
        <v>18</v>
      </c>
      <c r="K947" s="1">
        <v>45979</v>
      </c>
      <c r="L947">
        <v>5</v>
      </c>
      <c r="M947">
        <v>4</v>
      </c>
      <c r="N947">
        <v>3</v>
      </c>
      <c r="O947">
        <v>6</v>
      </c>
      <c r="P947" t="str">
        <f t="shared" si="28"/>
        <v>Detractor</v>
      </c>
      <c r="Q947">
        <v>10</v>
      </c>
      <c r="R947" t="s">
        <v>1034</v>
      </c>
      <c r="S947">
        <v>10</v>
      </c>
      <c r="T947" t="s">
        <v>1034</v>
      </c>
      <c r="U947" t="str">
        <f t="shared" si="29"/>
        <v>Yes</v>
      </c>
    </row>
    <row r="948" spans="1:21" x14ac:dyDescent="0.3">
      <c r="A948" t="s">
        <v>675</v>
      </c>
      <c r="B948" t="s">
        <v>29</v>
      </c>
      <c r="C948" t="s">
        <v>474</v>
      </c>
      <c r="D948" s="1">
        <v>45951</v>
      </c>
      <c r="E948" s="1">
        <v>45955</v>
      </c>
      <c r="F948" s="1">
        <v>45960</v>
      </c>
      <c r="G948" s="1">
        <v>45962</v>
      </c>
      <c r="H948" t="s">
        <v>17</v>
      </c>
      <c r="I948">
        <v>0</v>
      </c>
      <c r="J948" t="s">
        <v>18</v>
      </c>
      <c r="K948" s="1">
        <v>45986</v>
      </c>
      <c r="L948">
        <v>4</v>
      </c>
      <c r="M948">
        <v>5</v>
      </c>
      <c r="N948">
        <v>2</v>
      </c>
      <c r="O948">
        <v>6</v>
      </c>
      <c r="P948" t="str">
        <f t="shared" si="28"/>
        <v>Detractor</v>
      </c>
      <c r="Q948">
        <v>10</v>
      </c>
      <c r="R948" t="s">
        <v>1034</v>
      </c>
      <c r="S948">
        <v>11</v>
      </c>
      <c r="T948" t="s">
        <v>1035</v>
      </c>
      <c r="U948" t="str">
        <f t="shared" si="29"/>
        <v>Yes</v>
      </c>
    </row>
    <row r="949" spans="1:21" x14ac:dyDescent="0.3">
      <c r="A949" t="s">
        <v>1018</v>
      </c>
      <c r="B949" t="s">
        <v>27</v>
      </c>
      <c r="C949" t="s">
        <v>841</v>
      </c>
      <c r="D949" s="1">
        <v>45961</v>
      </c>
      <c r="E949" s="1"/>
      <c r="F949" s="1"/>
      <c r="G949" s="1"/>
      <c r="H949" t="s">
        <v>752</v>
      </c>
      <c r="I949">
        <v>1</v>
      </c>
      <c r="J949" t="s">
        <v>758</v>
      </c>
      <c r="K949" s="1"/>
      <c r="P949" t="str">
        <f t="shared" si="28"/>
        <v>Not Applicable</v>
      </c>
      <c r="R949" t="s">
        <v>1036</v>
      </c>
      <c r="T949" t="s">
        <v>1036</v>
      </c>
      <c r="U949" t="str">
        <f t="shared" si="29"/>
        <v>No</v>
      </c>
    </row>
    <row r="950" spans="1:21" x14ac:dyDescent="0.3">
      <c r="A950" t="s">
        <v>219</v>
      </c>
      <c r="B950" t="s">
        <v>29</v>
      </c>
      <c r="C950" t="s">
        <v>16</v>
      </c>
      <c r="D950" s="1">
        <v>45931</v>
      </c>
      <c r="E950" s="1">
        <v>45936</v>
      </c>
      <c r="F950" s="1">
        <v>45941</v>
      </c>
      <c r="G950" s="1">
        <v>45945</v>
      </c>
      <c r="H950" t="s">
        <v>17</v>
      </c>
      <c r="I950">
        <v>0</v>
      </c>
      <c r="J950" t="s">
        <v>18</v>
      </c>
      <c r="K950" s="1">
        <v>45963</v>
      </c>
      <c r="L950">
        <v>5</v>
      </c>
      <c r="M950">
        <v>5</v>
      </c>
      <c r="N950">
        <v>4</v>
      </c>
      <c r="O950">
        <v>8</v>
      </c>
      <c r="P950" t="str">
        <f t="shared" si="28"/>
        <v>Passive</v>
      </c>
      <c r="Q950">
        <v>10</v>
      </c>
      <c r="R950" t="s">
        <v>1034</v>
      </c>
      <c r="S950">
        <v>10</v>
      </c>
      <c r="T950" t="s">
        <v>1034</v>
      </c>
      <c r="U950" t="str">
        <f t="shared" si="29"/>
        <v>Yes</v>
      </c>
    </row>
    <row r="951" spans="1:21" x14ac:dyDescent="0.3">
      <c r="A951" t="s">
        <v>128</v>
      </c>
      <c r="B951" t="s">
        <v>15</v>
      </c>
      <c r="C951" t="s">
        <v>16</v>
      </c>
      <c r="D951" s="1">
        <v>45932</v>
      </c>
      <c r="E951" s="1">
        <v>45935</v>
      </c>
      <c r="F951" s="1">
        <v>45937</v>
      </c>
      <c r="G951" s="1">
        <v>45943</v>
      </c>
      <c r="H951" t="s">
        <v>17</v>
      </c>
      <c r="I951">
        <v>0</v>
      </c>
      <c r="J951" t="s">
        <v>18</v>
      </c>
      <c r="K951" s="1">
        <v>45965</v>
      </c>
      <c r="L951">
        <v>3</v>
      </c>
      <c r="M951">
        <v>2</v>
      </c>
      <c r="N951">
        <v>6</v>
      </c>
      <c r="O951">
        <v>2</v>
      </c>
      <c r="P951" t="str">
        <f t="shared" si="28"/>
        <v>Detractor</v>
      </c>
      <c r="Q951">
        <v>10</v>
      </c>
      <c r="R951" t="s">
        <v>1034</v>
      </c>
      <c r="S951">
        <v>10</v>
      </c>
      <c r="T951" t="s">
        <v>1034</v>
      </c>
      <c r="U951" t="str">
        <f t="shared" si="29"/>
        <v>Yes</v>
      </c>
    </row>
    <row r="952" spans="1:21" x14ac:dyDescent="0.3">
      <c r="A952" t="s">
        <v>743</v>
      </c>
      <c r="B952" t="s">
        <v>27</v>
      </c>
      <c r="C952" t="s">
        <v>474</v>
      </c>
      <c r="D952" s="1">
        <v>45946</v>
      </c>
      <c r="E952" s="1">
        <v>45951</v>
      </c>
      <c r="F952" s="1">
        <v>45954</v>
      </c>
      <c r="G952" s="1">
        <v>45957</v>
      </c>
      <c r="H952" t="s">
        <v>17</v>
      </c>
      <c r="I952">
        <v>0</v>
      </c>
      <c r="J952" t="s">
        <v>18</v>
      </c>
      <c r="K952" s="1">
        <v>45982</v>
      </c>
      <c r="L952">
        <v>5</v>
      </c>
      <c r="M952">
        <v>3</v>
      </c>
      <c r="N952">
        <v>3</v>
      </c>
      <c r="O952">
        <v>3</v>
      </c>
      <c r="P952" t="str">
        <f t="shared" si="28"/>
        <v>Detractor</v>
      </c>
      <c r="Q952">
        <v>10</v>
      </c>
      <c r="R952" t="s">
        <v>1034</v>
      </c>
      <c r="S952">
        <v>10</v>
      </c>
      <c r="T952" t="s">
        <v>1034</v>
      </c>
      <c r="U952" t="str">
        <f t="shared" si="29"/>
        <v>Yes</v>
      </c>
    </row>
    <row r="953" spans="1:21" x14ac:dyDescent="0.3">
      <c r="A953" t="s">
        <v>744</v>
      </c>
      <c r="B953" t="s">
        <v>15</v>
      </c>
      <c r="C953" t="s">
        <v>474</v>
      </c>
      <c r="D953" s="1">
        <v>45958</v>
      </c>
      <c r="E953" s="1">
        <v>45963</v>
      </c>
      <c r="F953" s="1">
        <v>45964</v>
      </c>
      <c r="G953" s="1">
        <v>45966</v>
      </c>
      <c r="H953" t="s">
        <v>17</v>
      </c>
      <c r="I953">
        <v>0</v>
      </c>
      <c r="J953" t="s">
        <v>18</v>
      </c>
      <c r="K953" s="1">
        <v>45989</v>
      </c>
      <c r="L953">
        <v>5</v>
      </c>
      <c r="M953">
        <v>1</v>
      </c>
      <c r="N953">
        <v>2</v>
      </c>
      <c r="O953">
        <v>1</v>
      </c>
      <c r="P953" t="str">
        <f t="shared" si="28"/>
        <v>Detractor</v>
      </c>
      <c r="Q953">
        <v>11</v>
      </c>
      <c r="R953" t="s">
        <v>1035</v>
      </c>
      <c r="S953">
        <v>11</v>
      </c>
      <c r="T953" t="s">
        <v>1035</v>
      </c>
      <c r="U953" t="str">
        <f t="shared" si="29"/>
        <v>Yes</v>
      </c>
    </row>
    <row r="954" spans="1:21" x14ac:dyDescent="0.3">
      <c r="A954" t="s">
        <v>396</v>
      </c>
      <c r="B954" t="s">
        <v>15</v>
      </c>
      <c r="C954" t="s">
        <v>16</v>
      </c>
      <c r="D954" s="1">
        <v>45943</v>
      </c>
      <c r="E954" s="1">
        <v>45944</v>
      </c>
      <c r="F954" s="1">
        <v>45948</v>
      </c>
      <c r="G954" s="1">
        <v>45952</v>
      </c>
      <c r="H954" t="s">
        <v>17</v>
      </c>
      <c r="I954">
        <v>0</v>
      </c>
      <c r="J954" t="s">
        <v>18</v>
      </c>
      <c r="K954" s="1">
        <v>45982</v>
      </c>
      <c r="L954">
        <v>1</v>
      </c>
      <c r="M954">
        <v>4</v>
      </c>
      <c r="N954">
        <v>4</v>
      </c>
      <c r="O954">
        <v>1</v>
      </c>
      <c r="P954" t="str">
        <f t="shared" si="28"/>
        <v>Detractor</v>
      </c>
      <c r="Q954">
        <v>10</v>
      </c>
      <c r="R954" t="s">
        <v>1034</v>
      </c>
      <c r="S954">
        <v>10</v>
      </c>
      <c r="T954" t="s">
        <v>1034</v>
      </c>
      <c r="U954" t="str">
        <f t="shared" si="29"/>
        <v>Yes</v>
      </c>
    </row>
    <row r="955" spans="1:21" x14ac:dyDescent="0.3">
      <c r="A955" t="s">
        <v>469</v>
      </c>
      <c r="B955" t="s">
        <v>27</v>
      </c>
      <c r="C955" t="s">
        <v>16</v>
      </c>
      <c r="D955" s="1">
        <v>45944</v>
      </c>
      <c r="E955" s="1">
        <v>45946</v>
      </c>
      <c r="F955" s="1">
        <v>45947</v>
      </c>
      <c r="G955" s="1">
        <v>45949</v>
      </c>
      <c r="H955" t="s">
        <v>17</v>
      </c>
      <c r="I955">
        <v>0</v>
      </c>
      <c r="J955" t="s">
        <v>18</v>
      </c>
      <c r="K955" s="1">
        <v>45964</v>
      </c>
      <c r="L955">
        <v>2</v>
      </c>
      <c r="M955">
        <v>1</v>
      </c>
      <c r="N955">
        <v>2</v>
      </c>
      <c r="O955">
        <v>6</v>
      </c>
      <c r="P955" t="str">
        <f t="shared" si="28"/>
        <v>Detractor</v>
      </c>
      <c r="Q955">
        <v>10</v>
      </c>
      <c r="R955" t="s">
        <v>1034</v>
      </c>
      <c r="S955">
        <v>10</v>
      </c>
      <c r="T955" t="s">
        <v>1034</v>
      </c>
      <c r="U955" t="str">
        <f t="shared" si="29"/>
        <v>Yes</v>
      </c>
    </row>
    <row r="956" spans="1:21" x14ac:dyDescent="0.3">
      <c r="A956" t="s">
        <v>676</v>
      </c>
      <c r="B956" t="s">
        <v>27</v>
      </c>
      <c r="C956" t="s">
        <v>474</v>
      </c>
      <c r="D956" s="1">
        <v>45952</v>
      </c>
      <c r="E956" s="1">
        <v>45953</v>
      </c>
      <c r="F956" s="1">
        <v>45956</v>
      </c>
      <c r="G956" s="1">
        <v>45961</v>
      </c>
      <c r="H956" t="s">
        <v>17</v>
      </c>
      <c r="I956">
        <v>0</v>
      </c>
      <c r="J956" t="s">
        <v>18</v>
      </c>
      <c r="K956" s="1">
        <v>45974</v>
      </c>
      <c r="L956">
        <v>1</v>
      </c>
      <c r="M956">
        <v>3</v>
      </c>
      <c r="N956">
        <v>5</v>
      </c>
      <c r="O956">
        <v>1</v>
      </c>
      <c r="P956" t="str">
        <f t="shared" si="28"/>
        <v>Detractor</v>
      </c>
      <c r="Q956">
        <v>10</v>
      </c>
      <c r="R956" t="s">
        <v>1034</v>
      </c>
      <c r="S956">
        <v>10</v>
      </c>
      <c r="T956" t="s">
        <v>1034</v>
      </c>
      <c r="U956" t="str">
        <f t="shared" si="29"/>
        <v>Yes</v>
      </c>
    </row>
    <row r="957" spans="1:21" x14ac:dyDescent="0.3">
      <c r="A957" t="s">
        <v>316</v>
      </c>
      <c r="B957" t="s">
        <v>27</v>
      </c>
      <c r="C957" t="s">
        <v>16</v>
      </c>
      <c r="D957" s="1">
        <v>45934</v>
      </c>
      <c r="E957" s="1">
        <v>45938</v>
      </c>
      <c r="F957" s="1">
        <v>45942</v>
      </c>
      <c r="G957" s="1">
        <v>45948</v>
      </c>
      <c r="H957" t="s">
        <v>17</v>
      </c>
      <c r="I957">
        <v>0</v>
      </c>
      <c r="J957" t="s">
        <v>18</v>
      </c>
      <c r="K957" s="1">
        <v>45962</v>
      </c>
      <c r="L957">
        <v>4</v>
      </c>
      <c r="M957">
        <v>4</v>
      </c>
      <c r="N957">
        <v>6</v>
      </c>
      <c r="O957">
        <v>2</v>
      </c>
      <c r="P957" t="str">
        <f t="shared" si="28"/>
        <v>Detractor</v>
      </c>
      <c r="Q957">
        <v>10</v>
      </c>
      <c r="R957" t="s">
        <v>1034</v>
      </c>
      <c r="S957">
        <v>10</v>
      </c>
      <c r="T957" t="s">
        <v>1034</v>
      </c>
      <c r="U957" t="str">
        <f t="shared" si="29"/>
        <v>Yes</v>
      </c>
    </row>
    <row r="958" spans="1:21" x14ac:dyDescent="0.3">
      <c r="A958" t="s">
        <v>1019</v>
      </c>
      <c r="B958" t="s">
        <v>22</v>
      </c>
      <c r="C958" t="s">
        <v>841</v>
      </c>
      <c r="D958" s="1">
        <v>45946</v>
      </c>
      <c r="E958" s="1"/>
      <c r="F958" s="1"/>
      <c r="G958" s="1"/>
      <c r="H958" t="s">
        <v>752</v>
      </c>
      <c r="I958">
        <v>1</v>
      </c>
      <c r="J958" t="s">
        <v>765</v>
      </c>
      <c r="K958" s="1"/>
      <c r="P958" t="str">
        <f t="shared" si="28"/>
        <v>Not Applicable</v>
      </c>
      <c r="R958" t="s">
        <v>1036</v>
      </c>
      <c r="T958" t="s">
        <v>1036</v>
      </c>
      <c r="U958" t="str">
        <f t="shared" si="29"/>
        <v>No</v>
      </c>
    </row>
    <row r="959" spans="1:21" x14ac:dyDescent="0.3">
      <c r="A959" t="s">
        <v>129</v>
      </c>
      <c r="B959" t="s">
        <v>27</v>
      </c>
      <c r="C959" t="s">
        <v>16</v>
      </c>
      <c r="D959" s="1">
        <v>45953</v>
      </c>
      <c r="E959" s="1">
        <v>45956</v>
      </c>
      <c r="F959" s="1">
        <v>45957</v>
      </c>
      <c r="G959" s="1">
        <v>45961</v>
      </c>
      <c r="H959" t="s">
        <v>17</v>
      </c>
      <c r="I959">
        <v>0</v>
      </c>
      <c r="J959" t="s">
        <v>18</v>
      </c>
      <c r="K959" s="1">
        <v>45972</v>
      </c>
      <c r="L959">
        <v>3</v>
      </c>
      <c r="M959">
        <v>1</v>
      </c>
      <c r="N959">
        <v>4</v>
      </c>
      <c r="O959">
        <v>10</v>
      </c>
      <c r="P959" t="str">
        <f t="shared" si="28"/>
        <v>Promoter</v>
      </c>
      <c r="Q959">
        <v>10</v>
      </c>
      <c r="R959" t="s">
        <v>1034</v>
      </c>
      <c r="S959">
        <v>10</v>
      </c>
      <c r="T959" t="s">
        <v>1034</v>
      </c>
      <c r="U959" t="str">
        <f t="shared" si="29"/>
        <v>Yes</v>
      </c>
    </row>
    <row r="960" spans="1:21" x14ac:dyDescent="0.3">
      <c r="A960" t="s">
        <v>130</v>
      </c>
      <c r="B960" t="s">
        <v>27</v>
      </c>
      <c r="C960" t="s">
        <v>16</v>
      </c>
      <c r="D960" s="1">
        <v>45960</v>
      </c>
      <c r="E960" s="1">
        <v>45963</v>
      </c>
      <c r="F960" s="1">
        <v>45964</v>
      </c>
      <c r="G960" s="1">
        <v>45970</v>
      </c>
      <c r="H960" t="s">
        <v>17</v>
      </c>
      <c r="I960">
        <v>0</v>
      </c>
      <c r="J960" t="s">
        <v>18</v>
      </c>
      <c r="K960" s="1">
        <v>45985</v>
      </c>
      <c r="L960">
        <v>3</v>
      </c>
      <c r="M960">
        <v>1</v>
      </c>
      <c r="N960">
        <v>6</v>
      </c>
      <c r="O960">
        <v>1</v>
      </c>
      <c r="P960" t="str">
        <f t="shared" si="28"/>
        <v>Detractor</v>
      </c>
      <c r="Q960">
        <v>11</v>
      </c>
      <c r="R960" t="s">
        <v>1035</v>
      </c>
      <c r="S960">
        <v>11</v>
      </c>
      <c r="T960" t="s">
        <v>1035</v>
      </c>
      <c r="U960" t="str">
        <f t="shared" si="29"/>
        <v>Yes</v>
      </c>
    </row>
    <row r="961" spans="1:21" x14ac:dyDescent="0.3">
      <c r="A961" t="s">
        <v>1020</v>
      </c>
      <c r="B961" t="s">
        <v>27</v>
      </c>
      <c r="C961" t="s">
        <v>841</v>
      </c>
      <c r="D961" s="1">
        <v>45945</v>
      </c>
      <c r="E961" s="1"/>
      <c r="F961" s="1"/>
      <c r="G961" s="1"/>
      <c r="H961" t="s">
        <v>752</v>
      </c>
      <c r="I961">
        <v>1</v>
      </c>
      <c r="J961" t="s">
        <v>753</v>
      </c>
      <c r="K961" s="1"/>
      <c r="P961" t="str">
        <f t="shared" si="28"/>
        <v>Not Applicable</v>
      </c>
      <c r="R961" t="s">
        <v>1036</v>
      </c>
      <c r="T961" t="s">
        <v>1036</v>
      </c>
      <c r="U961" t="str">
        <f t="shared" si="29"/>
        <v>No</v>
      </c>
    </row>
    <row r="962" spans="1:21" x14ac:dyDescent="0.3">
      <c r="A962" t="s">
        <v>745</v>
      </c>
      <c r="B962" t="s">
        <v>27</v>
      </c>
      <c r="C962" t="s">
        <v>474</v>
      </c>
      <c r="D962" s="1">
        <v>45933</v>
      </c>
      <c r="E962" s="1">
        <v>45938</v>
      </c>
      <c r="F962" s="1">
        <v>45940</v>
      </c>
      <c r="G962" s="1">
        <v>45943</v>
      </c>
      <c r="H962" t="s">
        <v>17</v>
      </c>
      <c r="I962">
        <v>0</v>
      </c>
      <c r="J962" t="s">
        <v>18</v>
      </c>
      <c r="K962" s="1">
        <v>45956</v>
      </c>
      <c r="L962">
        <v>5</v>
      </c>
      <c r="M962">
        <v>2</v>
      </c>
      <c r="N962">
        <v>3</v>
      </c>
      <c r="O962">
        <v>8</v>
      </c>
      <c r="P962" t="str">
        <f t="shared" ref="P962:P1001" si="30">IF(ISBLANK(O962), "Not Applicable", IF(O962&gt;=9, "Promoter", IF(O962&gt;=7, "Passive", "Detractor")))</f>
        <v>Passive</v>
      </c>
      <c r="Q962">
        <v>10</v>
      </c>
      <c r="R962" t="s">
        <v>1034</v>
      </c>
      <c r="S962">
        <v>10</v>
      </c>
      <c r="T962" t="s">
        <v>1034</v>
      </c>
      <c r="U962" t="str">
        <f t="shared" ref="U962:U1001" si="31">IF(
H962="Yes","No",
IF(
OR(
C962="Hot",
AND(C962="Warm",NOT(ISBLANK(E962)))
),
"Yes",
"No"
)
)</f>
        <v>Yes</v>
      </c>
    </row>
    <row r="963" spans="1:21" x14ac:dyDescent="0.3">
      <c r="A963" t="s">
        <v>131</v>
      </c>
      <c r="B963" t="s">
        <v>29</v>
      </c>
      <c r="C963" t="s">
        <v>16</v>
      </c>
      <c r="D963" s="1">
        <v>45959</v>
      </c>
      <c r="E963" s="1">
        <v>45962</v>
      </c>
      <c r="F963" s="1">
        <v>45965</v>
      </c>
      <c r="G963" s="1">
        <v>45968</v>
      </c>
      <c r="H963" t="s">
        <v>17</v>
      </c>
      <c r="I963">
        <v>0</v>
      </c>
      <c r="J963" t="s">
        <v>18</v>
      </c>
      <c r="K963" s="1">
        <v>45991</v>
      </c>
      <c r="L963">
        <v>3</v>
      </c>
      <c r="M963">
        <v>3</v>
      </c>
      <c r="N963">
        <v>3</v>
      </c>
      <c r="O963">
        <v>6</v>
      </c>
      <c r="P963" t="str">
        <f t="shared" si="30"/>
        <v>Detractor</v>
      </c>
      <c r="Q963">
        <v>11</v>
      </c>
      <c r="R963" t="s">
        <v>1035</v>
      </c>
      <c r="S963">
        <v>11</v>
      </c>
      <c r="T963" t="s">
        <v>1035</v>
      </c>
      <c r="U963" t="str">
        <f t="shared" si="31"/>
        <v>Yes</v>
      </c>
    </row>
    <row r="964" spans="1:21" x14ac:dyDescent="0.3">
      <c r="A964" t="s">
        <v>1021</v>
      </c>
      <c r="B964" t="s">
        <v>22</v>
      </c>
      <c r="C964" t="s">
        <v>841</v>
      </c>
      <c r="D964" s="1">
        <v>45933</v>
      </c>
      <c r="E964" s="1"/>
      <c r="F964" s="1"/>
      <c r="G964" s="1"/>
      <c r="H964" t="s">
        <v>752</v>
      </c>
      <c r="I964">
        <v>1</v>
      </c>
      <c r="J964" t="s">
        <v>758</v>
      </c>
      <c r="K964" s="1"/>
      <c r="P964" t="str">
        <f t="shared" si="30"/>
        <v>Not Applicable</v>
      </c>
      <c r="R964" t="s">
        <v>1036</v>
      </c>
      <c r="T964" t="s">
        <v>1036</v>
      </c>
      <c r="U964" t="str">
        <f t="shared" si="31"/>
        <v>No</v>
      </c>
    </row>
    <row r="965" spans="1:21" x14ac:dyDescent="0.3">
      <c r="A965" t="s">
        <v>677</v>
      </c>
      <c r="B965" t="s">
        <v>15</v>
      </c>
      <c r="C965" t="s">
        <v>474</v>
      </c>
      <c r="D965" s="1">
        <v>45941</v>
      </c>
      <c r="E965" s="1">
        <v>45943</v>
      </c>
      <c r="F965" s="1">
        <v>45946</v>
      </c>
      <c r="G965" s="1">
        <v>45948</v>
      </c>
      <c r="H965" t="s">
        <v>17</v>
      </c>
      <c r="I965">
        <v>0</v>
      </c>
      <c r="J965" t="s">
        <v>18</v>
      </c>
      <c r="K965" s="1">
        <v>45976</v>
      </c>
      <c r="L965">
        <v>2</v>
      </c>
      <c r="M965">
        <v>3</v>
      </c>
      <c r="N965">
        <v>2</v>
      </c>
      <c r="O965">
        <v>3</v>
      </c>
      <c r="P965" t="str">
        <f t="shared" si="30"/>
        <v>Detractor</v>
      </c>
      <c r="Q965">
        <v>10</v>
      </c>
      <c r="R965" t="s">
        <v>1034</v>
      </c>
      <c r="S965">
        <v>10</v>
      </c>
      <c r="T965" t="s">
        <v>1034</v>
      </c>
      <c r="U965" t="str">
        <f t="shared" si="31"/>
        <v>Yes</v>
      </c>
    </row>
    <row r="966" spans="1:21" x14ac:dyDescent="0.3">
      <c r="A966" t="s">
        <v>470</v>
      </c>
      <c r="B966" t="s">
        <v>27</v>
      </c>
      <c r="C966" t="s">
        <v>16</v>
      </c>
      <c r="D966" s="1">
        <v>45950</v>
      </c>
      <c r="E966" s="1">
        <v>45952</v>
      </c>
      <c r="F966" s="1">
        <v>45955</v>
      </c>
      <c r="G966" s="1">
        <v>45958</v>
      </c>
      <c r="H966" t="s">
        <v>17</v>
      </c>
      <c r="I966">
        <v>0</v>
      </c>
      <c r="J966" t="s">
        <v>18</v>
      </c>
      <c r="K966" s="1">
        <v>45983</v>
      </c>
      <c r="L966">
        <v>2</v>
      </c>
      <c r="M966">
        <v>3</v>
      </c>
      <c r="N966">
        <v>3</v>
      </c>
      <c r="O966">
        <v>9</v>
      </c>
      <c r="P966" t="str">
        <f t="shared" si="30"/>
        <v>Promoter</v>
      </c>
      <c r="Q966">
        <v>10</v>
      </c>
      <c r="R966" t="s">
        <v>1034</v>
      </c>
      <c r="S966">
        <v>10</v>
      </c>
      <c r="T966" t="s">
        <v>1034</v>
      </c>
      <c r="U966" t="str">
        <f t="shared" si="31"/>
        <v>Yes</v>
      </c>
    </row>
    <row r="967" spans="1:21" x14ac:dyDescent="0.3">
      <c r="A967" t="s">
        <v>220</v>
      </c>
      <c r="B967" t="s">
        <v>29</v>
      </c>
      <c r="C967" t="s">
        <v>16</v>
      </c>
      <c r="D967" s="1">
        <v>45935</v>
      </c>
      <c r="E967" s="1">
        <v>45940</v>
      </c>
      <c r="F967" s="1">
        <v>45944</v>
      </c>
      <c r="G967" s="1">
        <v>45951</v>
      </c>
      <c r="H967" t="s">
        <v>17</v>
      </c>
      <c r="I967">
        <v>0</v>
      </c>
      <c r="J967" t="s">
        <v>18</v>
      </c>
      <c r="K967" s="1">
        <v>45979</v>
      </c>
      <c r="L967">
        <v>5</v>
      </c>
      <c r="M967">
        <v>4</v>
      </c>
      <c r="N967">
        <v>7</v>
      </c>
      <c r="O967">
        <v>7</v>
      </c>
      <c r="P967" t="str">
        <f t="shared" si="30"/>
        <v>Passive</v>
      </c>
      <c r="Q967">
        <v>10</v>
      </c>
      <c r="R967" t="s">
        <v>1034</v>
      </c>
      <c r="S967">
        <v>10</v>
      </c>
      <c r="T967" t="s">
        <v>1034</v>
      </c>
      <c r="U967" t="str">
        <f t="shared" si="31"/>
        <v>Yes</v>
      </c>
    </row>
    <row r="968" spans="1:21" x14ac:dyDescent="0.3">
      <c r="A968" t="s">
        <v>221</v>
      </c>
      <c r="B968" t="s">
        <v>29</v>
      </c>
      <c r="C968" t="s">
        <v>16</v>
      </c>
      <c r="D968" s="1">
        <v>45933</v>
      </c>
      <c r="E968" s="1">
        <v>45938</v>
      </c>
      <c r="F968" s="1">
        <v>45940</v>
      </c>
      <c r="G968" s="1">
        <v>45943</v>
      </c>
      <c r="H968" t="s">
        <v>17</v>
      </c>
      <c r="I968">
        <v>0</v>
      </c>
      <c r="J968" t="s">
        <v>18</v>
      </c>
      <c r="K968" s="1">
        <v>45967</v>
      </c>
      <c r="L968">
        <v>5</v>
      </c>
      <c r="M968">
        <v>2</v>
      </c>
      <c r="N968">
        <v>3</v>
      </c>
      <c r="O968">
        <v>4</v>
      </c>
      <c r="P968" t="str">
        <f t="shared" si="30"/>
        <v>Detractor</v>
      </c>
      <c r="Q968">
        <v>10</v>
      </c>
      <c r="R968" t="s">
        <v>1034</v>
      </c>
      <c r="S968">
        <v>10</v>
      </c>
      <c r="T968" t="s">
        <v>1034</v>
      </c>
      <c r="U968" t="str">
        <f t="shared" si="31"/>
        <v>Yes</v>
      </c>
    </row>
    <row r="969" spans="1:21" x14ac:dyDescent="0.3">
      <c r="A969" t="s">
        <v>317</v>
      </c>
      <c r="B969" t="s">
        <v>29</v>
      </c>
      <c r="C969" t="s">
        <v>16</v>
      </c>
      <c r="D969" s="1">
        <v>45935</v>
      </c>
      <c r="E969" s="1">
        <v>45939</v>
      </c>
      <c r="F969" s="1">
        <v>45944</v>
      </c>
      <c r="G969" s="1">
        <v>45948</v>
      </c>
      <c r="H969" t="s">
        <v>17</v>
      </c>
      <c r="I969">
        <v>0</v>
      </c>
      <c r="J969" t="s">
        <v>18</v>
      </c>
      <c r="K969" s="1">
        <v>45963</v>
      </c>
      <c r="L969">
        <v>4</v>
      </c>
      <c r="M969">
        <v>5</v>
      </c>
      <c r="N969">
        <v>4</v>
      </c>
      <c r="O969">
        <v>7</v>
      </c>
      <c r="P969" t="str">
        <f t="shared" si="30"/>
        <v>Passive</v>
      </c>
      <c r="Q969">
        <v>10</v>
      </c>
      <c r="R969" t="s">
        <v>1034</v>
      </c>
      <c r="S969">
        <v>10</v>
      </c>
      <c r="T969" t="s">
        <v>1034</v>
      </c>
      <c r="U969" t="str">
        <f t="shared" si="31"/>
        <v>Yes</v>
      </c>
    </row>
    <row r="970" spans="1:21" x14ac:dyDescent="0.3">
      <c r="A970" t="s">
        <v>1022</v>
      </c>
      <c r="B970" t="s">
        <v>15</v>
      </c>
      <c r="C970" t="s">
        <v>841</v>
      </c>
      <c r="D970" s="1">
        <v>45939</v>
      </c>
      <c r="E970" s="1"/>
      <c r="F970" s="1"/>
      <c r="G970" s="1"/>
      <c r="H970" t="s">
        <v>752</v>
      </c>
      <c r="I970">
        <v>1</v>
      </c>
      <c r="J970" t="s">
        <v>756</v>
      </c>
      <c r="K970" s="1"/>
      <c r="P970" t="str">
        <f t="shared" si="30"/>
        <v>Not Applicable</v>
      </c>
      <c r="R970" t="s">
        <v>1036</v>
      </c>
      <c r="T970" t="s">
        <v>1036</v>
      </c>
      <c r="U970" t="str">
        <f t="shared" si="31"/>
        <v>No</v>
      </c>
    </row>
    <row r="971" spans="1:21" x14ac:dyDescent="0.3">
      <c r="A971" t="s">
        <v>222</v>
      </c>
      <c r="B971" t="s">
        <v>27</v>
      </c>
      <c r="C971" t="s">
        <v>16</v>
      </c>
      <c r="D971" s="1">
        <v>45950</v>
      </c>
      <c r="E971" s="1">
        <v>45955</v>
      </c>
      <c r="F971" s="1">
        <v>45959</v>
      </c>
      <c r="G971" s="1">
        <v>45965</v>
      </c>
      <c r="H971" t="s">
        <v>17</v>
      </c>
      <c r="I971">
        <v>0</v>
      </c>
      <c r="J971" t="s">
        <v>18</v>
      </c>
      <c r="K971" s="1">
        <v>45994</v>
      </c>
      <c r="L971">
        <v>5</v>
      </c>
      <c r="M971">
        <v>4</v>
      </c>
      <c r="N971">
        <v>6</v>
      </c>
      <c r="O971">
        <v>6</v>
      </c>
      <c r="P971" t="str">
        <f t="shared" si="30"/>
        <v>Detractor</v>
      </c>
      <c r="Q971">
        <v>10</v>
      </c>
      <c r="R971" t="s">
        <v>1034</v>
      </c>
      <c r="S971">
        <v>11</v>
      </c>
      <c r="T971" t="s">
        <v>1035</v>
      </c>
      <c r="U971" t="str">
        <f t="shared" si="31"/>
        <v>Yes</v>
      </c>
    </row>
    <row r="972" spans="1:21" x14ac:dyDescent="0.3">
      <c r="A972" t="s">
        <v>678</v>
      </c>
      <c r="B972" t="s">
        <v>22</v>
      </c>
      <c r="C972" t="s">
        <v>474</v>
      </c>
      <c r="D972" s="1">
        <v>45951</v>
      </c>
      <c r="E972" s="1">
        <v>45952</v>
      </c>
      <c r="F972" s="1">
        <v>45955</v>
      </c>
      <c r="G972" s="1">
        <v>45962</v>
      </c>
      <c r="H972" t="s">
        <v>17</v>
      </c>
      <c r="I972">
        <v>0</v>
      </c>
      <c r="J972" t="s">
        <v>18</v>
      </c>
      <c r="K972" s="1">
        <v>45984</v>
      </c>
      <c r="L972">
        <v>1</v>
      </c>
      <c r="M972">
        <v>3</v>
      </c>
      <c r="N972">
        <v>7</v>
      </c>
      <c r="O972">
        <v>10</v>
      </c>
      <c r="P972" t="str">
        <f t="shared" si="30"/>
        <v>Promoter</v>
      </c>
      <c r="Q972">
        <v>10</v>
      </c>
      <c r="R972" t="s">
        <v>1034</v>
      </c>
      <c r="S972">
        <v>11</v>
      </c>
      <c r="T972" t="s">
        <v>1035</v>
      </c>
      <c r="U972" t="str">
        <f t="shared" si="31"/>
        <v>Yes</v>
      </c>
    </row>
    <row r="973" spans="1:21" x14ac:dyDescent="0.3">
      <c r="A973" t="s">
        <v>1023</v>
      </c>
      <c r="B973" t="s">
        <v>22</v>
      </c>
      <c r="C973" t="s">
        <v>841</v>
      </c>
      <c r="D973" s="1">
        <v>45949</v>
      </c>
      <c r="E973" s="1"/>
      <c r="F973" s="1"/>
      <c r="G973" s="1"/>
      <c r="H973" t="s">
        <v>752</v>
      </c>
      <c r="I973">
        <v>1</v>
      </c>
      <c r="J973" t="s">
        <v>765</v>
      </c>
      <c r="K973" s="1"/>
      <c r="P973" t="str">
        <f t="shared" si="30"/>
        <v>Not Applicable</v>
      </c>
      <c r="R973" t="s">
        <v>1036</v>
      </c>
      <c r="T973" t="s">
        <v>1036</v>
      </c>
      <c r="U973" t="str">
        <f t="shared" si="31"/>
        <v>No</v>
      </c>
    </row>
    <row r="974" spans="1:21" x14ac:dyDescent="0.3">
      <c r="A974" t="s">
        <v>679</v>
      </c>
      <c r="B974" t="s">
        <v>29</v>
      </c>
      <c r="C974" t="s">
        <v>474</v>
      </c>
      <c r="D974" s="1">
        <v>45948</v>
      </c>
      <c r="E974" s="1">
        <v>45949</v>
      </c>
      <c r="F974" s="1">
        <v>45953</v>
      </c>
      <c r="G974" s="1">
        <v>45955</v>
      </c>
      <c r="H974" t="s">
        <v>17</v>
      </c>
      <c r="I974">
        <v>0</v>
      </c>
      <c r="J974" t="s">
        <v>18</v>
      </c>
      <c r="K974" s="1">
        <v>45976</v>
      </c>
      <c r="L974">
        <v>1</v>
      </c>
      <c r="M974">
        <v>4</v>
      </c>
      <c r="N974">
        <v>2</v>
      </c>
      <c r="O974">
        <v>10</v>
      </c>
      <c r="P974" t="str">
        <f t="shared" si="30"/>
        <v>Promoter</v>
      </c>
      <c r="Q974">
        <v>10</v>
      </c>
      <c r="R974" t="s">
        <v>1034</v>
      </c>
      <c r="S974">
        <v>10</v>
      </c>
      <c r="T974" t="s">
        <v>1034</v>
      </c>
      <c r="U974" t="str">
        <f t="shared" si="31"/>
        <v>Yes</v>
      </c>
    </row>
    <row r="975" spans="1:21" x14ac:dyDescent="0.3">
      <c r="A975" t="s">
        <v>397</v>
      </c>
      <c r="B975" t="s">
        <v>15</v>
      </c>
      <c r="C975" t="s">
        <v>16</v>
      </c>
      <c r="D975" s="1">
        <v>45953</v>
      </c>
      <c r="E975" s="1">
        <v>45954</v>
      </c>
      <c r="F975" s="1">
        <v>45955</v>
      </c>
      <c r="G975" s="1">
        <v>45958</v>
      </c>
      <c r="H975" t="s">
        <v>17</v>
      </c>
      <c r="I975">
        <v>0</v>
      </c>
      <c r="J975" t="s">
        <v>18</v>
      </c>
      <c r="K975" s="1">
        <v>45987</v>
      </c>
      <c r="L975">
        <v>1</v>
      </c>
      <c r="M975">
        <v>1</v>
      </c>
      <c r="N975">
        <v>3</v>
      </c>
      <c r="O975">
        <v>9</v>
      </c>
      <c r="P975" t="str">
        <f t="shared" si="30"/>
        <v>Promoter</v>
      </c>
      <c r="Q975">
        <v>10</v>
      </c>
      <c r="R975" t="s">
        <v>1034</v>
      </c>
      <c r="S975">
        <v>10</v>
      </c>
      <c r="T975" t="s">
        <v>1034</v>
      </c>
      <c r="U975" t="str">
        <f t="shared" si="31"/>
        <v>Yes</v>
      </c>
    </row>
    <row r="976" spans="1:21" x14ac:dyDescent="0.3">
      <c r="A976" t="s">
        <v>471</v>
      </c>
      <c r="B976" t="s">
        <v>15</v>
      </c>
      <c r="C976" t="s">
        <v>16</v>
      </c>
      <c r="D976" s="1">
        <v>45941</v>
      </c>
      <c r="E976" s="1">
        <v>45943</v>
      </c>
      <c r="F976" s="1">
        <v>45947</v>
      </c>
      <c r="G976" s="1">
        <v>45953</v>
      </c>
      <c r="H976" t="s">
        <v>17</v>
      </c>
      <c r="I976">
        <v>0</v>
      </c>
      <c r="J976" t="s">
        <v>18</v>
      </c>
      <c r="K976" s="1">
        <v>45963</v>
      </c>
      <c r="L976">
        <v>2</v>
      </c>
      <c r="M976">
        <v>4</v>
      </c>
      <c r="N976">
        <v>6</v>
      </c>
      <c r="O976">
        <v>7</v>
      </c>
      <c r="P976" t="str">
        <f t="shared" si="30"/>
        <v>Passive</v>
      </c>
      <c r="Q976">
        <v>10</v>
      </c>
      <c r="R976" t="s">
        <v>1034</v>
      </c>
      <c r="S976">
        <v>10</v>
      </c>
      <c r="T976" t="s">
        <v>1034</v>
      </c>
      <c r="U976" t="str">
        <f t="shared" si="31"/>
        <v>Yes</v>
      </c>
    </row>
    <row r="977" spans="1:21" x14ac:dyDescent="0.3">
      <c r="A977" t="s">
        <v>838</v>
      </c>
      <c r="B977" t="s">
        <v>15</v>
      </c>
      <c r="C977" t="s">
        <v>16</v>
      </c>
      <c r="D977" s="1">
        <v>45943</v>
      </c>
      <c r="E977" s="1">
        <v>45946</v>
      </c>
      <c r="F977" s="1">
        <v>45950</v>
      </c>
      <c r="G977" s="1">
        <v>45955</v>
      </c>
      <c r="H977" t="s">
        <v>752</v>
      </c>
      <c r="I977">
        <v>1</v>
      </c>
      <c r="J977" t="s">
        <v>777</v>
      </c>
      <c r="K977" s="1"/>
      <c r="L977">
        <v>3</v>
      </c>
      <c r="M977">
        <v>4</v>
      </c>
      <c r="N977">
        <v>5</v>
      </c>
      <c r="P977" t="str">
        <f t="shared" si="30"/>
        <v>Not Applicable</v>
      </c>
      <c r="Q977">
        <v>10</v>
      </c>
      <c r="R977" t="s">
        <v>1034</v>
      </c>
      <c r="S977">
        <v>10</v>
      </c>
      <c r="T977" t="s">
        <v>1034</v>
      </c>
      <c r="U977" t="str">
        <f t="shared" si="31"/>
        <v>No</v>
      </c>
    </row>
    <row r="978" spans="1:21" x14ac:dyDescent="0.3">
      <c r="A978" t="s">
        <v>839</v>
      </c>
      <c r="B978" t="s">
        <v>22</v>
      </c>
      <c r="C978" t="s">
        <v>16</v>
      </c>
      <c r="D978" s="1">
        <v>45950</v>
      </c>
      <c r="E978" s="1">
        <v>45954</v>
      </c>
      <c r="F978" s="1">
        <v>45957</v>
      </c>
      <c r="G978" s="1">
        <v>45961</v>
      </c>
      <c r="H978" t="s">
        <v>752</v>
      </c>
      <c r="I978">
        <v>1</v>
      </c>
      <c r="J978" t="s">
        <v>765</v>
      </c>
      <c r="K978" s="1"/>
      <c r="L978">
        <v>4</v>
      </c>
      <c r="M978">
        <v>3</v>
      </c>
      <c r="N978">
        <v>4</v>
      </c>
      <c r="P978" t="str">
        <f t="shared" si="30"/>
        <v>Not Applicable</v>
      </c>
      <c r="Q978">
        <v>10</v>
      </c>
      <c r="R978" t="s">
        <v>1034</v>
      </c>
      <c r="S978">
        <v>10</v>
      </c>
      <c r="T978" t="s">
        <v>1034</v>
      </c>
      <c r="U978" t="str">
        <f t="shared" si="31"/>
        <v>No</v>
      </c>
    </row>
    <row r="979" spans="1:21" x14ac:dyDescent="0.3">
      <c r="A979" t="s">
        <v>1024</v>
      </c>
      <c r="B979" t="s">
        <v>29</v>
      </c>
      <c r="C979" t="s">
        <v>841</v>
      </c>
      <c r="D979" s="1">
        <v>45947</v>
      </c>
      <c r="E979" s="1"/>
      <c r="F979" s="1"/>
      <c r="G979" s="1"/>
      <c r="H979" t="s">
        <v>752</v>
      </c>
      <c r="I979">
        <v>1</v>
      </c>
      <c r="J979" t="s">
        <v>756</v>
      </c>
      <c r="K979" s="1"/>
      <c r="P979" t="str">
        <f t="shared" si="30"/>
        <v>Not Applicable</v>
      </c>
      <c r="R979" t="s">
        <v>1036</v>
      </c>
      <c r="T979" t="s">
        <v>1036</v>
      </c>
      <c r="U979" t="str">
        <f t="shared" si="31"/>
        <v>No</v>
      </c>
    </row>
    <row r="980" spans="1:21" x14ac:dyDescent="0.3">
      <c r="A980" t="s">
        <v>223</v>
      </c>
      <c r="B980" t="s">
        <v>27</v>
      </c>
      <c r="C980" t="s">
        <v>16</v>
      </c>
      <c r="D980" s="1">
        <v>45940</v>
      </c>
      <c r="E980" s="1">
        <v>45945</v>
      </c>
      <c r="F980" s="1">
        <v>45946</v>
      </c>
      <c r="G980" s="1">
        <v>45949</v>
      </c>
      <c r="H980" t="s">
        <v>17</v>
      </c>
      <c r="I980">
        <v>0</v>
      </c>
      <c r="J980" t="s">
        <v>18</v>
      </c>
      <c r="K980" s="1">
        <v>45963</v>
      </c>
      <c r="L980">
        <v>5</v>
      </c>
      <c r="M980">
        <v>1</v>
      </c>
      <c r="N980">
        <v>3</v>
      </c>
      <c r="O980">
        <v>8</v>
      </c>
      <c r="P980" t="str">
        <f t="shared" si="30"/>
        <v>Passive</v>
      </c>
      <c r="Q980">
        <v>10</v>
      </c>
      <c r="R980" t="s">
        <v>1034</v>
      </c>
      <c r="S980">
        <v>10</v>
      </c>
      <c r="T980" t="s">
        <v>1034</v>
      </c>
      <c r="U980" t="str">
        <f t="shared" si="31"/>
        <v>Yes</v>
      </c>
    </row>
    <row r="981" spans="1:21" x14ac:dyDescent="0.3">
      <c r="A981" t="s">
        <v>318</v>
      </c>
      <c r="B981" t="s">
        <v>22</v>
      </c>
      <c r="C981" t="s">
        <v>16</v>
      </c>
      <c r="D981" s="1">
        <v>45945</v>
      </c>
      <c r="E981" s="1">
        <v>45949</v>
      </c>
      <c r="F981" s="1">
        <v>45952</v>
      </c>
      <c r="G981" s="1">
        <v>45955</v>
      </c>
      <c r="H981" t="s">
        <v>17</v>
      </c>
      <c r="I981">
        <v>0</v>
      </c>
      <c r="J981" t="s">
        <v>18</v>
      </c>
      <c r="K981" s="1">
        <v>45980</v>
      </c>
      <c r="L981">
        <v>4</v>
      </c>
      <c r="M981">
        <v>3</v>
      </c>
      <c r="N981">
        <v>3</v>
      </c>
      <c r="O981">
        <v>5</v>
      </c>
      <c r="P981" t="str">
        <f t="shared" si="30"/>
        <v>Detractor</v>
      </c>
      <c r="Q981">
        <v>10</v>
      </c>
      <c r="R981" t="s">
        <v>1034</v>
      </c>
      <c r="S981">
        <v>10</v>
      </c>
      <c r="T981" t="s">
        <v>1034</v>
      </c>
      <c r="U981" t="str">
        <f t="shared" si="31"/>
        <v>Yes</v>
      </c>
    </row>
    <row r="982" spans="1:21" x14ac:dyDescent="0.3">
      <c r="A982" t="s">
        <v>680</v>
      </c>
      <c r="B982" t="s">
        <v>29</v>
      </c>
      <c r="C982" t="s">
        <v>474</v>
      </c>
      <c r="D982" s="1">
        <v>45947</v>
      </c>
      <c r="E982" s="1">
        <v>45949</v>
      </c>
      <c r="F982" s="1">
        <v>45950</v>
      </c>
      <c r="G982" s="1">
        <v>45953</v>
      </c>
      <c r="H982" t="s">
        <v>17</v>
      </c>
      <c r="I982">
        <v>0</v>
      </c>
      <c r="J982" t="s">
        <v>18</v>
      </c>
      <c r="K982" s="1">
        <v>45978</v>
      </c>
      <c r="L982">
        <v>2</v>
      </c>
      <c r="M982">
        <v>1</v>
      </c>
      <c r="N982">
        <v>3</v>
      </c>
      <c r="O982">
        <v>0</v>
      </c>
      <c r="P982" t="str">
        <f t="shared" si="30"/>
        <v>Detractor</v>
      </c>
      <c r="Q982">
        <v>10</v>
      </c>
      <c r="R982" t="s">
        <v>1034</v>
      </c>
      <c r="S982">
        <v>10</v>
      </c>
      <c r="T982" t="s">
        <v>1034</v>
      </c>
      <c r="U982" t="str">
        <f t="shared" si="31"/>
        <v>Yes</v>
      </c>
    </row>
    <row r="983" spans="1:21" x14ac:dyDescent="0.3">
      <c r="A983" t="s">
        <v>1025</v>
      </c>
      <c r="B983" t="s">
        <v>29</v>
      </c>
      <c r="C983" t="s">
        <v>841</v>
      </c>
      <c r="D983" s="1">
        <v>45950</v>
      </c>
      <c r="E983" s="1"/>
      <c r="F983" s="1"/>
      <c r="G983" s="1"/>
      <c r="H983" t="s">
        <v>752</v>
      </c>
      <c r="I983">
        <v>1</v>
      </c>
      <c r="J983" t="s">
        <v>758</v>
      </c>
      <c r="K983" s="1"/>
      <c r="P983" t="str">
        <f t="shared" si="30"/>
        <v>Not Applicable</v>
      </c>
      <c r="R983" t="s">
        <v>1036</v>
      </c>
      <c r="T983" t="s">
        <v>1036</v>
      </c>
      <c r="U983" t="str">
        <f t="shared" si="31"/>
        <v>No</v>
      </c>
    </row>
    <row r="984" spans="1:21" x14ac:dyDescent="0.3">
      <c r="A984" t="s">
        <v>1026</v>
      </c>
      <c r="B984" t="s">
        <v>27</v>
      </c>
      <c r="C984" t="s">
        <v>841</v>
      </c>
      <c r="D984" s="1">
        <v>45944</v>
      </c>
      <c r="E984" s="1"/>
      <c r="F984" s="1"/>
      <c r="G984" s="1"/>
      <c r="H984" t="s">
        <v>752</v>
      </c>
      <c r="I984">
        <v>1</v>
      </c>
      <c r="J984" t="s">
        <v>756</v>
      </c>
      <c r="K984" s="1"/>
      <c r="P984" t="str">
        <f t="shared" si="30"/>
        <v>Not Applicable</v>
      </c>
      <c r="R984" t="s">
        <v>1036</v>
      </c>
      <c r="T984" t="s">
        <v>1036</v>
      </c>
      <c r="U984" t="str">
        <f t="shared" si="31"/>
        <v>No</v>
      </c>
    </row>
    <row r="985" spans="1:21" x14ac:dyDescent="0.3">
      <c r="A985" t="s">
        <v>224</v>
      </c>
      <c r="B985" t="s">
        <v>27</v>
      </c>
      <c r="C985" t="s">
        <v>16</v>
      </c>
      <c r="D985" s="1">
        <v>45934</v>
      </c>
      <c r="E985" s="1">
        <v>45939</v>
      </c>
      <c r="F985" s="1">
        <v>45940</v>
      </c>
      <c r="G985" s="1">
        <v>45946</v>
      </c>
      <c r="H985" t="s">
        <v>17</v>
      </c>
      <c r="I985">
        <v>0</v>
      </c>
      <c r="J985" t="s">
        <v>18</v>
      </c>
      <c r="K985" s="1">
        <v>45959</v>
      </c>
      <c r="L985">
        <v>5</v>
      </c>
      <c r="M985">
        <v>1</v>
      </c>
      <c r="N985">
        <v>6</v>
      </c>
      <c r="O985">
        <v>2</v>
      </c>
      <c r="P985" t="str">
        <f t="shared" si="30"/>
        <v>Detractor</v>
      </c>
      <c r="Q985">
        <v>10</v>
      </c>
      <c r="R985" t="s">
        <v>1034</v>
      </c>
      <c r="S985">
        <v>10</v>
      </c>
      <c r="T985" t="s">
        <v>1034</v>
      </c>
      <c r="U985" t="str">
        <f t="shared" si="31"/>
        <v>Yes</v>
      </c>
    </row>
    <row r="986" spans="1:21" x14ac:dyDescent="0.3">
      <c r="A986" t="s">
        <v>746</v>
      </c>
      <c r="B986" t="s">
        <v>27</v>
      </c>
      <c r="C986" t="s">
        <v>474</v>
      </c>
      <c r="D986" s="1">
        <v>45956</v>
      </c>
      <c r="E986" s="1">
        <v>45961</v>
      </c>
      <c r="F986" s="1">
        <v>45962</v>
      </c>
      <c r="G986" s="1">
        <v>45966</v>
      </c>
      <c r="H986" t="s">
        <v>17</v>
      </c>
      <c r="I986">
        <v>0</v>
      </c>
      <c r="J986" t="s">
        <v>18</v>
      </c>
      <c r="K986" s="1">
        <v>45989</v>
      </c>
      <c r="L986">
        <v>5</v>
      </c>
      <c r="M986">
        <v>1</v>
      </c>
      <c r="N986">
        <v>4</v>
      </c>
      <c r="O986">
        <v>2</v>
      </c>
      <c r="P986" t="str">
        <f t="shared" si="30"/>
        <v>Detractor</v>
      </c>
      <c r="Q986">
        <v>10</v>
      </c>
      <c r="R986" t="s">
        <v>1034</v>
      </c>
      <c r="S986">
        <v>11</v>
      </c>
      <c r="T986" t="s">
        <v>1035</v>
      </c>
      <c r="U986" t="str">
        <f t="shared" si="31"/>
        <v>Yes</v>
      </c>
    </row>
    <row r="987" spans="1:21" x14ac:dyDescent="0.3">
      <c r="A987" t="s">
        <v>681</v>
      </c>
      <c r="B987" t="s">
        <v>15</v>
      </c>
      <c r="C987" t="s">
        <v>474</v>
      </c>
      <c r="D987" s="1">
        <v>45953</v>
      </c>
      <c r="E987" s="1">
        <v>45955</v>
      </c>
      <c r="F987" s="1">
        <v>45958</v>
      </c>
      <c r="G987" s="1">
        <v>45965</v>
      </c>
      <c r="H987" t="s">
        <v>17</v>
      </c>
      <c r="I987">
        <v>0</v>
      </c>
      <c r="J987" t="s">
        <v>18</v>
      </c>
      <c r="K987" s="1">
        <v>45989</v>
      </c>
      <c r="L987">
        <v>2</v>
      </c>
      <c r="M987">
        <v>3</v>
      </c>
      <c r="N987">
        <v>7</v>
      </c>
      <c r="O987">
        <v>7</v>
      </c>
      <c r="P987" t="str">
        <f t="shared" si="30"/>
        <v>Passive</v>
      </c>
      <c r="Q987">
        <v>10</v>
      </c>
      <c r="R987" t="s">
        <v>1034</v>
      </c>
      <c r="S987">
        <v>11</v>
      </c>
      <c r="T987" t="s">
        <v>1035</v>
      </c>
      <c r="U987" t="str">
        <f t="shared" si="31"/>
        <v>Yes</v>
      </c>
    </row>
    <row r="988" spans="1:21" x14ac:dyDescent="0.3">
      <c r="A988" t="s">
        <v>682</v>
      </c>
      <c r="B988" t="s">
        <v>27</v>
      </c>
      <c r="C988" t="s">
        <v>474</v>
      </c>
      <c r="D988" s="1">
        <v>45934</v>
      </c>
      <c r="E988" s="1">
        <v>45937</v>
      </c>
      <c r="F988" s="1">
        <v>45938</v>
      </c>
      <c r="G988" s="1">
        <v>45945</v>
      </c>
      <c r="H988" t="s">
        <v>17</v>
      </c>
      <c r="I988">
        <v>0</v>
      </c>
      <c r="J988" t="s">
        <v>18</v>
      </c>
      <c r="K988" s="1">
        <v>45956</v>
      </c>
      <c r="L988">
        <v>3</v>
      </c>
      <c r="M988">
        <v>1</v>
      </c>
      <c r="N988">
        <v>7</v>
      </c>
      <c r="O988">
        <v>8</v>
      </c>
      <c r="P988" t="str">
        <f t="shared" si="30"/>
        <v>Passive</v>
      </c>
      <c r="Q988">
        <v>10</v>
      </c>
      <c r="R988" t="s">
        <v>1034</v>
      </c>
      <c r="S988">
        <v>10</v>
      </c>
      <c r="T988" t="s">
        <v>1034</v>
      </c>
      <c r="U988" t="str">
        <f t="shared" si="31"/>
        <v>Yes</v>
      </c>
    </row>
    <row r="989" spans="1:21" x14ac:dyDescent="0.3">
      <c r="A989" t="s">
        <v>747</v>
      </c>
      <c r="B989" t="s">
        <v>29</v>
      </c>
      <c r="C989" t="s">
        <v>474</v>
      </c>
      <c r="D989" s="1">
        <v>45958</v>
      </c>
      <c r="E989" s="1">
        <v>45963</v>
      </c>
      <c r="F989" s="1">
        <v>45965</v>
      </c>
      <c r="G989" s="1">
        <v>45969</v>
      </c>
      <c r="H989" t="s">
        <v>17</v>
      </c>
      <c r="I989">
        <v>0</v>
      </c>
      <c r="J989" t="s">
        <v>18</v>
      </c>
      <c r="K989" s="1">
        <v>45981</v>
      </c>
      <c r="L989">
        <v>5</v>
      </c>
      <c r="M989">
        <v>2</v>
      </c>
      <c r="N989">
        <v>4</v>
      </c>
      <c r="O989">
        <v>0</v>
      </c>
      <c r="P989" t="str">
        <f t="shared" si="30"/>
        <v>Detractor</v>
      </c>
      <c r="Q989">
        <v>11</v>
      </c>
      <c r="R989" t="s">
        <v>1035</v>
      </c>
      <c r="S989">
        <v>11</v>
      </c>
      <c r="T989" t="s">
        <v>1035</v>
      </c>
      <c r="U989" t="str">
        <f t="shared" si="31"/>
        <v>Yes</v>
      </c>
    </row>
    <row r="990" spans="1:21" x14ac:dyDescent="0.3">
      <c r="A990" t="s">
        <v>132</v>
      </c>
      <c r="B990" t="s">
        <v>27</v>
      </c>
      <c r="C990" t="s">
        <v>16</v>
      </c>
      <c r="D990" s="1">
        <v>45951</v>
      </c>
      <c r="E990" s="1">
        <v>45954</v>
      </c>
      <c r="F990" s="1">
        <v>45956</v>
      </c>
      <c r="G990" s="1">
        <v>45962</v>
      </c>
      <c r="H990" t="s">
        <v>17</v>
      </c>
      <c r="I990">
        <v>0</v>
      </c>
      <c r="J990" t="s">
        <v>18</v>
      </c>
      <c r="K990" s="1">
        <v>45980</v>
      </c>
      <c r="L990">
        <v>3</v>
      </c>
      <c r="M990">
        <v>2</v>
      </c>
      <c r="N990">
        <v>6</v>
      </c>
      <c r="O990">
        <v>4</v>
      </c>
      <c r="P990" t="str">
        <f t="shared" si="30"/>
        <v>Detractor</v>
      </c>
      <c r="Q990">
        <v>10</v>
      </c>
      <c r="R990" t="s">
        <v>1034</v>
      </c>
      <c r="S990">
        <v>11</v>
      </c>
      <c r="T990" t="s">
        <v>1035</v>
      </c>
      <c r="U990" t="str">
        <f t="shared" si="31"/>
        <v>Yes</v>
      </c>
    </row>
    <row r="991" spans="1:21" x14ac:dyDescent="0.3">
      <c r="A991" t="s">
        <v>1027</v>
      </c>
      <c r="B991" t="s">
        <v>29</v>
      </c>
      <c r="C991" t="s">
        <v>841</v>
      </c>
      <c r="D991" s="1">
        <v>45951</v>
      </c>
      <c r="E991" s="1"/>
      <c r="F991" s="1"/>
      <c r="G991" s="1"/>
      <c r="H991" t="s">
        <v>752</v>
      </c>
      <c r="I991">
        <v>1</v>
      </c>
      <c r="J991" t="s">
        <v>777</v>
      </c>
      <c r="K991" s="1"/>
      <c r="P991" t="str">
        <f t="shared" si="30"/>
        <v>Not Applicable</v>
      </c>
      <c r="R991" t="s">
        <v>1036</v>
      </c>
      <c r="T991" t="s">
        <v>1036</v>
      </c>
      <c r="U991" t="str">
        <f t="shared" si="31"/>
        <v>No</v>
      </c>
    </row>
    <row r="992" spans="1:21" x14ac:dyDescent="0.3">
      <c r="A992" t="s">
        <v>472</v>
      </c>
      <c r="B992" t="s">
        <v>22</v>
      </c>
      <c r="C992" t="s">
        <v>16</v>
      </c>
      <c r="D992" s="1">
        <v>45959</v>
      </c>
      <c r="E992" s="1">
        <v>45961</v>
      </c>
      <c r="F992" s="1">
        <v>45966</v>
      </c>
      <c r="G992" s="1">
        <v>45968</v>
      </c>
      <c r="H992" t="s">
        <v>17</v>
      </c>
      <c r="I992">
        <v>0</v>
      </c>
      <c r="J992" t="s">
        <v>18</v>
      </c>
      <c r="K992" s="1">
        <v>45998</v>
      </c>
      <c r="L992">
        <v>2</v>
      </c>
      <c r="M992">
        <v>5</v>
      </c>
      <c r="N992">
        <v>2</v>
      </c>
      <c r="O992">
        <v>6</v>
      </c>
      <c r="P992" t="str">
        <f t="shared" si="30"/>
        <v>Detractor</v>
      </c>
      <c r="Q992">
        <v>10</v>
      </c>
      <c r="R992" t="s">
        <v>1034</v>
      </c>
      <c r="S992">
        <v>11</v>
      </c>
      <c r="T992" t="s">
        <v>1035</v>
      </c>
      <c r="U992" t="str">
        <f t="shared" si="31"/>
        <v>Yes</v>
      </c>
    </row>
    <row r="993" spans="1:21" x14ac:dyDescent="0.3">
      <c r="A993" t="s">
        <v>683</v>
      </c>
      <c r="B993" t="s">
        <v>15</v>
      </c>
      <c r="C993" t="s">
        <v>474</v>
      </c>
      <c r="D993" s="1">
        <v>45955</v>
      </c>
      <c r="E993" s="1">
        <v>45959</v>
      </c>
      <c r="F993" s="1">
        <v>45961</v>
      </c>
      <c r="G993" s="1">
        <v>45968</v>
      </c>
      <c r="H993" t="s">
        <v>17</v>
      </c>
      <c r="I993">
        <v>0</v>
      </c>
      <c r="J993" t="s">
        <v>18</v>
      </c>
      <c r="K993" s="1">
        <v>45988</v>
      </c>
      <c r="L993">
        <v>4</v>
      </c>
      <c r="M993">
        <v>2</v>
      </c>
      <c r="N993">
        <v>7</v>
      </c>
      <c r="O993">
        <v>3</v>
      </c>
      <c r="P993" t="str">
        <f t="shared" si="30"/>
        <v>Detractor</v>
      </c>
      <c r="Q993">
        <v>10</v>
      </c>
      <c r="R993" t="s">
        <v>1034</v>
      </c>
      <c r="S993">
        <v>11</v>
      </c>
      <c r="T993" t="s">
        <v>1035</v>
      </c>
      <c r="U993" t="str">
        <f t="shared" si="31"/>
        <v>Yes</v>
      </c>
    </row>
    <row r="994" spans="1:21" x14ac:dyDescent="0.3">
      <c r="A994" t="s">
        <v>748</v>
      </c>
      <c r="B994" t="s">
        <v>22</v>
      </c>
      <c r="C994" t="s">
        <v>474</v>
      </c>
      <c r="D994" s="1">
        <v>45948</v>
      </c>
      <c r="E994" s="1">
        <v>45953</v>
      </c>
      <c r="F994" s="1">
        <v>45958</v>
      </c>
      <c r="G994" s="1">
        <v>45965</v>
      </c>
      <c r="H994" t="s">
        <v>17</v>
      </c>
      <c r="I994">
        <v>0</v>
      </c>
      <c r="J994" t="s">
        <v>18</v>
      </c>
      <c r="K994" s="1">
        <v>45975</v>
      </c>
      <c r="L994">
        <v>5</v>
      </c>
      <c r="M994">
        <v>5</v>
      </c>
      <c r="N994">
        <v>7</v>
      </c>
      <c r="O994">
        <v>5</v>
      </c>
      <c r="P994" t="str">
        <f t="shared" si="30"/>
        <v>Detractor</v>
      </c>
      <c r="Q994">
        <v>10</v>
      </c>
      <c r="R994" t="s">
        <v>1034</v>
      </c>
      <c r="S994">
        <v>11</v>
      </c>
      <c r="T994" t="s">
        <v>1035</v>
      </c>
      <c r="U994" t="str">
        <f t="shared" si="31"/>
        <v>Yes</v>
      </c>
    </row>
    <row r="995" spans="1:21" x14ac:dyDescent="0.3">
      <c r="A995" t="s">
        <v>684</v>
      </c>
      <c r="B995" t="s">
        <v>22</v>
      </c>
      <c r="C995" t="s">
        <v>474</v>
      </c>
      <c r="D995" s="1">
        <v>45954</v>
      </c>
      <c r="E995" s="1">
        <v>45957</v>
      </c>
      <c r="F995" s="1">
        <v>45959</v>
      </c>
      <c r="G995" s="1">
        <v>45963</v>
      </c>
      <c r="H995" t="s">
        <v>17</v>
      </c>
      <c r="I995">
        <v>0</v>
      </c>
      <c r="J995" t="s">
        <v>18</v>
      </c>
      <c r="K995" s="1">
        <v>45989</v>
      </c>
      <c r="L995">
        <v>3</v>
      </c>
      <c r="M995">
        <v>2</v>
      </c>
      <c r="N995">
        <v>4</v>
      </c>
      <c r="O995">
        <v>7</v>
      </c>
      <c r="P995" t="str">
        <f t="shared" si="30"/>
        <v>Passive</v>
      </c>
      <c r="Q995">
        <v>10</v>
      </c>
      <c r="R995" t="s">
        <v>1034</v>
      </c>
      <c r="S995">
        <v>11</v>
      </c>
      <c r="T995" t="s">
        <v>1035</v>
      </c>
      <c r="U995" t="str">
        <f t="shared" si="31"/>
        <v>Yes</v>
      </c>
    </row>
    <row r="996" spans="1:21" x14ac:dyDescent="0.3">
      <c r="A996" t="s">
        <v>749</v>
      </c>
      <c r="B996" t="s">
        <v>29</v>
      </c>
      <c r="C996" t="s">
        <v>474</v>
      </c>
      <c r="D996" s="1">
        <v>45958</v>
      </c>
      <c r="E996" s="1">
        <v>45963</v>
      </c>
      <c r="F996" s="1">
        <v>45966</v>
      </c>
      <c r="G996" s="1">
        <v>45972</v>
      </c>
      <c r="H996" t="s">
        <v>17</v>
      </c>
      <c r="I996">
        <v>0</v>
      </c>
      <c r="J996" t="s">
        <v>18</v>
      </c>
      <c r="K996" s="1">
        <v>46000</v>
      </c>
      <c r="L996">
        <v>5</v>
      </c>
      <c r="M996">
        <v>3</v>
      </c>
      <c r="N996">
        <v>6</v>
      </c>
      <c r="O996">
        <v>1</v>
      </c>
      <c r="P996" t="str">
        <f t="shared" si="30"/>
        <v>Detractor</v>
      </c>
      <c r="Q996">
        <v>11</v>
      </c>
      <c r="R996" t="s">
        <v>1035</v>
      </c>
      <c r="S996">
        <v>11</v>
      </c>
      <c r="T996" t="s">
        <v>1035</v>
      </c>
      <c r="U996" t="str">
        <f t="shared" si="31"/>
        <v>Yes</v>
      </c>
    </row>
    <row r="997" spans="1:21" x14ac:dyDescent="0.3">
      <c r="A997" t="s">
        <v>685</v>
      </c>
      <c r="B997" t="s">
        <v>22</v>
      </c>
      <c r="C997" t="s">
        <v>474</v>
      </c>
      <c r="D997" s="1">
        <v>45937</v>
      </c>
      <c r="E997" s="1">
        <v>45940</v>
      </c>
      <c r="F997" s="1">
        <v>45945</v>
      </c>
      <c r="G997" s="1">
        <v>45951</v>
      </c>
      <c r="H997" t="s">
        <v>17</v>
      </c>
      <c r="I997">
        <v>0</v>
      </c>
      <c r="J997" t="s">
        <v>18</v>
      </c>
      <c r="K997" s="1">
        <v>45979</v>
      </c>
      <c r="L997">
        <v>3</v>
      </c>
      <c r="M997">
        <v>5</v>
      </c>
      <c r="N997">
        <v>6</v>
      </c>
      <c r="O997">
        <v>5</v>
      </c>
      <c r="P997" t="str">
        <f t="shared" si="30"/>
        <v>Detractor</v>
      </c>
      <c r="Q997">
        <v>10</v>
      </c>
      <c r="R997" t="s">
        <v>1034</v>
      </c>
      <c r="S997">
        <v>10</v>
      </c>
      <c r="T997" t="s">
        <v>1034</v>
      </c>
      <c r="U997" t="str">
        <f t="shared" si="31"/>
        <v>Yes</v>
      </c>
    </row>
    <row r="998" spans="1:21" x14ac:dyDescent="0.3">
      <c r="A998" t="s">
        <v>750</v>
      </c>
      <c r="B998" t="s">
        <v>29</v>
      </c>
      <c r="C998" t="s">
        <v>474</v>
      </c>
      <c r="D998" s="1">
        <v>45944</v>
      </c>
      <c r="E998" s="1">
        <v>45949</v>
      </c>
      <c r="F998" s="1">
        <v>45953</v>
      </c>
      <c r="G998" s="1">
        <v>45956</v>
      </c>
      <c r="H998" t="s">
        <v>17</v>
      </c>
      <c r="I998">
        <v>0</v>
      </c>
      <c r="J998" t="s">
        <v>18</v>
      </c>
      <c r="K998" s="1">
        <v>45973</v>
      </c>
      <c r="L998">
        <v>5</v>
      </c>
      <c r="M998">
        <v>4</v>
      </c>
      <c r="N998">
        <v>3</v>
      </c>
      <c r="O998">
        <v>7</v>
      </c>
      <c r="P998" t="str">
        <f t="shared" si="30"/>
        <v>Passive</v>
      </c>
      <c r="Q998">
        <v>10</v>
      </c>
      <c r="R998" t="s">
        <v>1034</v>
      </c>
      <c r="S998">
        <v>10</v>
      </c>
      <c r="T998" t="s">
        <v>1034</v>
      </c>
      <c r="U998" t="str">
        <f t="shared" si="31"/>
        <v>Yes</v>
      </c>
    </row>
    <row r="999" spans="1:21" x14ac:dyDescent="0.3">
      <c r="A999" t="s">
        <v>225</v>
      </c>
      <c r="B999" t="s">
        <v>27</v>
      </c>
      <c r="C999" t="s">
        <v>16</v>
      </c>
      <c r="D999" s="1">
        <v>45945</v>
      </c>
      <c r="E999" s="1">
        <v>45950</v>
      </c>
      <c r="F999" s="1">
        <v>45954</v>
      </c>
      <c r="G999" s="1">
        <v>45960</v>
      </c>
      <c r="H999" t="s">
        <v>17</v>
      </c>
      <c r="I999">
        <v>0</v>
      </c>
      <c r="J999" t="s">
        <v>18</v>
      </c>
      <c r="K999" s="1">
        <v>45980</v>
      </c>
      <c r="L999">
        <v>5</v>
      </c>
      <c r="M999">
        <v>4</v>
      </c>
      <c r="N999">
        <v>6</v>
      </c>
      <c r="O999">
        <v>3</v>
      </c>
      <c r="P999" t="str">
        <f t="shared" si="30"/>
        <v>Detractor</v>
      </c>
      <c r="Q999">
        <v>10</v>
      </c>
      <c r="R999" t="s">
        <v>1034</v>
      </c>
      <c r="S999">
        <v>10</v>
      </c>
      <c r="T999" t="s">
        <v>1034</v>
      </c>
      <c r="U999" t="str">
        <f t="shared" si="31"/>
        <v>Yes</v>
      </c>
    </row>
    <row r="1000" spans="1:21" x14ac:dyDescent="0.3">
      <c r="A1000" t="s">
        <v>1028</v>
      </c>
      <c r="B1000" t="s">
        <v>27</v>
      </c>
      <c r="C1000" t="s">
        <v>841</v>
      </c>
      <c r="D1000" s="1">
        <v>45959</v>
      </c>
      <c r="E1000" s="1"/>
      <c r="F1000" s="1"/>
      <c r="G1000" s="1"/>
      <c r="H1000" t="s">
        <v>752</v>
      </c>
      <c r="I1000">
        <v>1</v>
      </c>
      <c r="J1000" t="s">
        <v>753</v>
      </c>
      <c r="K1000" s="1"/>
      <c r="P1000" t="str">
        <f t="shared" si="30"/>
        <v>Not Applicable</v>
      </c>
      <c r="R1000" t="s">
        <v>1036</v>
      </c>
      <c r="T1000" t="s">
        <v>1036</v>
      </c>
      <c r="U1000" t="str">
        <f t="shared" si="31"/>
        <v>No</v>
      </c>
    </row>
    <row r="1001" spans="1:21" x14ac:dyDescent="0.3">
      <c r="A1001" t="s">
        <v>226</v>
      </c>
      <c r="B1001" t="s">
        <v>29</v>
      </c>
      <c r="C1001" t="s">
        <v>16</v>
      </c>
      <c r="D1001" s="1">
        <v>45938</v>
      </c>
      <c r="E1001" s="1">
        <v>45943</v>
      </c>
      <c r="F1001" s="1">
        <v>45945</v>
      </c>
      <c r="G1001" s="1">
        <v>45948</v>
      </c>
      <c r="H1001" t="s">
        <v>17</v>
      </c>
      <c r="I1001">
        <v>0</v>
      </c>
      <c r="J1001" t="s">
        <v>18</v>
      </c>
      <c r="K1001" s="1">
        <v>45974</v>
      </c>
      <c r="L1001">
        <v>5</v>
      </c>
      <c r="M1001">
        <v>2</v>
      </c>
      <c r="N1001">
        <v>3</v>
      </c>
      <c r="O1001">
        <v>4</v>
      </c>
      <c r="P1001" t="str">
        <f t="shared" si="30"/>
        <v>Detractor</v>
      </c>
      <c r="Q1001">
        <v>10</v>
      </c>
      <c r="R1001" t="s">
        <v>1034</v>
      </c>
      <c r="S1001">
        <v>10</v>
      </c>
      <c r="T1001" t="s">
        <v>1034</v>
      </c>
      <c r="U1001" t="str">
        <f t="shared" si="31"/>
        <v>Yes</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A00EA-6BD5-480D-A5E8-9340D9B11239}">
  <dimension ref="A2:O60"/>
  <sheetViews>
    <sheetView topLeftCell="A7" zoomScaleNormal="100" workbookViewId="0">
      <selection activeCell="F6" sqref="F6"/>
    </sheetView>
  </sheetViews>
  <sheetFormatPr defaultRowHeight="14.4" x14ac:dyDescent="0.3"/>
  <cols>
    <col min="1" max="1" width="15.109375" bestFit="1" customWidth="1"/>
    <col min="2" max="2" width="15.5546875" bestFit="1" customWidth="1"/>
    <col min="3" max="3" width="4" bestFit="1" customWidth="1"/>
    <col min="4" max="4" width="6.109375" bestFit="1" customWidth="1"/>
    <col min="5" max="5" width="10.77734375" bestFit="1" customWidth="1"/>
    <col min="6" max="6" width="21.21875" style="5" customWidth="1"/>
    <col min="7" max="7" width="10.77734375" style="5" bestFit="1" customWidth="1"/>
    <col min="8" max="8" width="15.109375" style="5" bestFit="1" customWidth="1"/>
    <col min="9" max="9" width="15.5546875" bestFit="1" customWidth="1"/>
    <col min="10" max="10" width="7.109375" bestFit="1" customWidth="1"/>
    <col min="11" max="11" width="9" bestFit="1" customWidth="1"/>
    <col min="12" max="12" width="10.77734375" bestFit="1" customWidth="1"/>
    <col min="13" max="13" width="5.77734375" bestFit="1" customWidth="1"/>
    <col min="14" max="14" width="5.109375" style="5" bestFit="1" customWidth="1"/>
    <col min="15" max="15" width="10.77734375" style="5" bestFit="1" customWidth="1"/>
    <col min="16" max="16" width="10.6640625" bestFit="1" customWidth="1"/>
    <col min="17" max="503" width="5.88671875" bestFit="1" customWidth="1"/>
    <col min="504" max="504" width="9.109375" bestFit="1" customWidth="1"/>
    <col min="505" max="634" width="5.88671875" bestFit="1" customWidth="1"/>
    <col min="635" max="635" width="11" bestFit="1" customWidth="1"/>
    <col min="636" max="738" width="5.88671875" bestFit="1" customWidth="1"/>
    <col min="739" max="739" width="10.77734375" bestFit="1" customWidth="1"/>
    <col min="740" max="740" width="17.33203125" bestFit="1" customWidth="1"/>
    <col min="741" max="741" width="31.5546875" bestFit="1" customWidth="1"/>
    <col min="742" max="742" width="17.33203125" bestFit="1" customWidth="1"/>
    <col min="743" max="743" width="31.5546875" bestFit="1" customWidth="1"/>
    <col min="744" max="744" width="17.33203125" bestFit="1" customWidth="1"/>
    <col min="745" max="745" width="31.5546875" bestFit="1" customWidth="1"/>
    <col min="746" max="746" width="17.33203125" bestFit="1" customWidth="1"/>
    <col min="747" max="747" width="31.5546875" bestFit="1" customWidth="1"/>
    <col min="748" max="748" width="17.33203125" bestFit="1" customWidth="1"/>
    <col min="749" max="749" width="31.5546875" bestFit="1" customWidth="1"/>
    <col min="750" max="750" width="17.33203125" bestFit="1" customWidth="1"/>
    <col min="751" max="751" width="31.5546875" bestFit="1" customWidth="1"/>
    <col min="752" max="752" width="17.33203125" bestFit="1" customWidth="1"/>
    <col min="753" max="753" width="31.5546875" bestFit="1" customWidth="1"/>
    <col min="754" max="754" width="17.33203125" bestFit="1" customWidth="1"/>
    <col min="755" max="755" width="31.5546875" bestFit="1" customWidth="1"/>
    <col min="756" max="756" width="17.33203125" bestFit="1" customWidth="1"/>
    <col min="757" max="757" width="31.5546875" bestFit="1" customWidth="1"/>
    <col min="758" max="758" width="17.33203125" bestFit="1" customWidth="1"/>
    <col min="759" max="759" width="31.5546875" bestFit="1" customWidth="1"/>
    <col min="760" max="760" width="17.33203125" bestFit="1" customWidth="1"/>
    <col min="761" max="761" width="31.5546875" bestFit="1" customWidth="1"/>
    <col min="762" max="762" width="17.33203125" bestFit="1" customWidth="1"/>
    <col min="763" max="763" width="31.5546875" bestFit="1" customWidth="1"/>
    <col min="764" max="764" width="17.33203125" bestFit="1" customWidth="1"/>
    <col min="765" max="765" width="31.5546875" bestFit="1" customWidth="1"/>
    <col min="766" max="766" width="17.33203125" bestFit="1" customWidth="1"/>
    <col min="767" max="767" width="31.5546875" bestFit="1" customWidth="1"/>
    <col min="768" max="768" width="17.33203125" bestFit="1" customWidth="1"/>
    <col min="769" max="769" width="31.5546875" bestFit="1" customWidth="1"/>
    <col min="770" max="770" width="17.33203125" bestFit="1" customWidth="1"/>
    <col min="771" max="771" width="31.5546875" bestFit="1" customWidth="1"/>
    <col min="772" max="772" width="17.33203125" bestFit="1" customWidth="1"/>
    <col min="773" max="773" width="31.5546875" bestFit="1" customWidth="1"/>
    <col min="774" max="774" width="17.33203125" bestFit="1" customWidth="1"/>
    <col min="775" max="775" width="31.5546875" bestFit="1" customWidth="1"/>
    <col min="776" max="776" width="17.33203125" bestFit="1" customWidth="1"/>
    <col min="777" max="777" width="31.5546875" bestFit="1" customWidth="1"/>
    <col min="778" max="778" width="17.33203125" bestFit="1" customWidth="1"/>
    <col min="779" max="779" width="31.5546875" bestFit="1" customWidth="1"/>
    <col min="780" max="780" width="17.33203125" bestFit="1" customWidth="1"/>
    <col min="781" max="781" width="31.5546875" bestFit="1" customWidth="1"/>
    <col min="782" max="782" width="17.33203125" bestFit="1" customWidth="1"/>
    <col min="783" max="783" width="31.5546875" bestFit="1" customWidth="1"/>
    <col min="784" max="784" width="17.33203125" bestFit="1" customWidth="1"/>
    <col min="785" max="785" width="31.5546875" bestFit="1" customWidth="1"/>
    <col min="786" max="786" width="17.33203125" bestFit="1" customWidth="1"/>
    <col min="787" max="787" width="31.5546875" bestFit="1" customWidth="1"/>
    <col min="788" max="788" width="17.33203125" bestFit="1" customWidth="1"/>
    <col min="789" max="789" width="31.5546875" bestFit="1" customWidth="1"/>
    <col min="790" max="790" width="17.33203125" bestFit="1" customWidth="1"/>
    <col min="791" max="791" width="31.5546875" bestFit="1" customWidth="1"/>
    <col min="792" max="792" width="17.33203125" bestFit="1" customWidth="1"/>
    <col min="793" max="793" width="31.5546875" bestFit="1" customWidth="1"/>
    <col min="794" max="794" width="17.33203125" bestFit="1" customWidth="1"/>
    <col min="795" max="795" width="31.5546875" bestFit="1" customWidth="1"/>
    <col min="796" max="796" width="17.33203125" bestFit="1" customWidth="1"/>
    <col min="797" max="797" width="31.5546875" bestFit="1" customWidth="1"/>
    <col min="798" max="798" width="17.33203125" bestFit="1" customWidth="1"/>
    <col min="799" max="799" width="31.5546875" bestFit="1" customWidth="1"/>
    <col min="800" max="800" width="17.33203125" bestFit="1" customWidth="1"/>
    <col min="801" max="801" width="31.5546875" bestFit="1" customWidth="1"/>
    <col min="802" max="802" width="17.33203125" bestFit="1" customWidth="1"/>
    <col min="803" max="803" width="31.5546875" bestFit="1" customWidth="1"/>
    <col min="804" max="804" width="17.33203125" bestFit="1" customWidth="1"/>
    <col min="805" max="805" width="31.5546875" bestFit="1" customWidth="1"/>
    <col min="806" max="806" width="17.33203125" bestFit="1" customWidth="1"/>
    <col min="807" max="807" width="31.5546875" bestFit="1" customWidth="1"/>
    <col min="808" max="808" width="17.33203125" bestFit="1" customWidth="1"/>
    <col min="809" max="809" width="31.5546875" bestFit="1" customWidth="1"/>
    <col min="810" max="810" width="17.33203125" bestFit="1" customWidth="1"/>
    <col min="811" max="811" width="31.5546875" bestFit="1" customWidth="1"/>
    <col min="812" max="812" width="17.33203125" bestFit="1" customWidth="1"/>
    <col min="813" max="813" width="31.5546875" bestFit="1" customWidth="1"/>
    <col min="814" max="814" width="17.33203125" bestFit="1" customWidth="1"/>
    <col min="815" max="815" width="31.5546875" bestFit="1" customWidth="1"/>
    <col min="816" max="816" width="17.33203125" bestFit="1" customWidth="1"/>
    <col min="817" max="817" width="31.5546875" bestFit="1" customWidth="1"/>
    <col min="818" max="818" width="17.33203125" bestFit="1" customWidth="1"/>
    <col min="819" max="819" width="31.5546875" bestFit="1" customWidth="1"/>
    <col min="820" max="820" width="17.33203125" bestFit="1" customWidth="1"/>
    <col min="821" max="821" width="31.5546875" bestFit="1" customWidth="1"/>
    <col min="822" max="822" width="17.33203125" bestFit="1" customWidth="1"/>
    <col min="823" max="823" width="31.5546875" bestFit="1" customWidth="1"/>
    <col min="824" max="824" width="17.33203125" bestFit="1" customWidth="1"/>
    <col min="825" max="825" width="31.5546875" bestFit="1" customWidth="1"/>
    <col min="826" max="826" width="17.33203125" bestFit="1" customWidth="1"/>
    <col min="827" max="827" width="31.5546875" bestFit="1" customWidth="1"/>
    <col min="828" max="828" width="17.33203125" bestFit="1" customWidth="1"/>
    <col min="829" max="829" width="31.5546875" bestFit="1" customWidth="1"/>
    <col min="830" max="830" width="17.33203125" bestFit="1" customWidth="1"/>
    <col min="831" max="831" width="31.5546875" bestFit="1" customWidth="1"/>
    <col min="832" max="832" width="17.33203125" bestFit="1" customWidth="1"/>
    <col min="833" max="833" width="31.5546875" bestFit="1" customWidth="1"/>
    <col min="834" max="834" width="17.33203125" bestFit="1" customWidth="1"/>
    <col min="835" max="835" width="31.5546875" bestFit="1" customWidth="1"/>
    <col min="836" max="836" width="17.33203125" bestFit="1" customWidth="1"/>
    <col min="837" max="837" width="31.5546875" bestFit="1" customWidth="1"/>
    <col min="838" max="838" width="17.33203125" bestFit="1" customWidth="1"/>
    <col min="839" max="839" width="31.5546875" bestFit="1" customWidth="1"/>
    <col min="840" max="840" width="17.33203125" bestFit="1" customWidth="1"/>
    <col min="841" max="841" width="31.5546875" bestFit="1" customWidth="1"/>
    <col min="842" max="842" width="17.33203125" bestFit="1" customWidth="1"/>
    <col min="843" max="843" width="31.5546875" bestFit="1" customWidth="1"/>
    <col min="844" max="844" width="17.33203125" bestFit="1" customWidth="1"/>
    <col min="845" max="845" width="31.5546875" bestFit="1" customWidth="1"/>
    <col min="846" max="846" width="17.33203125" bestFit="1" customWidth="1"/>
    <col min="847" max="847" width="31.5546875" bestFit="1" customWidth="1"/>
    <col min="848" max="848" width="17.33203125" bestFit="1" customWidth="1"/>
    <col min="849" max="849" width="31.5546875" bestFit="1" customWidth="1"/>
    <col min="850" max="850" width="17.33203125" bestFit="1" customWidth="1"/>
    <col min="851" max="851" width="31.5546875" bestFit="1" customWidth="1"/>
    <col min="852" max="852" width="17.33203125" bestFit="1" customWidth="1"/>
    <col min="853" max="853" width="31.5546875" bestFit="1" customWidth="1"/>
    <col min="854" max="854" width="17.33203125" bestFit="1" customWidth="1"/>
    <col min="855" max="855" width="31.5546875" bestFit="1" customWidth="1"/>
    <col min="856" max="856" width="17.33203125" bestFit="1" customWidth="1"/>
    <col min="857" max="857" width="31.5546875" bestFit="1" customWidth="1"/>
    <col min="858" max="858" width="17.33203125" bestFit="1" customWidth="1"/>
    <col min="859" max="859" width="31.5546875" bestFit="1" customWidth="1"/>
    <col min="860" max="860" width="17.33203125" bestFit="1" customWidth="1"/>
    <col min="861" max="861" width="31.5546875" bestFit="1" customWidth="1"/>
    <col min="862" max="862" width="17.33203125" bestFit="1" customWidth="1"/>
    <col min="863" max="863" width="31.5546875" bestFit="1" customWidth="1"/>
    <col min="864" max="864" width="17.33203125" bestFit="1" customWidth="1"/>
    <col min="865" max="865" width="31.5546875" bestFit="1" customWidth="1"/>
    <col min="866" max="866" width="17.33203125" bestFit="1" customWidth="1"/>
    <col min="867" max="867" width="31.5546875" bestFit="1" customWidth="1"/>
    <col min="868" max="868" width="17.33203125" bestFit="1" customWidth="1"/>
    <col min="869" max="869" width="31.5546875" bestFit="1" customWidth="1"/>
    <col min="870" max="870" width="17.33203125" bestFit="1" customWidth="1"/>
    <col min="871" max="871" width="31.5546875" bestFit="1" customWidth="1"/>
    <col min="872" max="872" width="17.33203125" bestFit="1" customWidth="1"/>
    <col min="873" max="873" width="31.5546875" bestFit="1" customWidth="1"/>
    <col min="874" max="874" width="17.33203125" bestFit="1" customWidth="1"/>
    <col min="875" max="875" width="31.5546875" bestFit="1" customWidth="1"/>
    <col min="876" max="876" width="17.33203125" bestFit="1" customWidth="1"/>
    <col min="877" max="877" width="31.5546875" bestFit="1" customWidth="1"/>
    <col min="878" max="878" width="17.33203125" bestFit="1" customWidth="1"/>
    <col min="879" max="879" width="31.5546875" bestFit="1" customWidth="1"/>
    <col min="880" max="880" width="17.33203125" bestFit="1" customWidth="1"/>
    <col min="881" max="881" width="31.5546875" bestFit="1" customWidth="1"/>
    <col min="882" max="882" width="17.33203125" bestFit="1" customWidth="1"/>
    <col min="883" max="883" width="31.5546875" bestFit="1" customWidth="1"/>
    <col min="884" max="884" width="17.33203125" bestFit="1" customWidth="1"/>
    <col min="885" max="885" width="31.5546875" bestFit="1" customWidth="1"/>
    <col min="886" max="886" width="17.33203125" bestFit="1" customWidth="1"/>
    <col min="887" max="887" width="31.5546875" bestFit="1" customWidth="1"/>
    <col min="888" max="888" width="17.33203125" bestFit="1" customWidth="1"/>
    <col min="889" max="889" width="31.5546875" bestFit="1" customWidth="1"/>
    <col min="890" max="890" width="17.33203125" bestFit="1" customWidth="1"/>
    <col min="891" max="891" width="31.5546875" bestFit="1" customWidth="1"/>
    <col min="892" max="892" width="17.33203125" bestFit="1" customWidth="1"/>
    <col min="893" max="893" width="31.5546875" bestFit="1" customWidth="1"/>
    <col min="894" max="894" width="17.33203125" bestFit="1" customWidth="1"/>
    <col min="895" max="895" width="31.5546875" bestFit="1" customWidth="1"/>
    <col min="896" max="896" width="17.33203125" bestFit="1" customWidth="1"/>
    <col min="897" max="897" width="31.5546875" bestFit="1" customWidth="1"/>
    <col min="898" max="898" width="17.33203125" bestFit="1" customWidth="1"/>
    <col min="899" max="899" width="31.5546875" bestFit="1" customWidth="1"/>
    <col min="900" max="900" width="17.33203125" bestFit="1" customWidth="1"/>
    <col min="901" max="901" width="31.5546875" bestFit="1" customWidth="1"/>
    <col min="902" max="902" width="17.33203125" bestFit="1" customWidth="1"/>
    <col min="903" max="903" width="31.5546875" bestFit="1" customWidth="1"/>
    <col min="904" max="904" width="17.33203125" bestFit="1" customWidth="1"/>
    <col min="905" max="905" width="31.5546875" bestFit="1" customWidth="1"/>
    <col min="906" max="906" width="17.33203125" bestFit="1" customWidth="1"/>
    <col min="907" max="907" width="31.5546875" bestFit="1" customWidth="1"/>
    <col min="908" max="908" width="17.33203125" bestFit="1" customWidth="1"/>
    <col min="909" max="909" width="31.5546875" bestFit="1" customWidth="1"/>
    <col min="910" max="910" width="17.33203125" bestFit="1" customWidth="1"/>
    <col min="911" max="911" width="31.5546875" bestFit="1" customWidth="1"/>
    <col min="912" max="912" width="17.33203125" bestFit="1" customWidth="1"/>
    <col min="913" max="913" width="31.5546875" bestFit="1" customWidth="1"/>
    <col min="914" max="914" width="17.33203125" bestFit="1" customWidth="1"/>
    <col min="915" max="915" width="31.5546875" bestFit="1" customWidth="1"/>
    <col min="916" max="916" width="17.33203125" bestFit="1" customWidth="1"/>
    <col min="917" max="917" width="31.5546875" bestFit="1" customWidth="1"/>
    <col min="918" max="918" width="17.33203125" bestFit="1" customWidth="1"/>
    <col min="919" max="919" width="31.5546875" bestFit="1" customWidth="1"/>
    <col min="920" max="920" width="17.33203125" bestFit="1" customWidth="1"/>
    <col min="921" max="921" width="31.5546875" bestFit="1" customWidth="1"/>
    <col min="922" max="922" width="17.33203125" bestFit="1" customWidth="1"/>
    <col min="923" max="923" width="31.5546875" bestFit="1" customWidth="1"/>
    <col min="924" max="924" width="17.33203125" bestFit="1" customWidth="1"/>
    <col min="925" max="925" width="31.5546875" bestFit="1" customWidth="1"/>
    <col min="926" max="926" width="17.33203125" bestFit="1" customWidth="1"/>
    <col min="927" max="927" width="31.5546875" bestFit="1" customWidth="1"/>
    <col min="928" max="928" width="17.33203125" bestFit="1" customWidth="1"/>
    <col min="929" max="929" width="31.5546875" bestFit="1" customWidth="1"/>
    <col min="930" max="930" width="17.33203125" bestFit="1" customWidth="1"/>
    <col min="931" max="931" width="31.5546875" bestFit="1" customWidth="1"/>
    <col min="932" max="932" width="17.33203125" bestFit="1" customWidth="1"/>
    <col min="933" max="933" width="31.5546875" bestFit="1" customWidth="1"/>
    <col min="934" max="934" width="17.33203125" bestFit="1" customWidth="1"/>
    <col min="935" max="935" width="31.5546875" bestFit="1" customWidth="1"/>
    <col min="936" max="936" width="17.33203125" bestFit="1" customWidth="1"/>
    <col min="937" max="937" width="31.5546875" bestFit="1" customWidth="1"/>
    <col min="938" max="938" width="17.33203125" bestFit="1" customWidth="1"/>
    <col min="939" max="939" width="31.5546875" bestFit="1" customWidth="1"/>
    <col min="940" max="940" width="17.33203125" bestFit="1" customWidth="1"/>
    <col min="941" max="941" width="31.5546875" bestFit="1" customWidth="1"/>
    <col min="942" max="942" width="17.33203125" bestFit="1" customWidth="1"/>
    <col min="943" max="943" width="31.5546875" bestFit="1" customWidth="1"/>
    <col min="944" max="944" width="17.33203125" bestFit="1" customWidth="1"/>
    <col min="945" max="945" width="31.5546875" bestFit="1" customWidth="1"/>
    <col min="946" max="946" width="17.33203125" bestFit="1" customWidth="1"/>
    <col min="947" max="947" width="31.5546875" bestFit="1" customWidth="1"/>
    <col min="948" max="948" width="17.33203125" bestFit="1" customWidth="1"/>
    <col min="949" max="949" width="31.5546875" bestFit="1" customWidth="1"/>
    <col min="950" max="950" width="17.33203125" bestFit="1" customWidth="1"/>
    <col min="951" max="951" width="31.5546875" bestFit="1" customWidth="1"/>
    <col min="952" max="952" width="17.33203125" bestFit="1" customWidth="1"/>
    <col min="953" max="953" width="31.5546875" bestFit="1" customWidth="1"/>
    <col min="954" max="954" width="17.33203125" bestFit="1" customWidth="1"/>
    <col min="955" max="955" width="31.5546875" bestFit="1" customWidth="1"/>
    <col min="956" max="956" width="17.33203125" bestFit="1" customWidth="1"/>
    <col min="957" max="957" width="31.5546875" bestFit="1" customWidth="1"/>
    <col min="958" max="958" width="17.33203125" bestFit="1" customWidth="1"/>
    <col min="959" max="959" width="31.5546875" bestFit="1" customWidth="1"/>
    <col min="960" max="960" width="17.33203125" bestFit="1" customWidth="1"/>
    <col min="961" max="961" width="31.5546875" bestFit="1" customWidth="1"/>
    <col min="962" max="962" width="17.33203125" bestFit="1" customWidth="1"/>
    <col min="963" max="963" width="31.5546875" bestFit="1" customWidth="1"/>
    <col min="964" max="964" width="17.33203125" bestFit="1" customWidth="1"/>
    <col min="965" max="965" width="31.5546875" bestFit="1" customWidth="1"/>
    <col min="966" max="966" width="17.33203125" bestFit="1" customWidth="1"/>
    <col min="967" max="967" width="31.5546875" bestFit="1" customWidth="1"/>
    <col min="968" max="968" width="17.33203125" bestFit="1" customWidth="1"/>
    <col min="969" max="969" width="31.5546875" bestFit="1" customWidth="1"/>
    <col min="970" max="970" width="17.33203125" bestFit="1" customWidth="1"/>
    <col min="971" max="971" width="31.5546875" bestFit="1" customWidth="1"/>
    <col min="972" max="972" width="17.33203125" bestFit="1" customWidth="1"/>
    <col min="973" max="973" width="31.5546875" bestFit="1" customWidth="1"/>
    <col min="974" max="974" width="17.33203125" bestFit="1" customWidth="1"/>
    <col min="975" max="975" width="31.5546875" bestFit="1" customWidth="1"/>
    <col min="976" max="976" width="17.33203125" bestFit="1" customWidth="1"/>
    <col min="977" max="977" width="31.5546875" bestFit="1" customWidth="1"/>
    <col min="978" max="978" width="17.33203125" bestFit="1" customWidth="1"/>
    <col min="979" max="979" width="31.5546875" bestFit="1" customWidth="1"/>
    <col min="980" max="980" width="17.33203125" bestFit="1" customWidth="1"/>
    <col min="981" max="981" width="31.5546875" bestFit="1" customWidth="1"/>
    <col min="982" max="982" width="17.33203125" bestFit="1" customWidth="1"/>
    <col min="983" max="983" width="31.5546875" bestFit="1" customWidth="1"/>
    <col min="984" max="984" width="17.33203125" bestFit="1" customWidth="1"/>
    <col min="985" max="985" width="31.5546875" bestFit="1" customWidth="1"/>
    <col min="986" max="986" width="17.33203125" bestFit="1" customWidth="1"/>
    <col min="987" max="987" width="31.5546875" bestFit="1" customWidth="1"/>
    <col min="988" max="988" width="17.33203125" bestFit="1" customWidth="1"/>
    <col min="989" max="989" width="31.5546875" bestFit="1" customWidth="1"/>
    <col min="990" max="990" width="17.33203125" bestFit="1" customWidth="1"/>
    <col min="991" max="991" width="31.5546875" bestFit="1" customWidth="1"/>
    <col min="992" max="992" width="17.33203125" bestFit="1" customWidth="1"/>
    <col min="993" max="993" width="31.5546875" bestFit="1" customWidth="1"/>
    <col min="994" max="994" width="17.33203125" bestFit="1" customWidth="1"/>
    <col min="995" max="995" width="31.5546875" bestFit="1" customWidth="1"/>
    <col min="996" max="996" width="17.33203125" bestFit="1" customWidth="1"/>
    <col min="997" max="997" width="31.5546875" bestFit="1" customWidth="1"/>
    <col min="998" max="998" width="17.33203125" bestFit="1" customWidth="1"/>
    <col min="999" max="999" width="31.5546875" bestFit="1" customWidth="1"/>
    <col min="1000" max="1000" width="17.33203125" bestFit="1" customWidth="1"/>
    <col min="1001" max="1001" width="31.5546875" bestFit="1" customWidth="1"/>
    <col min="1002" max="1002" width="17.33203125" bestFit="1" customWidth="1"/>
    <col min="1003" max="1003" width="31.5546875" bestFit="1" customWidth="1"/>
    <col min="1004" max="1004" width="17.33203125" bestFit="1" customWidth="1"/>
    <col min="1005" max="1005" width="31.5546875" bestFit="1" customWidth="1"/>
    <col min="1006" max="1006" width="17.33203125" bestFit="1" customWidth="1"/>
    <col min="1007" max="1007" width="31.5546875" bestFit="1" customWidth="1"/>
    <col min="1008" max="1008" width="17.33203125" bestFit="1" customWidth="1"/>
    <col min="1009" max="1009" width="31.5546875" bestFit="1" customWidth="1"/>
    <col min="1010" max="1010" width="17.33203125" bestFit="1" customWidth="1"/>
    <col min="1011" max="1011" width="31.5546875" bestFit="1" customWidth="1"/>
    <col min="1012" max="1012" width="17.33203125" bestFit="1" customWidth="1"/>
    <col min="1013" max="1013" width="31.5546875" bestFit="1" customWidth="1"/>
    <col min="1014" max="1014" width="17.33203125" bestFit="1" customWidth="1"/>
    <col min="1015" max="1015" width="31.5546875" bestFit="1" customWidth="1"/>
    <col min="1016" max="1016" width="17.33203125" bestFit="1" customWidth="1"/>
    <col min="1017" max="1017" width="31.5546875" bestFit="1" customWidth="1"/>
    <col min="1018" max="1018" width="17.33203125" bestFit="1" customWidth="1"/>
    <col min="1019" max="1019" width="31.5546875" bestFit="1" customWidth="1"/>
    <col min="1020" max="1020" width="17.33203125" bestFit="1" customWidth="1"/>
    <col min="1021" max="1021" width="31.5546875" bestFit="1" customWidth="1"/>
    <col min="1022" max="1022" width="17.33203125" bestFit="1" customWidth="1"/>
    <col min="1023" max="1023" width="31.5546875" bestFit="1" customWidth="1"/>
    <col min="1024" max="1024" width="17.33203125" bestFit="1" customWidth="1"/>
    <col min="1025" max="1025" width="31.5546875" bestFit="1" customWidth="1"/>
    <col min="1026" max="1026" width="17.33203125" bestFit="1" customWidth="1"/>
    <col min="1027" max="1027" width="31.5546875" bestFit="1" customWidth="1"/>
    <col min="1028" max="1028" width="17.33203125" bestFit="1" customWidth="1"/>
    <col min="1029" max="1029" width="31.5546875" bestFit="1" customWidth="1"/>
    <col min="1030" max="1030" width="17.33203125" bestFit="1" customWidth="1"/>
    <col min="1031" max="1031" width="31.5546875" bestFit="1" customWidth="1"/>
    <col min="1032" max="1032" width="17.33203125" bestFit="1" customWidth="1"/>
    <col min="1033" max="1033" width="31.5546875" bestFit="1" customWidth="1"/>
    <col min="1034" max="1034" width="17.33203125" bestFit="1" customWidth="1"/>
    <col min="1035" max="1035" width="31.5546875" bestFit="1" customWidth="1"/>
    <col min="1036" max="1036" width="17.33203125" bestFit="1" customWidth="1"/>
    <col min="1037" max="1037" width="31.5546875" bestFit="1" customWidth="1"/>
    <col min="1038" max="1038" width="17.33203125" bestFit="1" customWidth="1"/>
    <col min="1039" max="1039" width="31.5546875" bestFit="1" customWidth="1"/>
    <col min="1040" max="1040" width="17.33203125" bestFit="1" customWidth="1"/>
    <col min="1041" max="1041" width="31.5546875" bestFit="1" customWidth="1"/>
    <col min="1042" max="1042" width="17.33203125" bestFit="1" customWidth="1"/>
    <col min="1043" max="1043" width="31.5546875" bestFit="1" customWidth="1"/>
    <col min="1044" max="1044" width="17.33203125" bestFit="1" customWidth="1"/>
    <col min="1045" max="1045" width="31.5546875" bestFit="1" customWidth="1"/>
    <col min="1046" max="1046" width="17.33203125" bestFit="1" customWidth="1"/>
    <col min="1047" max="1047" width="31.5546875" bestFit="1" customWidth="1"/>
    <col min="1048" max="1048" width="17.33203125" bestFit="1" customWidth="1"/>
    <col min="1049" max="1049" width="31.5546875" bestFit="1" customWidth="1"/>
    <col min="1050" max="1050" width="17.33203125" bestFit="1" customWidth="1"/>
    <col min="1051" max="1051" width="31.5546875" bestFit="1" customWidth="1"/>
    <col min="1052" max="1052" width="17.33203125" bestFit="1" customWidth="1"/>
    <col min="1053" max="1053" width="31.5546875" bestFit="1" customWidth="1"/>
    <col min="1054" max="1054" width="17.33203125" bestFit="1" customWidth="1"/>
    <col min="1055" max="1055" width="31.5546875" bestFit="1" customWidth="1"/>
    <col min="1056" max="1056" width="17.33203125" bestFit="1" customWidth="1"/>
    <col min="1057" max="1057" width="31.5546875" bestFit="1" customWidth="1"/>
    <col min="1058" max="1058" width="17.33203125" bestFit="1" customWidth="1"/>
    <col min="1059" max="1059" width="31.5546875" bestFit="1" customWidth="1"/>
    <col min="1060" max="1060" width="17.33203125" bestFit="1" customWidth="1"/>
    <col min="1061" max="1061" width="31.5546875" bestFit="1" customWidth="1"/>
    <col min="1062" max="1062" width="17.33203125" bestFit="1" customWidth="1"/>
    <col min="1063" max="1063" width="31.5546875" bestFit="1" customWidth="1"/>
    <col min="1064" max="1064" width="17.33203125" bestFit="1" customWidth="1"/>
    <col min="1065" max="1065" width="31.5546875" bestFit="1" customWidth="1"/>
    <col min="1066" max="1066" width="17.33203125" bestFit="1" customWidth="1"/>
    <col min="1067" max="1067" width="31.5546875" bestFit="1" customWidth="1"/>
    <col min="1068" max="1068" width="17.33203125" bestFit="1" customWidth="1"/>
    <col min="1069" max="1069" width="31.5546875" bestFit="1" customWidth="1"/>
    <col min="1070" max="1070" width="17.33203125" bestFit="1" customWidth="1"/>
    <col min="1071" max="1071" width="31.5546875" bestFit="1" customWidth="1"/>
    <col min="1072" max="1072" width="17.33203125" bestFit="1" customWidth="1"/>
    <col min="1073" max="1073" width="31.5546875" bestFit="1" customWidth="1"/>
    <col min="1074" max="1074" width="17.33203125" bestFit="1" customWidth="1"/>
    <col min="1075" max="1075" width="31.5546875" bestFit="1" customWidth="1"/>
    <col min="1076" max="1076" width="17.33203125" bestFit="1" customWidth="1"/>
    <col min="1077" max="1077" width="31.5546875" bestFit="1" customWidth="1"/>
    <col min="1078" max="1078" width="17.33203125" bestFit="1" customWidth="1"/>
    <col min="1079" max="1079" width="31.5546875" bestFit="1" customWidth="1"/>
    <col min="1080" max="1080" width="17.33203125" bestFit="1" customWidth="1"/>
    <col min="1081" max="1081" width="31.5546875" bestFit="1" customWidth="1"/>
    <col min="1082" max="1082" width="17.33203125" bestFit="1" customWidth="1"/>
    <col min="1083" max="1083" width="31.5546875" bestFit="1" customWidth="1"/>
    <col min="1084" max="1084" width="17.33203125" bestFit="1" customWidth="1"/>
    <col min="1085" max="1085" width="31.5546875" bestFit="1" customWidth="1"/>
    <col min="1086" max="1086" width="17.33203125" bestFit="1" customWidth="1"/>
    <col min="1087" max="1087" width="31.5546875" bestFit="1" customWidth="1"/>
    <col min="1088" max="1088" width="17.33203125" bestFit="1" customWidth="1"/>
    <col min="1089" max="1089" width="31.5546875" bestFit="1" customWidth="1"/>
    <col min="1090" max="1090" width="17.33203125" bestFit="1" customWidth="1"/>
    <col min="1091" max="1091" width="31.5546875" bestFit="1" customWidth="1"/>
    <col min="1092" max="1092" width="17.33203125" bestFit="1" customWidth="1"/>
    <col min="1093" max="1093" width="31.5546875" bestFit="1" customWidth="1"/>
    <col min="1094" max="1094" width="17.33203125" bestFit="1" customWidth="1"/>
    <col min="1095" max="1095" width="31.5546875" bestFit="1" customWidth="1"/>
    <col min="1096" max="1096" width="17.33203125" bestFit="1" customWidth="1"/>
    <col min="1097" max="1097" width="31.5546875" bestFit="1" customWidth="1"/>
    <col min="1098" max="1098" width="17.33203125" bestFit="1" customWidth="1"/>
    <col min="1099" max="1099" width="31.5546875" bestFit="1" customWidth="1"/>
    <col min="1100" max="1100" width="17.33203125" bestFit="1" customWidth="1"/>
    <col min="1101" max="1101" width="31.5546875" bestFit="1" customWidth="1"/>
    <col min="1102" max="1102" width="17.33203125" bestFit="1" customWidth="1"/>
    <col min="1103" max="1103" width="31.5546875" bestFit="1" customWidth="1"/>
    <col min="1104" max="1104" width="17.33203125" bestFit="1" customWidth="1"/>
    <col min="1105" max="1105" width="31.5546875" bestFit="1" customWidth="1"/>
    <col min="1106" max="1106" width="17.33203125" bestFit="1" customWidth="1"/>
    <col min="1107" max="1107" width="31.5546875" bestFit="1" customWidth="1"/>
    <col min="1108" max="1108" width="22.109375" bestFit="1" customWidth="1"/>
    <col min="1109" max="1109" width="36.33203125" bestFit="1" customWidth="1"/>
  </cols>
  <sheetData>
    <row r="2" spans="1:15" x14ac:dyDescent="0.3">
      <c r="A2" s="8" t="s">
        <v>1061</v>
      </c>
      <c r="B2" s="8"/>
      <c r="C2" s="8"/>
      <c r="D2" s="8"/>
    </row>
    <row r="4" spans="1:15" x14ac:dyDescent="0.3">
      <c r="A4" s="2" t="s">
        <v>1029</v>
      </c>
      <c r="B4" t="s">
        <v>1041</v>
      </c>
      <c r="C4" t="s">
        <v>1038</v>
      </c>
      <c r="D4" t="s">
        <v>1039</v>
      </c>
      <c r="E4" t="s">
        <v>1040</v>
      </c>
      <c r="F4" s="5" t="s">
        <v>1042</v>
      </c>
      <c r="G4" s="5" t="s">
        <v>1043</v>
      </c>
      <c r="H4" s="5" t="s">
        <v>1044</v>
      </c>
      <c r="I4" s="4" t="s">
        <v>1072</v>
      </c>
    </row>
    <row r="5" spans="1:15" x14ac:dyDescent="0.3">
      <c r="A5" s="3" t="s">
        <v>27</v>
      </c>
      <c r="B5" s="14">
        <v>263</v>
      </c>
      <c r="C5" s="14">
        <v>212</v>
      </c>
      <c r="D5" s="14">
        <v>212</v>
      </c>
      <c r="E5" s="14">
        <v>212</v>
      </c>
      <c r="F5" s="5">
        <f t="shared" ref="F5:F8" si="0">C5/B5</f>
        <v>0.80608365019011408</v>
      </c>
      <c r="G5" s="5">
        <f t="shared" ref="G5:G9" si="1">D5/C5</f>
        <v>1</v>
      </c>
      <c r="H5" s="5">
        <f t="shared" ref="H5:H9" si="2">E5/D5</f>
        <v>1</v>
      </c>
      <c r="I5" s="5">
        <f>E5/B5</f>
        <v>0.80608365019011408</v>
      </c>
    </row>
    <row r="6" spans="1:15" x14ac:dyDescent="0.3">
      <c r="A6" s="3" t="s">
        <v>22</v>
      </c>
      <c r="B6" s="14">
        <v>212</v>
      </c>
      <c r="C6" s="14">
        <v>173</v>
      </c>
      <c r="D6" s="14">
        <v>173</v>
      </c>
      <c r="E6" s="14">
        <v>173</v>
      </c>
      <c r="F6" s="5">
        <f t="shared" si="0"/>
        <v>0.81603773584905659</v>
      </c>
      <c r="G6" s="5">
        <f t="shared" si="1"/>
        <v>1</v>
      </c>
      <c r="H6" s="5">
        <f t="shared" si="2"/>
        <v>1</v>
      </c>
      <c r="I6" s="5">
        <f t="shared" ref="I6:I9" si="3">E6/B6</f>
        <v>0.81603773584905659</v>
      </c>
    </row>
    <row r="7" spans="1:15" x14ac:dyDescent="0.3">
      <c r="A7" s="3" t="s">
        <v>15</v>
      </c>
      <c r="B7" s="14">
        <v>263</v>
      </c>
      <c r="C7" s="14">
        <v>212</v>
      </c>
      <c r="D7" s="14">
        <v>212</v>
      </c>
      <c r="E7" s="14">
        <v>212</v>
      </c>
      <c r="F7" s="5">
        <f t="shared" si="0"/>
        <v>0.80608365019011408</v>
      </c>
      <c r="G7" s="5">
        <f t="shared" si="1"/>
        <v>1</v>
      </c>
      <c r="H7" s="5">
        <f t="shared" si="2"/>
        <v>1</v>
      </c>
      <c r="I7" s="5">
        <f t="shared" si="3"/>
        <v>0.80608365019011408</v>
      </c>
    </row>
    <row r="8" spans="1:15" x14ac:dyDescent="0.3">
      <c r="A8" s="3" t="s">
        <v>29</v>
      </c>
      <c r="B8" s="14">
        <v>262</v>
      </c>
      <c r="C8" s="14">
        <v>215</v>
      </c>
      <c r="D8" s="14">
        <v>215</v>
      </c>
      <c r="E8" s="14">
        <v>215</v>
      </c>
      <c r="F8" s="5">
        <f t="shared" si="0"/>
        <v>0.82061068702290074</v>
      </c>
      <c r="G8" s="5">
        <f t="shared" si="1"/>
        <v>1</v>
      </c>
      <c r="H8" s="5">
        <f t="shared" si="2"/>
        <v>1</v>
      </c>
      <c r="I8" s="5">
        <f t="shared" si="3"/>
        <v>0.82061068702290074</v>
      </c>
    </row>
    <row r="9" spans="1:15" x14ac:dyDescent="0.3">
      <c r="A9" s="3" t="s">
        <v>1030</v>
      </c>
      <c r="B9" s="14">
        <v>1000</v>
      </c>
      <c r="C9" s="14">
        <v>812</v>
      </c>
      <c r="D9" s="14">
        <v>812</v>
      </c>
      <c r="E9" s="14">
        <v>812</v>
      </c>
      <c r="F9" s="5">
        <f>C9/B9</f>
        <v>0.81200000000000006</v>
      </c>
      <c r="G9" s="5">
        <f t="shared" si="1"/>
        <v>1</v>
      </c>
      <c r="H9" s="5">
        <f t="shared" si="2"/>
        <v>1</v>
      </c>
      <c r="I9" s="5">
        <f t="shared" si="3"/>
        <v>0.81200000000000006</v>
      </c>
    </row>
    <row r="13" spans="1:15" x14ac:dyDescent="0.3">
      <c r="A13" s="8" t="s">
        <v>1065</v>
      </c>
      <c r="B13" s="8"/>
      <c r="H13" s="8" t="s">
        <v>1066</v>
      </c>
    </row>
    <row r="15" spans="1:15" x14ac:dyDescent="0.3">
      <c r="A15" s="2" t="s">
        <v>1029</v>
      </c>
      <c r="B15" t="s">
        <v>1051</v>
      </c>
      <c r="C15" t="s">
        <v>1052</v>
      </c>
      <c r="D15" t="s">
        <v>1053</v>
      </c>
      <c r="H15" s="2" t="s">
        <v>1054</v>
      </c>
      <c r="I15" s="2" t="s">
        <v>1031</v>
      </c>
      <c r="N15"/>
      <c r="O15"/>
    </row>
    <row r="16" spans="1:15" x14ac:dyDescent="0.3">
      <c r="A16" s="3" t="s">
        <v>27</v>
      </c>
      <c r="B16" s="9">
        <v>3.1179245283018866</v>
      </c>
      <c r="C16" s="9">
        <v>3.0330188679245285</v>
      </c>
      <c r="D16" s="9">
        <v>4.5141509433962268</v>
      </c>
      <c r="H16" s="2" t="s">
        <v>1029</v>
      </c>
      <c r="I16" t="s">
        <v>753</v>
      </c>
      <c r="J16" t="s">
        <v>756</v>
      </c>
      <c r="K16" t="s">
        <v>777</v>
      </c>
      <c r="L16" t="s">
        <v>18</v>
      </c>
      <c r="M16" t="s">
        <v>758</v>
      </c>
      <c r="N16" t="s">
        <v>765</v>
      </c>
      <c r="O16" t="s">
        <v>1030</v>
      </c>
    </row>
    <row r="17" spans="1:15" x14ac:dyDescent="0.3">
      <c r="A17" s="3" t="s">
        <v>22</v>
      </c>
      <c r="B17" s="9">
        <v>3.1213872832369942</v>
      </c>
      <c r="C17" s="9">
        <v>3.2023121387283235</v>
      </c>
      <c r="D17" s="9">
        <v>4.3872832369942198</v>
      </c>
      <c r="H17" s="3" t="s">
        <v>27</v>
      </c>
      <c r="I17" s="14">
        <v>13</v>
      </c>
      <c r="J17" s="14">
        <v>14</v>
      </c>
      <c r="K17" s="14">
        <v>13</v>
      </c>
      <c r="L17" s="14">
        <v>191</v>
      </c>
      <c r="M17" s="14">
        <v>22</v>
      </c>
      <c r="N17" s="14">
        <v>10</v>
      </c>
      <c r="O17" s="14">
        <v>263</v>
      </c>
    </row>
    <row r="18" spans="1:15" x14ac:dyDescent="0.3">
      <c r="A18" s="3" t="s">
        <v>15</v>
      </c>
      <c r="B18" s="9">
        <v>3.0283018867924527</v>
      </c>
      <c r="C18" s="9">
        <v>3.0188679245283021</v>
      </c>
      <c r="D18" s="9">
        <v>4.283018867924528</v>
      </c>
      <c r="H18" s="3" t="s">
        <v>22</v>
      </c>
      <c r="I18" s="14">
        <v>15</v>
      </c>
      <c r="J18" s="14">
        <v>10</v>
      </c>
      <c r="K18" s="14">
        <v>8</v>
      </c>
      <c r="L18" s="14">
        <v>153</v>
      </c>
      <c r="M18" s="14">
        <v>8</v>
      </c>
      <c r="N18" s="14">
        <v>18</v>
      </c>
      <c r="O18" s="14">
        <v>212</v>
      </c>
    </row>
    <row r="19" spans="1:15" x14ac:dyDescent="0.3">
      <c r="A19" s="3" t="s">
        <v>29</v>
      </c>
      <c r="B19" s="9">
        <v>2.9767441860465116</v>
      </c>
      <c r="C19" s="9">
        <v>3.0465116279069768</v>
      </c>
      <c r="D19" s="9">
        <v>4.6279069767441863</v>
      </c>
      <c r="H19" s="3" t="s">
        <v>15</v>
      </c>
      <c r="I19" s="14">
        <v>14</v>
      </c>
      <c r="J19" s="14">
        <v>21</v>
      </c>
      <c r="K19" s="14">
        <v>13</v>
      </c>
      <c r="L19" s="14">
        <v>186</v>
      </c>
      <c r="M19" s="14">
        <v>13</v>
      </c>
      <c r="N19" s="14">
        <v>16</v>
      </c>
      <c r="O19" s="14">
        <v>263</v>
      </c>
    </row>
    <row r="20" spans="1:15" x14ac:dyDescent="0.3">
      <c r="A20" s="3" t="s">
        <v>1030</v>
      </c>
      <c r="B20" s="9">
        <v>3.0578817733990147</v>
      </c>
      <c r="C20" s="9">
        <v>3.0689655172413794</v>
      </c>
      <c r="D20" s="9">
        <v>4.4568965517241379</v>
      </c>
      <c r="H20" s="3" t="s">
        <v>29</v>
      </c>
      <c r="I20" s="14">
        <v>9</v>
      </c>
      <c r="J20" s="14">
        <v>14</v>
      </c>
      <c r="K20" s="14">
        <v>9</v>
      </c>
      <c r="L20" s="14">
        <v>199</v>
      </c>
      <c r="M20" s="14">
        <v>14</v>
      </c>
      <c r="N20" s="14">
        <v>17</v>
      </c>
      <c r="O20" s="14">
        <v>262</v>
      </c>
    </row>
    <row r="21" spans="1:15" x14ac:dyDescent="0.3">
      <c r="H21" s="3" t="s">
        <v>1030</v>
      </c>
      <c r="I21" s="14">
        <v>51</v>
      </c>
      <c r="J21" s="14">
        <v>59</v>
      </c>
      <c r="K21" s="14">
        <v>43</v>
      </c>
      <c r="L21" s="14">
        <v>729</v>
      </c>
      <c r="M21" s="14">
        <v>57</v>
      </c>
      <c r="N21" s="14">
        <v>61</v>
      </c>
      <c r="O21" s="14">
        <v>1000</v>
      </c>
    </row>
    <row r="23" spans="1:15" x14ac:dyDescent="0.3">
      <c r="F23"/>
      <c r="G23"/>
    </row>
    <row r="24" spans="1:15" x14ac:dyDescent="0.3">
      <c r="F24"/>
      <c r="G24"/>
    </row>
    <row r="25" spans="1:15" x14ac:dyDescent="0.3">
      <c r="A25" s="8" t="s">
        <v>1067</v>
      </c>
      <c r="F25"/>
      <c r="G25"/>
      <c r="H25" s="8" t="s">
        <v>1068</v>
      </c>
      <c r="I25" s="8"/>
    </row>
    <row r="26" spans="1:15" x14ac:dyDescent="0.3">
      <c r="F26"/>
      <c r="G26"/>
    </row>
    <row r="27" spans="1:15" x14ac:dyDescent="0.3">
      <c r="A27" s="2" t="s">
        <v>1041</v>
      </c>
      <c r="B27" s="2" t="s">
        <v>1031</v>
      </c>
      <c r="F27"/>
      <c r="G27"/>
      <c r="H27" s="2" t="s">
        <v>1041</v>
      </c>
      <c r="I27" s="2" t="s">
        <v>1031</v>
      </c>
      <c r="M27" s="5"/>
      <c r="O27"/>
    </row>
    <row r="28" spans="1:15" x14ac:dyDescent="0.3">
      <c r="A28" s="2" t="s">
        <v>1029</v>
      </c>
      <c r="B28" t="s">
        <v>841</v>
      </c>
      <c r="C28" t="s">
        <v>474</v>
      </c>
      <c r="D28" t="s">
        <v>16</v>
      </c>
      <c r="E28" t="s">
        <v>1030</v>
      </c>
      <c r="F28"/>
      <c r="G28"/>
      <c r="H28" s="2" t="s">
        <v>1029</v>
      </c>
      <c r="I28" t="s">
        <v>1058</v>
      </c>
      <c r="J28" t="s">
        <v>1059</v>
      </c>
      <c r="K28" t="s">
        <v>1060</v>
      </c>
      <c r="L28" t="s">
        <v>1030</v>
      </c>
      <c r="M28" s="5" t="s">
        <v>1062</v>
      </c>
      <c r="N28" s="5" t="s">
        <v>1063</v>
      </c>
      <c r="O28" t="s">
        <v>1064</v>
      </c>
    </row>
    <row r="29" spans="1:15" x14ac:dyDescent="0.3">
      <c r="A29" s="3" t="s">
        <v>27</v>
      </c>
      <c r="B29" s="14">
        <v>51</v>
      </c>
      <c r="C29" s="14">
        <v>80</v>
      </c>
      <c r="D29" s="14">
        <v>132</v>
      </c>
      <c r="E29" s="14">
        <v>263</v>
      </c>
      <c r="F29"/>
      <c r="G29"/>
      <c r="H29" s="3" t="s">
        <v>27</v>
      </c>
      <c r="I29" s="14">
        <v>134</v>
      </c>
      <c r="J29" s="14">
        <v>34</v>
      </c>
      <c r="K29" s="14">
        <v>23</v>
      </c>
      <c r="L29" s="14">
        <v>191</v>
      </c>
      <c r="M29" s="5">
        <f>K29/L29</f>
        <v>0.12041884816753927</v>
      </c>
      <c r="N29" s="5">
        <f>I29/L29</f>
        <v>0.70157068062827221</v>
      </c>
      <c r="O29" s="10">
        <f>M29-N29</f>
        <v>-0.58115183246073299</v>
      </c>
    </row>
    <row r="30" spans="1:15" x14ac:dyDescent="0.3">
      <c r="A30" s="3" t="s">
        <v>22</v>
      </c>
      <c r="B30" s="14">
        <v>39</v>
      </c>
      <c r="C30" s="14">
        <v>70</v>
      </c>
      <c r="D30" s="14">
        <v>103</v>
      </c>
      <c r="E30" s="14">
        <v>212</v>
      </c>
      <c r="F30"/>
      <c r="G30"/>
      <c r="H30" s="3" t="s">
        <v>22</v>
      </c>
      <c r="I30" s="14">
        <v>99</v>
      </c>
      <c r="J30" s="14">
        <v>26</v>
      </c>
      <c r="K30" s="14">
        <v>28</v>
      </c>
      <c r="L30" s="14">
        <v>153</v>
      </c>
      <c r="M30" s="5">
        <f>K30/L30</f>
        <v>0.18300653594771241</v>
      </c>
      <c r="N30" s="5">
        <f t="shared" ref="N30:N33" si="4">I30/L30</f>
        <v>0.6470588235294118</v>
      </c>
      <c r="O30" s="10">
        <f t="shared" ref="O30:O33" si="5">M30-N30</f>
        <v>-0.46405228758169936</v>
      </c>
    </row>
    <row r="31" spans="1:15" x14ac:dyDescent="0.3">
      <c r="A31" s="3" t="s">
        <v>15</v>
      </c>
      <c r="B31" s="14">
        <v>51</v>
      </c>
      <c r="C31" s="14">
        <v>70</v>
      </c>
      <c r="D31" s="14">
        <v>142</v>
      </c>
      <c r="E31" s="14">
        <v>263</v>
      </c>
      <c r="F31"/>
      <c r="G31"/>
      <c r="H31" s="3" t="s">
        <v>15</v>
      </c>
      <c r="I31" s="14">
        <v>123</v>
      </c>
      <c r="J31" s="14">
        <v>33</v>
      </c>
      <c r="K31" s="14">
        <v>30</v>
      </c>
      <c r="L31" s="14">
        <v>186</v>
      </c>
      <c r="M31" s="5">
        <f>K31/L31</f>
        <v>0.16129032258064516</v>
      </c>
      <c r="N31" s="5">
        <f t="shared" si="4"/>
        <v>0.66129032258064513</v>
      </c>
      <c r="O31" s="10">
        <f t="shared" si="5"/>
        <v>-0.5</v>
      </c>
    </row>
    <row r="32" spans="1:15" x14ac:dyDescent="0.3">
      <c r="A32" s="3" t="s">
        <v>29</v>
      </c>
      <c r="B32" s="14">
        <v>47</v>
      </c>
      <c r="C32" s="14">
        <v>83</v>
      </c>
      <c r="D32" s="14">
        <v>132</v>
      </c>
      <c r="E32" s="14">
        <v>262</v>
      </c>
      <c r="F32"/>
      <c r="G32"/>
      <c r="H32" s="3" t="s">
        <v>29</v>
      </c>
      <c r="I32" s="14">
        <v>138</v>
      </c>
      <c r="J32" s="14">
        <v>38</v>
      </c>
      <c r="K32" s="14">
        <v>23</v>
      </c>
      <c r="L32" s="14">
        <v>199</v>
      </c>
      <c r="M32" s="5">
        <f>K32/L32</f>
        <v>0.11557788944723618</v>
      </c>
      <c r="N32" s="5">
        <f t="shared" si="4"/>
        <v>0.69346733668341709</v>
      </c>
      <c r="O32" s="10">
        <f t="shared" si="5"/>
        <v>-0.57788944723618085</v>
      </c>
    </row>
    <row r="33" spans="1:15" x14ac:dyDescent="0.3">
      <c r="A33" s="3" t="s">
        <v>1030</v>
      </c>
      <c r="B33" s="14">
        <v>188</v>
      </c>
      <c r="C33" s="14">
        <v>303</v>
      </c>
      <c r="D33" s="14">
        <v>509</v>
      </c>
      <c r="E33" s="14">
        <v>1000</v>
      </c>
      <c r="F33"/>
      <c r="G33"/>
      <c r="H33" s="3" t="s">
        <v>1030</v>
      </c>
      <c r="I33" s="14">
        <v>494</v>
      </c>
      <c r="J33" s="14">
        <v>131</v>
      </c>
      <c r="K33" s="14">
        <v>104</v>
      </c>
      <c r="L33" s="14">
        <v>729</v>
      </c>
      <c r="M33" s="5">
        <f>K33/L33</f>
        <v>0.14266117969821673</v>
      </c>
      <c r="N33" s="5">
        <f t="shared" si="4"/>
        <v>0.67764060356652944</v>
      </c>
      <c r="O33" s="10">
        <f t="shared" si="5"/>
        <v>-0.53497942386831276</v>
      </c>
    </row>
    <row r="34" spans="1:15" x14ac:dyDescent="0.3">
      <c r="F34"/>
      <c r="G34"/>
      <c r="H34"/>
    </row>
    <row r="35" spans="1:15" x14ac:dyDescent="0.3">
      <c r="F35"/>
      <c r="G35"/>
      <c r="H35"/>
    </row>
    <row r="43" spans="1:15" x14ac:dyDescent="0.3">
      <c r="F43"/>
      <c r="G43"/>
    </row>
    <row r="44" spans="1:15" x14ac:dyDescent="0.3">
      <c r="F44"/>
      <c r="G44"/>
    </row>
    <row r="45" spans="1:15" x14ac:dyDescent="0.3">
      <c r="F45"/>
      <c r="G45"/>
    </row>
    <row r="46" spans="1:15" x14ac:dyDescent="0.3">
      <c r="F46"/>
      <c r="G46"/>
    </row>
    <row r="47" spans="1:15" x14ac:dyDescent="0.3">
      <c r="F47"/>
      <c r="G47"/>
    </row>
    <row r="48" spans="1:15" x14ac:dyDescent="0.3">
      <c r="F48"/>
      <c r="G48"/>
    </row>
    <row r="49" spans="6:7" x14ac:dyDescent="0.3">
      <c r="F49"/>
      <c r="G49"/>
    </row>
    <row r="50" spans="6:7" x14ac:dyDescent="0.3">
      <c r="F50"/>
      <c r="G50"/>
    </row>
    <row r="51" spans="6:7" x14ac:dyDescent="0.3">
      <c r="F51"/>
      <c r="G51"/>
    </row>
    <row r="52" spans="6:7" x14ac:dyDescent="0.3">
      <c r="F52"/>
      <c r="G52"/>
    </row>
    <row r="53" spans="6:7" x14ac:dyDescent="0.3">
      <c r="F53"/>
      <c r="G53"/>
    </row>
    <row r="54" spans="6:7" x14ac:dyDescent="0.3">
      <c r="F54"/>
      <c r="G54"/>
    </row>
    <row r="55" spans="6:7" x14ac:dyDescent="0.3">
      <c r="F55"/>
      <c r="G55"/>
    </row>
    <row r="56" spans="6:7" x14ac:dyDescent="0.3">
      <c r="F56"/>
      <c r="G56"/>
    </row>
    <row r="57" spans="6:7" x14ac:dyDescent="0.3">
      <c r="F57"/>
      <c r="G57"/>
    </row>
    <row r="58" spans="6:7" x14ac:dyDescent="0.3">
      <c r="F58"/>
      <c r="G58"/>
    </row>
    <row r="59" spans="6:7" x14ac:dyDescent="0.3">
      <c r="F59"/>
      <c r="G59"/>
    </row>
    <row r="60" spans="6:7" x14ac:dyDescent="0.3">
      <c r="F60"/>
      <c r="G60"/>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9E2CD-9AA0-4392-8CF3-0C2B2D90F24E}">
  <dimension ref="A1:U32"/>
  <sheetViews>
    <sheetView showGridLines="0" tabSelected="1" topLeftCell="A31" workbookViewId="0">
      <selection activeCell="W26" sqref="W26"/>
    </sheetView>
  </sheetViews>
  <sheetFormatPr defaultRowHeight="14.4" x14ac:dyDescent="0.3"/>
  <cols>
    <col min="1" max="16384" width="8.88671875" style="11"/>
  </cols>
  <sheetData>
    <row r="1" spans="1:21" x14ac:dyDescent="0.3">
      <c r="A1" s="12"/>
      <c r="B1" s="12"/>
      <c r="C1" s="12"/>
      <c r="D1" s="12"/>
      <c r="E1" s="12"/>
      <c r="F1" s="12"/>
      <c r="G1" s="12"/>
      <c r="H1" s="12"/>
      <c r="I1" s="12"/>
      <c r="J1" s="12"/>
      <c r="K1" s="12"/>
      <c r="L1" s="12"/>
      <c r="M1" s="12"/>
      <c r="N1" s="12"/>
      <c r="O1" s="12"/>
      <c r="P1" s="12"/>
      <c r="Q1" s="12"/>
      <c r="R1" s="12"/>
      <c r="S1" s="12"/>
      <c r="T1" s="12"/>
      <c r="U1" s="12"/>
    </row>
    <row r="2" spans="1:21" ht="21" x14ac:dyDescent="0.4">
      <c r="A2" s="12"/>
      <c r="B2" s="12"/>
      <c r="C2" s="12"/>
      <c r="D2" s="12"/>
      <c r="E2" s="12"/>
      <c r="F2" s="12"/>
      <c r="G2" s="12"/>
      <c r="H2" s="13" t="s">
        <v>1069</v>
      </c>
      <c r="I2" s="12"/>
      <c r="J2" s="12"/>
      <c r="K2" s="12"/>
      <c r="L2" s="12"/>
      <c r="M2" s="12"/>
      <c r="N2" s="12"/>
      <c r="O2" s="12"/>
      <c r="P2" s="12"/>
      <c r="Q2" s="12"/>
      <c r="R2" s="12"/>
      <c r="S2" s="12"/>
      <c r="T2" s="12"/>
      <c r="U2" s="12"/>
    </row>
    <row r="3" spans="1:21" x14ac:dyDescent="0.3">
      <c r="A3" s="12"/>
      <c r="B3" s="12"/>
      <c r="C3" s="12"/>
      <c r="D3" s="12"/>
      <c r="E3" s="12"/>
      <c r="F3" s="12"/>
      <c r="G3" s="12"/>
      <c r="H3" s="12"/>
      <c r="I3" s="12"/>
      <c r="J3" s="12"/>
      <c r="K3" s="12"/>
      <c r="L3" s="12"/>
      <c r="M3" s="12"/>
      <c r="N3" s="12"/>
      <c r="O3" s="12"/>
      <c r="P3" s="12"/>
      <c r="Q3" s="12"/>
      <c r="R3" s="12"/>
      <c r="S3" s="12"/>
      <c r="T3" s="12"/>
      <c r="U3" s="12"/>
    </row>
    <row r="14" spans="1:21" x14ac:dyDescent="0.3">
      <c r="B14" s="12"/>
      <c r="C14" s="12" t="s">
        <v>1061</v>
      </c>
      <c r="D14" s="12"/>
      <c r="E14" s="12"/>
      <c r="F14" s="12"/>
      <c r="G14" s="12"/>
      <c r="H14" s="12"/>
      <c r="I14" s="12"/>
      <c r="J14" s="12"/>
      <c r="K14" s="12" t="s">
        <v>1073</v>
      </c>
      <c r="L14" s="12"/>
      <c r="M14" s="12"/>
      <c r="N14" s="12"/>
      <c r="O14" s="12"/>
      <c r="P14" s="12"/>
      <c r="Q14" s="12"/>
      <c r="R14" s="12"/>
      <c r="S14" s="12"/>
      <c r="T14" s="12"/>
    </row>
    <row r="32" spans="2:20" x14ac:dyDescent="0.3">
      <c r="B32" s="12" t="s">
        <v>1074</v>
      </c>
      <c r="C32" s="12"/>
      <c r="D32" s="12"/>
      <c r="E32" s="12"/>
      <c r="F32" s="12"/>
      <c r="G32" s="12"/>
      <c r="H32" s="12"/>
      <c r="I32" s="12"/>
      <c r="J32" s="12" t="s">
        <v>1070</v>
      </c>
      <c r="K32" s="12"/>
      <c r="L32" s="12"/>
      <c r="M32" s="12"/>
      <c r="N32" s="12"/>
      <c r="O32" s="12"/>
      <c r="P32" s="12"/>
      <c r="Q32" s="12" t="s">
        <v>1071</v>
      </c>
      <c r="R32" s="12"/>
      <c r="S32" s="12"/>
      <c r="T32"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8C920F-A65B-4DA6-91F8-66ECEAEA5C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Shivangi Patwa</dc:creator>
  <cp:lastModifiedBy>Shivangi Patwa</cp:lastModifiedBy>
  <dcterms:created xsi:type="dcterms:W3CDTF">2025-10-29T11:10:46Z</dcterms:created>
  <dcterms:modified xsi:type="dcterms:W3CDTF">2025-11-01T17:49:47Z</dcterms:modified>
</cp:coreProperties>
</file>